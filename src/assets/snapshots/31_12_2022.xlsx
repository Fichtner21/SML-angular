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ers" sheetId="1" r:id="rId4"/>
    <sheet state="visible" name="Add a Match" sheetId="2" r:id="rId5"/>
    <sheet state="visible" name="Team Selection" sheetId="3" r:id="rId6"/>
    <sheet state="visible" name="Match History" sheetId="4" r:id="rId7"/>
    <sheet state="visible" name="TeamSelectionOne" sheetId="5" r:id="rId8"/>
    <sheet state="visible" name="TeamSelectionTwo" sheetId="6" r:id="rId9"/>
    <sheet state="visible" name="Inactive" sheetId="7" r:id="rId10"/>
    <sheet state="visible" name="Cup" sheetId="8" r:id="rId11"/>
    <sheet state="visible" name="Wanted" sheetId="9" r:id="rId12"/>
    <sheet state="visible" name="Contact" sheetId="10" r:id="rId13"/>
  </sheets>
  <definedNames>
    <definedName name="SearchTomas">#REF!</definedName>
    <definedName name="Tomas">#REF!</definedName>
    <definedName name="NazwanyZakres1">Players!$G:$G</definedName>
    <definedName hidden="1" localSheetId="6" name="Z_E889D47C_96F6_497F_A0DB_ED0224310268_.wvu.FilterData">Inactive!$A$1:$H$10</definedName>
  </definedNames>
  <calcPr/>
  <customWorkbookViews>
    <customWorkbookView activeSheetId="0" maximized="1" windowHeight="0" windowWidth="0" guid="{E889D47C-96F6-497F-A0DB-ED0224310268}" name="Filter 1"/>
  </customWorkbookViews>
</workbook>
</file>

<file path=xl/sharedStrings.xml><?xml version="1.0" encoding="utf-8"?>
<sst xmlns="http://schemas.openxmlformats.org/spreadsheetml/2006/main" count="12828" uniqueCount="887">
  <si>
    <t>playername</t>
  </si>
  <si>
    <t>username</t>
  </si>
  <si>
    <t>ranking</t>
  </si>
  <si>
    <t>percentile</t>
  </si>
  <si>
    <t>place</t>
  </si>
  <si>
    <t>warcount</t>
  </si>
  <si>
    <t>nationality</t>
  </si>
  <si>
    <t>clanhistory</t>
  </si>
  <si>
    <t>cup1on1edition1</t>
  </si>
  <si>
    <t>meeting</t>
  </si>
  <si>
    <t>cup3on3</t>
  </si>
  <si>
    <t>active</t>
  </si>
  <si>
    <t>ban</t>
  </si>
  <si>
    <t>lastwar</t>
  </si>
  <si>
    <t>fpw</t>
  </si>
  <si>
    <t>fpwmax</t>
  </si>
  <si>
    <t>fpwmin</t>
  </si>
  <si>
    <t>last30days</t>
  </si>
  <si>
    <t>last365days</t>
  </si>
  <si>
    <t>lastwarpc</t>
  </si>
  <si>
    <t>s4_22wars</t>
  </si>
  <si>
    <t>s4_22fpw</t>
  </si>
  <si>
    <t>Zielony</t>
  </si>
  <si>
    <t>zielony</t>
  </si>
  <si>
    <t>PL</t>
  </si>
  <si>
    <t>suRe, stArs</t>
  </si>
  <si>
    <t>Zielakpr0</t>
  </si>
  <si>
    <t>zielak</t>
  </si>
  <si>
    <t>- [T]eamForce-</t>
  </si>
  <si>
    <t>-</t>
  </si>
  <si>
    <t>booGie</t>
  </si>
  <si>
    <t>boogie</t>
  </si>
  <si>
    <t>stArs</t>
  </si>
  <si>
    <t>SzyCha</t>
  </si>
  <si>
    <t>szycha</t>
  </si>
  <si>
    <t>evoltnz</t>
  </si>
  <si>
    <t>GR</t>
  </si>
  <si>
    <t>Neo</t>
  </si>
  <si>
    <t>neo</t>
  </si>
  <si>
    <t>2fast4u</t>
  </si>
  <si>
    <t>tricky</t>
  </si>
  <si>
    <t>UK</t>
  </si>
  <si>
    <t>Helm0r</t>
  </si>
  <si>
    <t>helm0r</t>
  </si>
  <si>
    <t>DE</t>
  </si>
  <si>
    <t>Allied Assault player</t>
  </si>
  <si>
    <t>KaPsEL</t>
  </si>
  <si>
    <t>kapsel</t>
  </si>
  <si>
    <t>&lt;|-HEROES-|&gt;, 2fast4u, . brothers|company &gt;</t>
  </si>
  <si>
    <t>Watson</t>
  </si>
  <si>
    <t>watson</t>
  </si>
  <si>
    <t>PT</t>
  </si>
  <si>
    <t>[ESOE],|ƒ|</t>
  </si>
  <si>
    <t>^Cronic</t>
  </si>
  <si>
    <t>Cronic</t>
  </si>
  <si>
    <t>BE</t>
  </si>
  <si>
    <t>Team^$tyle, WoA</t>
  </si>
  <si>
    <t>L4mer™</t>
  </si>
  <si>
    <t>l4mer</t>
  </si>
  <si>
    <t>|=AK=|</t>
  </si>
  <si>
    <t>Wariat</t>
  </si>
  <si>
    <t>wariat</t>
  </si>
  <si>
    <t>Sir HaGi</t>
  </si>
  <si>
    <t>Sir-hagi</t>
  </si>
  <si>
    <t>Tommeh</t>
  </si>
  <si>
    <t>cedj</t>
  </si>
  <si>
    <t>NL</t>
  </si>
  <si>
    <t>graphY</t>
  </si>
  <si>
    <t>graphy</t>
  </si>
  <si>
    <t>behindfroko</t>
  </si>
  <si>
    <t>Team^$tyle</t>
  </si>
  <si>
    <t>24JE</t>
  </si>
  <si>
    <t>24ej</t>
  </si>
  <si>
    <t>fenxy</t>
  </si>
  <si>
    <t>fanxy</t>
  </si>
  <si>
    <t>Reyalz</t>
  </si>
  <si>
    <t>reyalz</t>
  </si>
  <si>
    <t xml:space="preserve"> Sn@ke</t>
  </si>
  <si>
    <t>snake</t>
  </si>
  <si>
    <t>Dr.Ven</t>
  </si>
  <si>
    <t>DrVen</t>
  </si>
  <si>
    <t>Pray3r™</t>
  </si>
  <si>
    <t>Pray3r</t>
  </si>
  <si>
    <t>EG</t>
  </si>
  <si>
    <t>ManikE</t>
  </si>
  <si>
    <t>manike</t>
  </si>
  <si>
    <t>spud</t>
  </si>
  <si>
    <t>BL@DY</t>
  </si>
  <si>
    <t>blady</t>
  </si>
  <si>
    <t>YOUR_PROBLEM</t>
  </si>
  <si>
    <t>your-problem</t>
  </si>
  <si>
    <t>bAtOn</t>
  </si>
  <si>
    <t>baton</t>
  </si>
  <si>
    <t>&lt;|-HEROES-|&gt;</t>
  </si>
  <si>
    <t>Farnoy</t>
  </si>
  <si>
    <t>farnoy</t>
  </si>
  <si>
    <t>NO</t>
  </si>
  <si>
    <t>Markos</t>
  </si>
  <si>
    <t>markos</t>
  </si>
  <si>
    <t>Meg@Sh!Ra</t>
  </si>
  <si>
    <t>megashira</t>
  </si>
  <si>
    <t>YotaK</t>
  </si>
  <si>
    <t>yotak</t>
  </si>
  <si>
    <t>FR</t>
  </si>
  <si>
    <t>P3dr0</t>
  </si>
  <si>
    <t>p3dr0</t>
  </si>
  <si>
    <t>Jim</t>
  </si>
  <si>
    <t>jim</t>
  </si>
  <si>
    <t>kurier</t>
  </si>
  <si>
    <t>Bobek</t>
  </si>
  <si>
    <t>omega</t>
  </si>
  <si>
    <t>-Illu$ioN-</t>
  </si>
  <si>
    <t>illusion</t>
  </si>
  <si>
    <t>EU</t>
  </si>
  <si>
    <t>nuclears, 2fast4u, - [T]eamForce -</t>
  </si>
  <si>
    <t>kennedi</t>
  </si>
  <si>
    <t>:&gt;PGS&lt;:*</t>
  </si>
  <si>
    <t>Evildude</t>
  </si>
  <si>
    <t>:&gt;PGS&lt;:* Cob.</t>
  </si>
  <si>
    <t>jojo</t>
  </si>
  <si>
    <t>MaDiNfO</t>
  </si>
  <si>
    <t>madinfo</t>
  </si>
  <si>
    <t>gRaBaRz</t>
  </si>
  <si>
    <t>grabarz</t>
  </si>
  <si>
    <t>GlowaF1!</t>
  </si>
  <si>
    <t>glowa</t>
  </si>
  <si>
    <t>breslau, team devine</t>
  </si>
  <si>
    <t>official6</t>
  </si>
  <si>
    <t>PeLvIs^!</t>
  </si>
  <si>
    <t>pelvis</t>
  </si>
  <si>
    <t>Haxing detected in war #294</t>
  </si>
  <si>
    <t>Team 1 Chance of Winning:</t>
  </si>
  <si>
    <t>Do not click this</t>
  </si>
  <si>
    <t>Team 2 Chance of Winning:</t>
  </si>
  <si>
    <t>unless you are sure</t>
  </si>
  <si>
    <t>Instructions</t>
  </si>
  <si>
    <r>
      <rPr>
        <rFont val="Roboto,Arial"/>
        <b/>
        <color theme="1"/>
      </rPr>
      <t xml:space="preserve">Step 1: </t>
    </r>
    <r>
      <rPr>
        <rFont val="Roboto,Arial"/>
        <b val="0"/>
        <color theme="1"/>
      </rPr>
      <t>Add players to open spots in teams (Fill cells A12:A16 and A21:A25)</t>
    </r>
  </si>
  <si>
    <r>
      <rPr>
        <rFont val="Roboto,Arial"/>
        <b/>
        <color theme="1"/>
      </rPr>
      <t xml:space="preserve">Step 2: </t>
    </r>
    <r>
      <rPr>
        <rFont val="Roboto,Arial"/>
        <b val="0"/>
        <color theme="1"/>
      </rPr>
      <t xml:space="preserve">If auto balancing is desired, click </t>
    </r>
    <r>
      <rPr>
        <rFont val="Roboto,Arial"/>
        <b val="0"/>
        <i/>
        <color theme="1"/>
      </rPr>
      <t>Balance Teams</t>
    </r>
    <r>
      <rPr>
        <rFont val="Roboto,Arial"/>
        <b val="0"/>
        <color theme="1"/>
      </rPr>
      <t xml:space="preserve"> to auto balance players into more fair teams.</t>
    </r>
  </si>
  <si>
    <r>
      <rPr>
        <rFont val="Roboto,Arial"/>
        <b/>
        <color theme="1"/>
      </rPr>
      <t xml:space="preserve">Step 3: </t>
    </r>
    <r>
      <rPr>
        <rFont val="Roboto,Arial"/>
        <b val="0"/>
        <color theme="1"/>
      </rPr>
      <t>After the game, add the final scores of both teams (Fill cells B18 and B27)</t>
    </r>
  </si>
  <si>
    <r>
      <rPr>
        <rFont val="Roboto,Arial"/>
        <b/>
        <color theme="1"/>
      </rPr>
      <t xml:space="preserve">Step 4: </t>
    </r>
    <r>
      <rPr>
        <rFont val="Roboto,Arial"/>
        <b val="0"/>
        <color theme="1"/>
      </rPr>
      <t>Add the combat scores of every player (Fill cells C12:C16 and C21:C25)</t>
    </r>
  </si>
  <si>
    <r>
      <rPr>
        <rFont val="Roboto,Arial"/>
        <b/>
        <color theme="1"/>
      </rPr>
      <t xml:space="preserve">Step 5: </t>
    </r>
    <r>
      <rPr>
        <rFont val="Roboto,Arial"/>
        <b val="0"/>
        <color theme="1"/>
      </rPr>
      <t xml:space="preserve">Click the </t>
    </r>
    <r>
      <rPr>
        <rFont val="Roboto,Arial"/>
        <b val="0"/>
        <i/>
        <color theme="1"/>
      </rPr>
      <t>Update ELO</t>
    </r>
    <r>
      <rPr>
        <rFont val="Roboto,Arial"/>
        <b val="0"/>
        <color theme="1"/>
      </rPr>
      <t xml:space="preserve"> to find the new ELO of each player</t>
    </r>
  </si>
  <si>
    <t>Team 1 Players</t>
  </si>
  <si>
    <t>Initial ELO</t>
  </si>
  <si>
    <t>Combat Score</t>
  </si>
  <si>
    <t>&lt;- fragi</t>
  </si>
  <si>
    <t>Cumulative</t>
  </si>
  <si>
    <t>Rounds Won</t>
  </si>
  <si>
    <t>&lt;- wynik teamu</t>
  </si>
  <si>
    <t>Team 2 Players</t>
  </si>
  <si>
    <t xml:space="preserve"> </t>
  </si>
  <si>
    <t>Total ELO</t>
  </si>
  <si>
    <t>Instant Results:</t>
  </si>
  <si>
    <t>New ELO</t>
  </si>
  <si>
    <t>Git Hash:</t>
  </si>
  <si>
    <t>5a7311c</t>
  </si>
  <si>
    <t>Below are the most balanced teams automatically generated, sorted from most balanced to less balanced.</t>
  </si>
  <si>
    <t>1) Find a suitable team composition from below</t>
  </si>
  <si>
    <r>
      <rPr>
        <rFont val="Roboto"/>
        <color theme="1"/>
      </rPr>
      <t xml:space="preserve">2) Click </t>
    </r>
    <r>
      <rPr>
        <rFont val="Roboto"/>
        <i/>
        <color theme="1"/>
      </rPr>
      <t xml:space="preserve">Select Teams, </t>
    </r>
    <r>
      <rPr>
        <rFont val="Roboto"/>
        <color theme="1"/>
      </rPr>
      <t>then enter the team composition ID</t>
    </r>
  </si>
  <si>
    <t>3) Use the team compositions copied to the Add a Match sheet</t>
  </si>
  <si>
    <t>Team Composition ID</t>
  </si>
  <si>
    <t>ELO</t>
  </si>
  <si>
    <t>timestamp</t>
  </si>
  <si>
    <t>t1p1name</t>
  </si>
  <si>
    <t>t1p1preelo</t>
  </si>
  <si>
    <t>t1p1score</t>
  </si>
  <si>
    <t>t1p1postelo</t>
  </si>
  <si>
    <t>t1p2name</t>
  </si>
  <si>
    <t>t1p2preelo</t>
  </si>
  <si>
    <t>t1p2score</t>
  </si>
  <si>
    <t>t1p2postelo</t>
  </si>
  <si>
    <t>t1p3name</t>
  </si>
  <si>
    <t>t1p3preelo</t>
  </si>
  <si>
    <t>t1p3score</t>
  </si>
  <si>
    <t>t1p3postelo</t>
  </si>
  <si>
    <t>t1p4name</t>
  </si>
  <si>
    <t>t1p4preelo</t>
  </si>
  <si>
    <t>t1p4score</t>
  </si>
  <si>
    <t>t1p4postelo</t>
  </si>
  <si>
    <t>t1p5name</t>
  </si>
  <si>
    <t>t1p5preelo</t>
  </si>
  <si>
    <t>t1p5score</t>
  </si>
  <si>
    <t>t1p5postelo</t>
  </si>
  <si>
    <t>t2p1name</t>
  </si>
  <si>
    <t>t2p1preelo</t>
  </si>
  <si>
    <t>t2p1score</t>
  </si>
  <si>
    <t>t2p1postelo</t>
  </si>
  <si>
    <t>t2p2name</t>
  </si>
  <si>
    <t>t2p2preelo</t>
  </si>
  <si>
    <t>t2p2score</t>
  </si>
  <si>
    <t>t2p2postelo</t>
  </si>
  <si>
    <t>t2p3name</t>
  </si>
  <si>
    <t>t2p3preelo</t>
  </si>
  <si>
    <t>t2p3score</t>
  </si>
  <si>
    <t>t2p3postelo</t>
  </si>
  <si>
    <t>t2p4name</t>
  </si>
  <si>
    <t>t2p4preelo</t>
  </si>
  <si>
    <t>t2p4score</t>
  </si>
  <si>
    <t>t2p4postelo</t>
  </si>
  <si>
    <t>t2p5name</t>
  </si>
  <si>
    <t>t2p5preelo</t>
  </si>
  <si>
    <t>t2p5score</t>
  </si>
  <si>
    <t>t2p5postelo</t>
  </si>
  <si>
    <t>t1roundswon</t>
  </si>
  <si>
    <t>t2roundswon</t>
  </si>
  <si>
    <t>video</t>
  </si>
  <si>
    <t>info</t>
  </si>
  <si>
    <t>idwar</t>
  </si>
  <si>
    <t>maps</t>
  </si>
  <si>
    <t>t1p6name</t>
  </si>
  <si>
    <t>t1p6preelo</t>
  </si>
  <si>
    <t>t1p6score</t>
  </si>
  <si>
    <t>t1p6postelo</t>
  </si>
  <si>
    <t>t1p7name</t>
  </si>
  <si>
    <t>t1p7preelo</t>
  </si>
  <si>
    <t>t1p7score</t>
  </si>
  <si>
    <t>t1p7postelo</t>
  </si>
  <si>
    <t>t2p6name</t>
  </si>
  <si>
    <t>t2p6preelo</t>
  </si>
  <si>
    <t>t2p6score</t>
  </si>
  <si>
    <t>t2p6postelo</t>
  </si>
  <si>
    <t>t2p7name</t>
  </si>
  <si>
    <t>t2p7preelo</t>
  </si>
  <si>
    <t>t2p7score</t>
  </si>
  <si>
    <t>t2p7postelo</t>
  </si>
  <si>
    <t>tomas</t>
  </si>
  <si>
    <t>oprawca</t>
  </si>
  <si>
    <t>V2</t>
  </si>
  <si>
    <t>hwk</t>
  </si>
  <si>
    <t>belus</t>
  </si>
  <si>
    <t>The Hunt, V2</t>
  </si>
  <si>
    <t>ryba</t>
  </si>
  <si>
    <t>The Bridge, The Hunt</t>
  </si>
  <si>
    <t>The Hunt, The Bridge</t>
  </si>
  <si>
    <t>lechu</t>
  </si>
  <si>
    <t>moses</t>
  </si>
  <si>
    <t>The Hunt, Navarone</t>
  </si>
  <si>
    <t>dziadek</t>
  </si>
  <si>
    <t>The Hunt, The Bridge, V2</t>
  </si>
  <si>
    <t>aker</t>
  </si>
  <si>
    <t>ultrakiller</t>
  </si>
  <si>
    <t>The Hunt, V2 Shelter, V2</t>
  </si>
  <si>
    <t>The Hunt, V2 Shelter</t>
  </si>
  <si>
    <t>The Hunt</t>
  </si>
  <si>
    <t>The Bridge, V2</t>
  </si>
  <si>
    <t>V2, The Bridge</t>
  </si>
  <si>
    <t>wiggles</t>
  </si>
  <si>
    <t>josh</t>
  </si>
  <si>
    <t>dts</t>
  </si>
  <si>
    <t>k4ps</t>
  </si>
  <si>
    <t>cwieku</t>
  </si>
  <si>
    <t>2mdZDdKjeN8</t>
  </si>
  <si>
    <t>Ki1NU-sTo4o</t>
  </si>
  <si>
    <t>4sNTjnv3n5c</t>
  </si>
  <si>
    <t>VSUK Abbey, The Bridge</t>
  </si>
  <si>
    <t>UA3KEi4uwY4</t>
  </si>
  <si>
    <t>V2, The Hunt</t>
  </si>
  <si>
    <t>Xgk5zE_ORsc</t>
  </si>
  <si>
    <t>Stlo, The Bridge</t>
  </si>
  <si>
    <t>zoSDD6fuUEQ</t>
  </si>
  <si>
    <t>dJCfoPZTgK8</t>
  </si>
  <si>
    <t>b5cAPzyEfyc</t>
  </si>
  <si>
    <t>V2 Shelter, VSUK Abbey</t>
  </si>
  <si>
    <t>2gUHeNoeNjo&amp;t</t>
  </si>
  <si>
    <t>V2, Match lost due to use forbidden granade thru door by player -Illu$ioN-</t>
  </si>
  <si>
    <t>The Hunt, V2, Stlo</t>
  </si>
  <si>
    <t>qsK4E-dh5x8</t>
  </si>
  <si>
    <t>The Bridge, VSUK Abbey</t>
  </si>
  <si>
    <t>Navarone, The Hunt</t>
  </si>
  <si>
    <t>The Hunt, Stlo</t>
  </si>
  <si>
    <t>mr4ULFCyowA</t>
  </si>
  <si>
    <t>zmj5nmS2wqQ</t>
  </si>
  <si>
    <t>VSUK Abbey, V2 Shelter</t>
  </si>
  <si>
    <t>P3mMop_LBPg</t>
  </si>
  <si>
    <t>6NsiHKc0OpM</t>
  </si>
  <si>
    <t>W_m3a3Q4NZc</t>
  </si>
  <si>
    <t>Omg Bridge, Dessau1946</t>
  </si>
  <si>
    <t>1QlRE34U1xA</t>
  </si>
  <si>
    <t>sW9-ehvw7do</t>
  </si>
  <si>
    <t>25e5A5XhmAQ</t>
  </si>
  <si>
    <t>V2 Shelter, The Bridge</t>
  </si>
  <si>
    <t>The Bridge, Stlo</t>
  </si>
  <si>
    <t>NTbb390h6I0</t>
  </si>
  <si>
    <t>VSUK Abbey, The Bridge, The Hunt, V2</t>
  </si>
  <si>
    <t>4Q_qLYOLCKs</t>
  </si>
  <si>
    <t>Stlo, Navarone</t>
  </si>
  <si>
    <t>Stlo4, The Hunt</t>
  </si>
  <si>
    <t>oXudUbQsanA</t>
  </si>
  <si>
    <t>Stlo, VSUK Abbey</t>
  </si>
  <si>
    <t>The Bridge, V2 Shelter</t>
  </si>
  <si>
    <t>l3FNgZ01vDM</t>
  </si>
  <si>
    <t>VSUK Abbey, The Hunt</t>
  </si>
  <si>
    <t>Omg Bridge, Stlo</t>
  </si>
  <si>
    <t>xBJs1Ezd5wM</t>
  </si>
  <si>
    <t>Stlo4, The Bridge</t>
  </si>
  <si>
    <t>9CKKOWqaj54</t>
  </si>
  <si>
    <t>VSUK Abbey, V2</t>
  </si>
  <si>
    <t>wiktor</t>
  </si>
  <si>
    <t>WpLzen_LSU8</t>
  </si>
  <si>
    <t>I-dmTARrxl4</t>
  </si>
  <si>
    <t>IqumNZarrLU</t>
  </si>
  <si>
    <t>cabanik</t>
  </si>
  <si>
    <t>wicio</t>
  </si>
  <si>
    <t>sP3dNNX3Xak</t>
  </si>
  <si>
    <t>The Hunt, V2 Shleter</t>
  </si>
  <si>
    <t>GGTvLjhXbE4</t>
  </si>
  <si>
    <t>A-uNEyrKK3Q</t>
  </si>
  <si>
    <t>kurian</t>
  </si>
  <si>
    <t>malysw</t>
  </si>
  <si>
    <t>LqbeK1ZbhZ0</t>
  </si>
  <si>
    <t>The Hunt, Bridge</t>
  </si>
  <si>
    <t>Navarone, Dessau1946</t>
  </si>
  <si>
    <t>lrIoCCxfiM8</t>
  </si>
  <si>
    <t>uO2ACBTiEcA</t>
  </si>
  <si>
    <t>Navarone, The Bridge</t>
  </si>
  <si>
    <t>6Pc1Wvsp0Ww</t>
  </si>
  <si>
    <t>VSUK Abbey, Stlo4</t>
  </si>
  <si>
    <t>V0AzWysz8Lk&amp;t</t>
  </si>
  <si>
    <t>shinobi</t>
  </si>
  <si>
    <t>U9mt0mdfFoM</t>
  </si>
  <si>
    <t>l89qA1p8tUc</t>
  </si>
  <si>
    <t>KiOMbsA_6dU</t>
  </si>
  <si>
    <t>ob7rY55mBNA</t>
  </si>
  <si>
    <t>J6Jpu-S5AnM</t>
  </si>
  <si>
    <t>bT0vN1xZmC8</t>
  </si>
  <si>
    <t>slash</t>
  </si>
  <si>
    <t>uSeCKHpLTI8</t>
  </si>
  <si>
    <t>4lsVH-HEhlQ</t>
  </si>
  <si>
    <t>V2, Stlo4</t>
  </si>
  <si>
    <t>q29NUUst8fE</t>
  </si>
  <si>
    <t>Stlo4, V2 + grabarz (+2.9pc, 11 frags)</t>
  </si>
  <si>
    <t>Z0QfotanEHY</t>
  </si>
  <si>
    <t>yxAhQCgQ6hY</t>
  </si>
  <si>
    <t>wint</t>
  </si>
  <si>
    <t>bSyn3U6oPAA</t>
  </si>
  <si>
    <t>nPZIyqLFX7s</t>
  </si>
  <si>
    <t xml:space="preserve">VSUK Abbey, The Bridge </t>
  </si>
  <si>
    <t>The Hunt, The Bridge, VSUK Abbey</t>
  </si>
  <si>
    <t>V2, Stlo</t>
  </si>
  <si>
    <t>SveckszI3O8</t>
  </si>
  <si>
    <t>The Hunt, VSUK Abbey</t>
  </si>
  <si>
    <t>spiker</t>
  </si>
  <si>
    <t>danny</t>
  </si>
  <si>
    <t>TSRvu2nzxZI</t>
  </si>
  <si>
    <t>UC-ejERQwxI</t>
  </si>
  <si>
    <t>The Hunt, VSUK Abbey, The Bridge, V2</t>
  </si>
  <si>
    <t>trigger</t>
  </si>
  <si>
    <t>r2FURnTd318</t>
  </si>
  <si>
    <t>U6fSrz3AZ7o</t>
  </si>
  <si>
    <t>LlDQFTjgv4U</t>
  </si>
  <si>
    <t>kreha</t>
  </si>
  <si>
    <t>hTuo1RYfmEw</t>
  </si>
  <si>
    <t>DuSjKR-dK5A</t>
  </si>
  <si>
    <t>mtULaujcrOM</t>
  </si>
  <si>
    <t>7eUymJoKPOw</t>
  </si>
  <si>
    <t>7cNGC-P5iOE</t>
  </si>
  <si>
    <t>ooiUJytFy6o</t>
  </si>
  <si>
    <t>7YOddzG1WvU</t>
  </si>
  <si>
    <t>tly6i3i5D_I</t>
  </si>
  <si>
    <t>hdSGCHSPenA</t>
  </si>
  <si>
    <t>QFgL-sSNfgA</t>
  </si>
  <si>
    <t>Stlo, The Hunt</t>
  </si>
  <si>
    <t>XfXELxY3u8w</t>
  </si>
  <si>
    <t>The Hunt, V2, The Bridge</t>
  </si>
  <si>
    <t>anithero</t>
  </si>
  <si>
    <t>f1sh</t>
  </si>
  <si>
    <t>jhOFQ3Di3Hc</t>
  </si>
  <si>
    <t>TTUseGgxHFY</t>
  </si>
  <si>
    <t>VSUK Abbey, V2, The Hunt</t>
  </si>
  <si>
    <t>lhFWY_VjdtA</t>
  </si>
  <si>
    <t>Wv0Q1p2Y77Q</t>
  </si>
  <si>
    <t>Stlo, V2</t>
  </si>
  <si>
    <t>nnseni-d57A</t>
  </si>
  <si>
    <t>L9OdSDlj51k</t>
  </si>
  <si>
    <t>8DNF7xn96o8</t>
  </si>
  <si>
    <t>CGRQp2JdiJs</t>
  </si>
  <si>
    <t>oUP9XSopxto</t>
  </si>
  <si>
    <t>C1U4cZq9r4k</t>
  </si>
  <si>
    <t>u-DBlmN-n5w</t>
  </si>
  <si>
    <t>vBqFMG3kvyM</t>
  </si>
  <si>
    <t>XlwAdlJlZz0</t>
  </si>
  <si>
    <t>WOVEJsSOFpc</t>
  </si>
  <si>
    <t>l4bJmhUBeUI</t>
  </si>
  <si>
    <t>UhET7cC7xW8</t>
  </si>
  <si>
    <t>d2gzrNimS7M</t>
  </si>
  <si>
    <t>VSUK Abbey, Dessau1946</t>
  </si>
  <si>
    <t>KCTrCR6hBSE</t>
  </si>
  <si>
    <t>V2, V2</t>
  </si>
  <si>
    <t>SRxzpPKSB-o</t>
  </si>
  <si>
    <t>15</t>
  </si>
  <si>
    <t>jellez</t>
  </si>
  <si>
    <t>5</t>
  </si>
  <si>
    <t>v01HoMzvymE</t>
  </si>
  <si>
    <t>w478gF7L7TY</t>
  </si>
  <si>
    <t>V2, V2 Shelter</t>
  </si>
  <si>
    <t>bXm3XDSDPhA</t>
  </si>
  <si>
    <t>Yc9jXs9X4wU</t>
  </si>
  <si>
    <t>ygLRrEQI6lM</t>
  </si>
  <si>
    <t>aa3vUpFTyh4</t>
  </si>
  <si>
    <t>8g59sm2YIEg</t>
  </si>
  <si>
    <t>HoQqujXqSy0</t>
  </si>
  <si>
    <t>Dessau1946, Navarone</t>
  </si>
  <si>
    <t>nGPHE9mbu70</t>
  </si>
  <si>
    <t>Wm_36XuSDV4</t>
  </si>
  <si>
    <t>V2, VSUK Abbey</t>
  </si>
  <si>
    <t>Dessau1946, Stlo4</t>
  </si>
  <si>
    <t>9dfiFYqPrds</t>
  </si>
  <si>
    <t>AFc8-Fmvzik</t>
  </si>
  <si>
    <t>ejbE_mprGqI</t>
  </si>
  <si>
    <t>Navarone, Stlo</t>
  </si>
  <si>
    <t>NWEztLasydw</t>
  </si>
  <si>
    <t>iiKUJBSupck</t>
  </si>
  <si>
    <t>mW0060otWs4</t>
  </si>
  <si>
    <t>WykZmCHAMjc</t>
  </si>
  <si>
    <t>V2 Shelter, The Hunt</t>
  </si>
  <si>
    <t>9BJpJxOqWkI</t>
  </si>
  <si>
    <t>107HmNaA_uU</t>
  </si>
  <si>
    <t>Tg3tzHYCM38</t>
  </si>
  <si>
    <t>O6GF0-pAUqM</t>
  </si>
  <si>
    <t>THe Hunt, VSUK Abbey</t>
  </si>
  <si>
    <t>wFPmh2uA_gs</t>
  </si>
  <si>
    <t>sY7ElObwaMM</t>
  </si>
  <si>
    <t>mUgzbBJW6V0</t>
  </si>
  <si>
    <t>7rdi0osdo50</t>
  </si>
  <si>
    <t>ytpfmIpH-GI</t>
  </si>
  <si>
    <t>bIc8HY8cMu4</t>
  </si>
  <si>
    <t>TpcP56px3X4</t>
  </si>
  <si>
    <t>V2 Shelter, Dessau1946</t>
  </si>
  <si>
    <t>ZlX-3piBuDc&amp;t</t>
  </si>
  <si>
    <t>Stlo, V2, The Hunt</t>
  </si>
  <si>
    <t>1RSG8DXI34A</t>
  </si>
  <si>
    <t>The Bridge OMG, The Hunt OMG</t>
  </si>
  <si>
    <t>sauli</t>
  </si>
  <si>
    <t>EwZDe1ZgJNU</t>
  </si>
  <si>
    <t>The Bridge, Navarone</t>
  </si>
  <si>
    <t>OMG Hunt, V2</t>
  </si>
  <si>
    <t>V2 Extended</t>
  </si>
  <si>
    <t>Dessau1946, The Church Final</t>
  </si>
  <si>
    <t>Bridge OMG, VSUK Abbey</t>
  </si>
  <si>
    <t>OBUi1VYB350</t>
  </si>
  <si>
    <t>_LzqvgaarKY</t>
  </si>
  <si>
    <t>zz0cIMK0hzA</t>
  </si>
  <si>
    <t>NWuf6gkDSMY</t>
  </si>
  <si>
    <t>rPr7KQFmO_U</t>
  </si>
  <si>
    <t>The Hunt, Dessau1946</t>
  </si>
  <si>
    <t>enf0rcer</t>
  </si>
  <si>
    <t>qwSCA-c73i4</t>
  </si>
  <si>
    <t>The Hunt, THe Bridge</t>
  </si>
  <si>
    <t>chris</t>
  </si>
  <si>
    <t>QH3mJl9tYR0</t>
  </si>
  <si>
    <t>IySvs8C8XRU</t>
  </si>
  <si>
    <t>q20RYKuvlZk</t>
  </si>
  <si>
    <t>xiibase</t>
  </si>
  <si>
    <t>XS8NBtMC3Lg</t>
  </si>
  <si>
    <t>hiV4lmxvkSQ</t>
  </si>
  <si>
    <t>capitao-gancho</t>
  </si>
  <si>
    <t>rc</t>
  </si>
  <si>
    <t>The Birdge, V2</t>
  </si>
  <si>
    <t>gKZQlDYC7mE</t>
  </si>
  <si>
    <t>AMk1kv923AA</t>
  </si>
  <si>
    <t>8qNOz7DfPFU</t>
  </si>
  <si>
    <t xml:space="preserve">The Hunt, V2, Cheater(Pelvis) catched by force screenshot </t>
  </si>
  <si>
    <t>QyAWXvEg-qk</t>
  </si>
  <si>
    <t>TcUntqY0KGc</t>
  </si>
  <si>
    <t>XxNzksPRozU</t>
  </si>
  <si>
    <t>6Duj_STuciE</t>
  </si>
  <si>
    <t>2Mbixwb-MLA</t>
  </si>
  <si>
    <t>Navarone, V2</t>
  </si>
  <si>
    <t>applepitje</t>
  </si>
  <si>
    <t>RhmxlpVo_vs</t>
  </si>
  <si>
    <t>drejk</t>
  </si>
  <si>
    <t>The Bridge OMG</t>
  </si>
  <si>
    <t>V2 Extended, VSUK Abbey</t>
  </si>
  <si>
    <t>tailz</t>
  </si>
  <si>
    <t>9bE7C4stIQE</t>
  </si>
  <si>
    <t>6ZHR9hefVK4</t>
  </si>
  <si>
    <t>14</t>
  </si>
  <si>
    <t>9</t>
  </si>
  <si>
    <t>16</t>
  </si>
  <si>
    <t>8</t>
  </si>
  <si>
    <t>11</t>
  </si>
  <si>
    <t>2</t>
  </si>
  <si>
    <t>jay-z</t>
  </si>
  <si>
    <t>granu</t>
  </si>
  <si>
    <t>psex_xmjMi8</t>
  </si>
  <si>
    <t>1000</t>
  </si>
  <si>
    <t>The Hunt, V2 shelter (Mr.Wiggles play only V2 Shelter)</t>
  </si>
  <si>
    <t>johny</t>
  </si>
  <si>
    <t>b_vDbpls9IU</t>
  </si>
  <si>
    <t>--nFS6Y9Ric</t>
  </si>
  <si>
    <t>x19JnzskQp4</t>
  </si>
  <si>
    <t>SvyeKM11QqQ</t>
  </si>
  <si>
    <t>Navarone, VSUK Abbey, The Bridge</t>
  </si>
  <si>
    <t>The Bridge, VSUK Abbey, V2</t>
  </si>
  <si>
    <t>wyrox</t>
  </si>
  <si>
    <t>kQarnH4wK-s</t>
  </si>
  <si>
    <t>bRgU9C2JmzM</t>
  </si>
  <si>
    <t>V2 Shleter, V2</t>
  </si>
  <si>
    <t>VSUK Abbey, Stlo</t>
  </si>
  <si>
    <t>18</t>
  </si>
  <si>
    <t>13</t>
  </si>
  <si>
    <t>The Church Final, Navarone</t>
  </si>
  <si>
    <t>Stlo, Dessau1946</t>
  </si>
  <si>
    <t>gjsSd9Co0dY</t>
  </si>
  <si>
    <t>Dessau1946, The Hunt</t>
  </si>
  <si>
    <t>VSUK Abbey, V2, V2 Shelter</t>
  </si>
  <si>
    <t>-6KJOuSd3UQ</t>
  </si>
  <si>
    <t>V2, Navarone</t>
  </si>
  <si>
    <t>xQ1KlZE4Q8A</t>
  </si>
  <si>
    <t>pUj9_gyfG_w</t>
  </si>
  <si>
    <t>ACGavOIkxzc</t>
  </si>
  <si>
    <t>mafia</t>
  </si>
  <si>
    <t>VSUK Abbey, Renan</t>
  </si>
  <si>
    <t>oryion</t>
  </si>
  <si>
    <t>killroy</t>
  </si>
  <si>
    <t>fresh</t>
  </si>
  <si>
    <t>The Bridge, Dessau1946</t>
  </si>
  <si>
    <t>tSKXsyv2yIM</t>
  </si>
  <si>
    <t>TuDdFJbRD1U</t>
  </si>
  <si>
    <t>gWS_-4kvEOM</t>
  </si>
  <si>
    <t>The Hunt, The Church Final</t>
  </si>
  <si>
    <t>zqIwKww7UX8</t>
  </si>
  <si>
    <t>KfvK9YWHTk0</t>
  </si>
  <si>
    <t>8GCYVmCEr8g</t>
  </si>
  <si>
    <t>lUA6_It7gYY</t>
  </si>
  <si>
    <t>GbIsWf5s9Kc</t>
  </si>
  <si>
    <t>i_Lvrlc9ewo</t>
  </si>
  <si>
    <t>Dessau1946, Stlo</t>
  </si>
  <si>
    <t>cN-Zs8e5HTE</t>
  </si>
  <si>
    <t>l1_QKDIo_ok</t>
  </si>
  <si>
    <t>0xl4L8qu8zk</t>
  </si>
  <si>
    <t>uoTdg14x2Ds</t>
  </si>
  <si>
    <t>w7XYVKXZf6o</t>
  </si>
  <si>
    <t>ltV_soMFFi8</t>
  </si>
  <si>
    <t>V2 Shelter, The Bridge, VSUK Abbey</t>
  </si>
  <si>
    <t>e3tD184Mjus</t>
  </si>
  <si>
    <t>NiL63mF_OGA</t>
  </si>
  <si>
    <t>uFA2VRkafII</t>
  </si>
  <si>
    <t>The Hunt, V2, The Bridge, VSUK Abbey</t>
  </si>
  <si>
    <t>The Lost Town, Dessau1946</t>
  </si>
  <si>
    <t>j9pqaSGQjM8</t>
  </si>
  <si>
    <t>-CgKzTotrQM</t>
  </si>
  <si>
    <t>-GuzlL2Anf4</t>
  </si>
  <si>
    <t>LvCiEfSvCrk</t>
  </si>
  <si>
    <t>FtN7SW9SVHE</t>
  </si>
  <si>
    <t>RbupBwdsB3g</t>
  </si>
  <si>
    <t>rZQfxIVb1Sk</t>
  </si>
  <si>
    <t>cCp6cLPWTwA</t>
  </si>
  <si>
    <t>7LQhXSlwQqk</t>
  </si>
  <si>
    <t>PitSXPBdoxo</t>
  </si>
  <si>
    <t>4S4UrFRDvJ8</t>
  </si>
  <si>
    <t>emrxyDfXfl8</t>
  </si>
  <si>
    <t>aSVVdyzdNAk</t>
  </si>
  <si>
    <t>V2, VSUK Abbey, The Hunt</t>
  </si>
  <si>
    <t>The Hunt, VSUK Abbey, V2, The Bridge</t>
  </si>
  <si>
    <t>VSUK Abbey, OMG Bridge</t>
  </si>
  <si>
    <t>The Lost Town, Navarone</t>
  </si>
  <si>
    <t>Dessau1946, V2</t>
  </si>
  <si>
    <t>E-XHVX0W6lk</t>
  </si>
  <si>
    <t>1_KuIVYG0AE</t>
  </si>
  <si>
    <t>The Village, The Bridge</t>
  </si>
  <si>
    <t>H1-q7IB2bis</t>
  </si>
  <si>
    <t>gFuDX--wm6Q</t>
  </si>
  <si>
    <t>CQSqdeNA_CU</t>
  </si>
  <si>
    <t>VSUK Abbey, The Bridge, V2 Shelter</t>
  </si>
  <si>
    <t>6NsVNQRPA_M</t>
  </si>
  <si>
    <t>BhhlXY2TNEQ</t>
  </si>
  <si>
    <t>6BBzQtsXApg</t>
  </si>
  <si>
    <t>Navarone, Stlo, V2 Shelter</t>
  </si>
  <si>
    <t>V2, Stlo, VSUK Abbey</t>
  </si>
  <si>
    <t>girao</t>
  </si>
  <si>
    <t>7</t>
  </si>
  <si>
    <t>Stlo, The Hunt, V2, The Bridge</t>
  </si>
  <si>
    <t>sancho</t>
  </si>
  <si>
    <t>The Hunt, Dessau1946, Stlo</t>
  </si>
  <si>
    <t>KaGD_Lr5mtk</t>
  </si>
  <si>
    <t>m7vtiiCucZ4</t>
  </si>
  <si>
    <t>alien</t>
  </si>
  <si>
    <t>Renan, Stlo</t>
  </si>
  <si>
    <t>Navarone, The Church Final</t>
  </si>
  <si>
    <t>VSUK Abbey, Stlo, V2</t>
  </si>
  <si>
    <t>VSUK Abbey, The Hunt, V2</t>
  </si>
  <si>
    <t>real score: 14:14</t>
  </si>
  <si>
    <t>stylo</t>
  </si>
  <si>
    <t>sagi</t>
  </si>
  <si>
    <t>The Hunt, Stlo, Dessau1946</t>
  </si>
  <si>
    <t>IqjHMz6Qa08</t>
  </si>
  <si>
    <t>uRv6-ejWUrY</t>
  </si>
  <si>
    <t>Navarone, V2 Shelter</t>
  </si>
  <si>
    <t>The Hunt, Renan</t>
  </si>
  <si>
    <t>V2, Church Final</t>
  </si>
  <si>
    <t>The Church Final, V2 Shelter</t>
  </si>
  <si>
    <t>mr-t0ud</t>
  </si>
  <si>
    <t>V2, Stlo, war without nades</t>
  </si>
  <si>
    <t>Dessau1946, The Bridge, war without nades</t>
  </si>
  <si>
    <t>The Hunt, V2, The Bridge, Stlo</t>
  </si>
  <si>
    <t>The Church Final, VSUK Abbey</t>
  </si>
  <si>
    <t>sid</t>
  </si>
  <si>
    <t>V2, Stlo, The Hunt</t>
  </si>
  <si>
    <t>The Church Final, The Hunt</t>
  </si>
  <si>
    <t>cycu</t>
  </si>
  <si>
    <t>phantom</t>
  </si>
  <si>
    <t>The Hunt, V2, The Bridge, Navarone, Stlo. Brawa dla teamu2 że tyle wytrzymaliście z Grabarzem.</t>
  </si>
  <si>
    <t>The Hunt, V2, The Bridge. Two first map grabarzz &amp; glowaa play rifle with nades, zielakk and wariatt play only snipe. Last map play AW.</t>
  </si>
  <si>
    <t>V2, The Hunt, The Bridge</t>
  </si>
  <si>
    <t>PNRMqnGVaDY</t>
  </si>
  <si>
    <t>The Bridge, The Hunt, V2</t>
  </si>
  <si>
    <t>tjI-gYBTCFg</t>
  </si>
  <si>
    <t>Ca0vJOO4Yow</t>
  </si>
  <si>
    <t>The Bridge, The Church Final</t>
  </si>
  <si>
    <t>Stlo, V2, Dessau1946</t>
  </si>
  <si>
    <t>striker</t>
  </si>
  <si>
    <t>Stlo, The Bridge, V2, The Hunt</t>
  </si>
  <si>
    <t>V2, The Hunt, The Bridge, VSUK Abbey</t>
  </si>
  <si>
    <t>Mohamed</t>
  </si>
  <si>
    <t>_X0zUrjCnUw</t>
  </si>
  <si>
    <t>2ookjFdcXPk</t>
  </si>
  <si>
    <t>Ultra napizgany SZYCHA!!!</t>
  </si>
  <si>
    <t>spooox</t>
  </si>
  <si>
    <t>gasmask</t>
  </si>
  <si>
    <t>The Bridge, Dessau1946, The Hunt</t>
  </si>
  <si>
    <t>inco</t>
  </si>
  <si>
    <t>batmuma</t>
  </si>
  <si>
    <t xml:space="preserve">Instead of -Illu$ioN- played Magda </t>
  </si>
  <si>
    <t>midas</t>
  </si>
  <si>
    <t>Dessau1946, Renan</t>
  </si>
  <si>
    <t>Renan, VSUK Abbey, V2</t>
  </si>
  <si>
    <t>poziomka</t>
  </si>
  <si>
    <t>7ounAXAOYdg</t>
  </si>
  <si>
    <t>VqZSWCIpAdg&amp;t</t>
  </si>
  <si>
    <t>NOyT2o2xElA</t>
  </si>
  <si>
    <t>5 maps, VSUK Abbey, The Hunt, V2, The Bridge, Stlo</t>
  </si>
  <si>
    <t>VSUK Abbey, The Hunt, Stlo</t>
  </si>
  <si>
    <t>10</t>
  </si>
  <si>
    <t>23</t>
  </si>
  <si>
    <t>34</t>
  </si>
  <si>
    <t>V2, Renan</t>
  </si>
  <si>
    <t>1021.31</t>
  </si>
  <si>
    <t>Renan, Stlo, VSUK Abbey</t>
  </si>
  <si>
    <t>Team1Players</t>
  </si>
  <si>
    <t>ELO1</t>
  </si>
  <si>
    <t>Team2Players</t>
  </si>
  <si>
    <t>ELO2</t>
  </si>
  <si>
    <t>due</t>
  </si>
  <si>
    <t>Chris</t>
  </si>
  <si>
    <t>-insaNe! &gt;</t>
  </si>
  <si>
    <t>stArs ' 2fast4u</t>
  </si>
  <si>
    <t>TailZ</t>
  </si>
  <si>
    <t>cwq</t>
  </si>
  <si>
    <t>long inactivity</t>
  </si>
  <si>
    <t>Inco^</t>
  </si>
  <si>
    <t>strikeR</t>
  </si>
  <si>
    <t>WoA</t>
  </si>
  <si>
    <t>Wicio</t>
  </si>
  <si>
    <t>Oprawca</t>
  </si>
  <si>
    <t>KillrOy-</t>
  </si>
  <si>
    <t>iCr</t>
  </si>
  <si>
    <t>shin0bi</t>
  </si>
  <si>
    <t>jay z</t>
  </si>
  <si>
    <t>Cabanik</t>
  </si>
  <si>
    <t>Mr.Wiggles</t>
  </si>
  <si>
    <t>#fear</t>
  </si>
  <si>
    <t>$n@ke</t>
  </si>
  <si>
    <t>D t S</t>
  </si>
  <si>
    <t>WyRoX</t>
  </si>
  <si>
    <t>Danny</t>
  </si>
  <si>
    <t>RO</t>
  </si>
  <si>
    <t>too weak</t>
  </si>
  <si>
    <t>Ultrakiller</t>
  </si>
  <si>
    <t>MoSeS</t>
  </si>
  <si>
    <t>FI</t>
  </si>
  <si>
    <t>Kreha</t>
  </si>
  <si>
    <t>Lechu</t>
  </si>
  <si>
    <t>gasmask-</t>
  </si>
  <si>
    <t>OrY!On</t>
  </si>
  <si>
    <t>&lt;=|SkS|=&gt;</t>
  </si>
  <si>
    <t>S4GI</t>
  </si>
  <si>
    <t>Drejk</t>
  </si>
  <si>
    <t>frEsh</t>
  </si>
  <si>
    <t>AlieN</t>
  </si>
  <si>
    <t>bATMUMA</t>
  </si>
  <si>
    <t>Applepitje</t>
  </si>
  <si>
    <t>Aker</t>
  </si>
  <si>
    <t>Slash</t>
  </si>
  <si>
    <t>anima, wk, mmh</t>
  </si>
  <si>
    <t>sP1Ker! &gt;</t>
  </si>
  <si>
    <t>Poziomka</t>
  </si>
  <si>
    <t>Antiher0</t>
  </si>
  <si>
    <t>pray3r</t>
  </si>
  <si>
    <t>JELLEZ</t>
  </si>
  <si>
    <t>anima</t>
  </si>
  <si>
    <t>.Trigger!</t>
  </si>
  <si>
    <t>SiD</t>
  </si>
  <si>
    <t>wiNt</t>
  </si>
  <si>
    <t>LP LP F LK HP</t>
  </si>
  <si>
    <t>Tomas</t>
  </si>
  <si>
    <t>mr.T0ud!</t>
  </si>
  <si>
    <t>SanCho</t>
  </si>
  <si>
    <t>spooox-</t>
  </si>
  <si>
    <t>Hwk</t>
  </si>
  <si>
    <t>Kurian</t>
  </si>
  <si>
    <t>Wiktor</t>
  </si>
  <si>
    <t>&amp;elu$</t>
  </si>
  <si>
    <t>WermachT, Vendetta</t>
  </si>
  <si>
    <t>Johny</t>
  </si>
  <si>
    <t>US</t>
  </si>
  <si>
    <t>rybA</t>
  </si>
  <si>
    <t>NG^</t>
  </si>
  <si>
    <t>Kenz</t>
  </si>
  <si>
    <t>JO</t>
  </si>
  <si>
    <t>Xiibase</t>
  </si>
  <si>
    <t>Girão</t>
  </si>
  <si>
    <t>Capitao Gancho</t>
  </si>
  <si>
    <t>RC</t>
  </si>
  <si>
    <t>lp</t>
  </si>
  <si>
    <t>user1</t>
  </si>
  <si>
    <t>user2</t>
  </si>
  <si>
    <t>user3</t>
  </si>
  <si>
    <t>winner_r1</t>
  </si>
  <si>
    <t>winner_r2</t>
  </si>
  <si>
    <t>winner_r3</t>
  </si>
  <si>
    <t>final</t>
  </si>
  <si>
    <t>loser_r1</t>
  </si>
  <si>
    <t>loser_r2</t>
  </si>
  <si>
    <t>loser_r3</t>
  </si>
  <si>
    <t>loser_r4</t>
  </si>
  <si>
    <t xml:space="preserve"> MaDiNfO</t>
  </si>
  <si>
    <t xml:space="preserve">Wariat </t>
  </si>
  <si>
    <t xml:space="preserve">Jim </t>
  </si>
  <si>
    <t>clan</t>
  </si>
  <si>
    <t>status</t>
  </si>
  <si>
    <t>Rudolf Hess</t>
  </si>
  <si>
    <t>rudolf-hess</t>
  </si>
  <si>
    <t>Not-want-to-play</t>
  </si>
  <si>
    <t>Maliniak</t>
  </si>
  <si>
    <t>maliniak</t>
  </si>
  <si>
    <t>TOUGH^GUY</t>
  </si>
  <si>
    <t>tough-guy</t>
  </si>
  <si>
    <t>Magic</t>
  </si>
  <si>
    <t>magic</t>
  </si>
  <si>
    <t>No-contact</t>
  </si>
  <si>
    <t>Paradox</t>
  </si>
  <si>
    <t>paradox</t>
  </si>
  <si>
    <t>Scarface</t>
  </si>
  <si>
    <t>scarface</t>
  </si>
  <si>
    <t>MaMa</t>
  </si>
  <si>
    <t>mama</t>
  </si>
  <si>
    <t>Ramzes</t>
  </si>
  <si>
    <t>ramzes</t>
  </si>
  <si>
    <t>Bols</t>
  </si>
  <si>
    <t>bols</t>
  </si>
  <si>
    <t>Seba</t>
  </si>
  <si>
    <t>seba</t>
  </si>
  <si>
    <t>ChmielO</t>
  </si>
  <si>
    <t>chmielo</t>
  </si>
  <si>
    <t>PiOD</t>
  </si>
  <si>
    <t>piod</t>
  </si>
  <si>
    <t>Nadol</t>
  </si>
  <si>
    <t>nadol</t>
  </si>
  <si>
    <t>Sadza</t>
  </si>
  <si>
    <t>sadza</t>
  </si>
  <si>
    <t>Zawisza</t>
  </si>
  <si>
    <t>zawisza</t>
  </si>
  <si>
    <t>jasio</t>
  </si>
  <si>
    <t>Kosa</t>
  </si>
  <si>
    <t>kosa</t>
  </si>
  <si>
    <t>mystek</t>
  </si>
  <si>
    <t>pdm</t>
  </si>
  <si>
    <t>Chudy_Ed</t>
  </si>
  <si>
    <t>chudy-ed</t>
  </si>
  <si>
    <t>Mortiusz</t>
  </si>
  <si>
    <t>mortiusz</t>
  </si>
  <si>
    <t>Hulk</t>
  </si>
  <si>
    <t>hulk</t>
  </si>
  <si>
    <t>KopeR</t>
  </si>
  <si>
    <t>koper</t>
  </si>
  <si>
    <t>MySzArD</t>
  </si>
  <si>
    <t>myszard</t>
  </si>
  <si>
    <t>Vicas</t>
  </si>
  <si>
    <t>vicas</t>
  </si>
  <si>
    <t>Gro$hman</t>
  </si>
  <si>
    <t>groshman</t>
  </si>
  <si>
    <t>vtRn!</t>
  </si>
  <si>
    <t>vtrn</t>
  </si>
  <si>
    <t>Wesoły MC</t>
  </si>
  <si>
    <t>wesoly</t>
  </si>
  <si>
    <t>fawkes!</t>
  </si>
  <si>
    <t>fawkes</t>
  </si>
  <si>
    <t>Shadow</t>
  </si>
  <si>
    <t>shadow</t>
  </si>
  <si>
    <t>Makutra</t>
  </si>
  <si>
    <t>makutra</t>
  </si>
  <si>
    <t>ShowTime</t>
  </si>
  <si>
    <t>showtime</t>
  </si>
  <si>
    <t>nickname</t>
  </si>
  <si>
    <t>lat</t>
  </si>
  <si>
    <t>lng</t>
  </si>
  <si>
    <t>tel</t>
  </si>
  <si>
    <t>realname</t>
  </si>
  <si>
    <t>address</t>
  </si>
  <si>
    <t>accurate</t>
  </si>
  <si>
    <t>Ernest</t>
  </si>
  <si>
    <t>Poznań</t>
  </si>
  <si>
    <t>KaPSeL</t>
  </si>
  <si>
    <t>600 033 357</t>
  </si>
  <si>
    <t>Filip</t>
  </si>
  <si>
    <t>Łódź</t>
  </si>
  <si>
    <t>796 434 039</t>
  </si>
  <si>
    <t>Bartłomiej</t>
  </si>
  <si>
    <t>Katowice</t>
  </si>
  <si>
    <t>570 753 344</t>
  </si>
  <si>
    <t>Adam</t>
  </si>
  <si>
    <t>Władysławowo</t>
  </si>
  <si>
    <t>601 953 266</t>
  </si>
  <si>
    <t>Maciej</t>
  </si>
  <si>
    <t>Biała Podlaska</t>
  </si>
  <si>
    <t>516 735 375</t>
  </si>
  <si>
    <t>Sebastian</t>
  </si>
  <si>
    <t>Zielona Góra</t>
  </si>
  <si>
    <t>GLOWA</t>
  </si>
  <si>
    <t>793 794 579</t>
  </si>
  <si>
    <t>Wojciech</t>
  </si>
  <si>
    <t>Ząbki</t>
  </si>
  <si>
    <t>ZielakPr0</t>
  </si>
  <si>
    <t>504 001 371</t>
  </si>
  <si>
    <t>Daniel</t>
  </si>
  <si>
    <t>Piotr</t>
  </si>
  <si>
    <t>Warszawa</t>
  </si>
  <si>
    <t>793 398 005</t>
  </si>
  <si>
    <t>Chorzów</t>
  </si>
  <si>
    <t>Jacek</t>
  </si>
  <si>
    <t>784 658 429</t>
  </si>
  <si>
    <t>Adrian</t>
  </si>
  <si>
    <t>Rogoźno</t>
  </si>
  <si>
    <t>inactive</t>
  </si>
  <si>
    <t>784 687 788</t>
  </si>
  <si>
    <t>Mateusz</t>
  </si>
  <si>
    <t>Piastów</t>
  </si>
  <si>
    <t>Przemyśl</t>
  </si>
  <si>
    <t>505 404 034</t>
  </si>
  <si>
    <t>Damian</t>
  </si>
  <si>
    <t>Mikołów</t>
  </si>
  <si>
    <t>603 206 213</t>
  </si>
  <si>
    <t>Mariusz</t>
  </si>
  <si>
    <t>Lubin</t>
  </si>
  <si>
    <t>L4mer</t>
  </si>
  <si>
    <t>512 082 255</t>
  </si>
  <si>
    <t>Marcin</t>
  </si>
  <si>
    <t>Żywiec</t>
  </si>
  <si>
    <t>Meg@Sh!ra</t>
  </si>
  <si>
    <t>512 651 205</t>
  </si>
  <si>
    <t>Toruń</t>
  </si>
  <si>
    <t>Maciej B.</t>
  </si>
  <si>
    <t>Kętrzyn</t>
  </si>
  <si>
    <t>Krzysztof M.</t>
  </si>
  <si>
    <t>Olsztyn</t>
  </si>
  <si>
    <t>Dawid</t>
  </si>
  <si>
    <t>Nowy Sącz</t>
  </si>
  <si>
    <t>Mielec</t>
  </si>
  <si>
    <t>?</t>
  </si>
  <si>
    <t>Remco</t>
  </si>
  <si>
    <t>Amersfoort</t>
  </si>
  <si>
    <t>Tomasz</t>
  </si>
  <si>
    <t>Sensei</t>
  </si>
  <si>
    <t>Patryk</t>
  </si>
  <si>
    <t>Tychy</t>
  </si>
  <si>
    <t>Myszard</t>
  </si>
  <si>
    <t>Krzysztof</t>
  </si>
  <si>
    <t>Bardo</t>
  </si>
  <si>
    <t>S4gi</t>
  </si>
  <si>
    <t>506 223 368</t>
  </si>
  <si>
    <t>Jarosław</t>
  </si>
  <si>
    <t>Gdańsk</t>
  </si>
  <si>
    <t>Krystian</t>
  </si>
  <si>
    <t>Słupsk</t>
  </si>
  <si>
    <t>Rybnik</t>
  </si>
  <si>
    <t>Pati</t>
  </si>
  <si>
    <t>Patrycja</t>
  </si>
  <si>
    <t>Szczecin</t>
  </si>
  <si>
    <t>Raczello</t>
  </si>
  <si>
    <t>Łukasz</t>
  </si>
  <si>
    <t>Włodzimierzów</t>
  </si>
  <si>
    <t>Chrome</t>
  </si>
  <si>
    <t>Bzyku</t>
  </si>
  <si>
    <t>Konar</t>
  </si>
  <si>
    <t>Jakub</t>
  </si>
  <si>
    <t>Pabianice</t>
  </si>
  <si>
    <t>Robert 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</si>
</sst>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/yyyy H:mm:ss"/>
    <numFmt numFmtId="165" formatCode="m/d/yyyy h:mm"/>
    <numFmt numFmtId="166" formatCode="mm/dd/yyyy h:mm"/>
    <numFmt numFmtId="167" formatCode="m/d/yyyy h:mm:ss"/>
    <numFmt numFmtId="168" formatCode="###0.00"/>
    <numFmt numFmtId="169" formatCode="#,##0.00000000000"/>
    <numFmt numFmtId="170" formatCode="#,##0.0000000000000"/>
  </numFmts>
  <fonts count="38">
    <font>
      <sz val="10.0"/>
      <color rgb="FF000000"/>
      <name val="Roboto"/>
      <scheme val="minor"/>
    </font>
    <font>
      <sz val="12.0"/>
      <color theme="1"/>
      <name val="Arial"/>
    </font>
    <font>
      <b/>
      <sz val="12.0"/>
      <color theme="1"/>
      <name val="Roboto"/>
      <scheme val="minor"/>
    </font>
    <font>
      <sz val="12.0"/>
      <color theme="1"/>
      <name val="Roboto"/>
      <scheme val="minor"/>
    </font>
    <font>
      <color theme="1"/>
      <name val="Roboto"/>
      <scheme val="minor"/>
    </font>
    <font>
      <color theme="1"/>
      <name val="Arial"/>
    </font>
    <font>
      <sz val="11.0"/>
      <color rgb="FF000000"/>
      <name val="Inconsolata"/>
    </font>
    <font>
      <color theme="1"/>
      <name val="Roboto"/>
    </font>
    <font>
      <sz val="11.0"/>
      <color theme="1"/>
      <name val="Inconsolata"/>
    </font>
    <font>
      <b/>
      <sz val="24.0"/>
      <color theme="1"/>
      <name val="Arial"/>
    </font>
    <font>
      <b/>
      <color theme="1"/>
      <name val="Roboto"/>
      <scheme val="minor"/>
    </font>
    <font>
      <b/>
      <color theme="1"/>
      <name val="Arial"/>
    </font>
    <font>
      <b/>
      <color theme="1"/>
      <name val="Roboto"/>
    </font>
    <font>
      <i/>
      <color theme="1"/>
      <name val="Roboto"/>
      <scheme val="minor"/>
    </font>
    <font>
      <b/>
      <color rgb="FF242729"/>
      <name val="Roboto"/>
      <scheme val="minor"/>
    </font>
    <font/>
    <font>
      <color rgb="FF000000"/>
      <name val="Arial"/>
    </font>
    <font>
      <b/>
      <sz val="36.0"/>
      <color theme="1"/>
      <name val="Roboto"/>
      <scheme val="minor"/>
    </font>
    <font>
      <color rgb="FF000000"/>
      <name val="Roboto"/>
    </font>
    <font>
      <u/>
      <color rgb="FF1155CC"/>
    </font>
    <font>
      <u/>
      <color rgb="FF1155CC"/>
      <name val="Roboto"/>
      <scheme val="minor"/>
    </font>
    <font>
      <u/>
      <color rgb="FF1155CC"/>
      <name val="Roboto"/>
      <scheme val="minor"/>
    </font>
    <font>
      <u/>
      <color rgb="FF1155CC"/>
      <name val="Roboto"/>
      <scheme val="minor"/>
    </font>
    <font>
      <sz val="9.0"/>
      <color rgb="FF000000"/>
      <name val="Poppins"/>
    </font>
    <font>
      <u/>
      <sz val="12.0"/>
      <color rgb="FF0000FF"/>
      <name val="Whitney"/>
    </font>
    <font>
      <u/>
      <sz val="12.0"/>
      <color rgb="FF1155CC"/>
      <name val="Arial"/>
    </font>
    <font>
      <b/>
      <sz val="12.0"/>
      <color theme="1"/>
      <name val="Lato"/>
    </font>
    <font>
      <color theme="1"/>
      <name val="Lato"/>
    </font>
    <font>
      <sz val="12.0"/>
      <color rgb="FF000000"/>
      <name val="Lato"/>
    </font>
    <font>
      <sz val="12.0"/>
      <color rgb="FFFFFFC0"/>
      <name val="Lato"/>
    </font>
    <font>
      <color rgb="FF000000"/>
      <name val="Lato"/>
    </font>
    <font>
      <color rgb="FF000000"/>
      <name val="Roboto"/>
      <scheme val="minor"/>
    </font>
    <font>
      <sz val="12.0"/>
      <color rgb="FFFFFFC0"/>
      <name val="Poppins"/>
    </font>
    <font>
      <sz val="12.0"/>
      <color theme="1"/>
      <name val="Poppins"/>
    </font>
    <font>
      <sz val="14.0"/>
      <color rgb="FFFFFF00"/>
      <name val="Roboto"/>
      <scheme val="minor"/>
    </font>
    <font>
      <sz val="11.0"/>
      <color rgb="FFB5CEA8"/>
      <name val="Consolas"/>
    </font>
    <font>
      <sz val="11.0"/>
      <color rgb="FFB5CEA8"/>
      <name val="Arial"/>
    </font>
    <font>
      <color rgb="FF3C4043"/>
      <name val="Roboto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040405"/>
        <bgColor rgb="FF040405"/>
      </patternFill>
    </fill>
    <fill>
      <patternFill patternType="solid">
        <fgColor theme="1"/>
        <bgColor theme="1"/>
      </patternFill>
    </fill>
    <fill>
      <patternFill patternType="solid">
        <fgColor rgb="FF1E1E1E"/>
        <bgColor rgb="FF1E1E1E"/>
      </patternFill>
    </fill>
  </fills>
  <borders count="10">
    <border/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readingOrder="0" vertical="bottom"/>
    </xf>
    <xf borderId="0" fillId="2" fontId="1" numFmtId="0" xfId="0" applyAlignment="1" applyFont="1">
      <alignment readingOrder="0" vertical="bottom"/>
    </xf>
    <xf borderId="0" fillId="2" fontId="2" numFmtId="4" xfId="0" applyAlignment="1" applyFont="1" applyNumberFormat="1">
      <alignment horizontal="center" readingOrder="0"/>
    </xf>
    <xf borderId="0" fillId="2" fontId="3" numFmtId="4" xfId="0" applyAlignment="1" applyFont="1" applyNumberFormat="1">
      <alignment horizontal="center" readingOrder="0"/>
    </xf>
    <xf borderId="0" fillId="2" fontId="2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2" fontId="4" numFmtId="0" xfId="0" applyAlignment="1" applyFont="1">
      <alignment horizontal="center" readingOrder="0" vertical="center"/>
    </xf>
    <xf borderId="0" fillId="2" fontId="4" numFmtId="0" xfId="0" applyAlignment="1" applyFont="1">
      <alignment horizontal="center" readingOrder="0"/>
    </xf>
    <xf borderId="0" fillId="2" fontId="4" numFmtId="0" xfId="0" applyAlignment="1" applyFont="1">
      <alignment readingOrder="0"/>
    </xf>
    <xf borderId="0" fillId="3" fontId="5" numFmtId="0" xfId="0" applyAlignment="1" applyFill="1" applyFont="1">
      <alignment readingOrder="0" vertical="bottom"/>
    </xf>
    <xf borderId="0" fillId="3" fontId="5" numFmtId="0" xfId="0" applyAlignment="1" applyFont="1">
      <alignment vertical="bottom"/>
    </xf>
    <xf borderId="0" fillId="3" fontId="4" numFmtId="4" xfId="0" applyAlignment="1" applyFont="1" applyNumberFormat="1">
      <alignment horizontal="center" readingOrder="0"/>
    </xf>
    <xf borderId="0" fillId="3" fontId="6" numFmtId="4" xfId="0" applyAlignment="1" applyFont="1" applyNumberFormat="1">
      <alignment horizontal="center" vertical="bottom"/>
    </xf>
    <xf borderId="0" fillId="3" fontId="6" numFmtId="0" xfId="0" applyAlignment="1" applyFont="1">
      <alignment horizontal="center" readingOrder="0" vertical="bottom"/>
    </xf>
    <xf borderId="0" fillId="3" fontId="6" numFmtId="0" xfId="0" applyAlignment="1" applyFont="1">
      <alignment horizontal="center" readingOrder="0" vertical="center"/>
    </xf>
    <xf borderId="0" fillId="4" fontId="6" numFmtId="0" xfId="0" applyAlignment="1" applyFill="1" applyFont="1">
      <alignment horizontal="center" readingOrder="0" vertical="center"/>
    </xf>
    <xf borderId="0" fillId="4" fontId="6" numFmtId="0" xfId="0" applyAlignment="1" applyFont="1">
      <alignment horizontal="center" readingOrder="0" vertical="center"/>
    </xf>
    <xf borderId="0" fillId="4" fontId="6" numFmtId="0" xfId="0" applyAlignment="1" applyFont="1">
      <alignment horizontal="center" readingOrder="0" vertical="center"/>
    </xf>
    <xf borderId="1" fillId="3" fontId="4" numFmtId="164" xfId="0" applyBorder="1" applyFont="1" applyNumberFormat="1"/>
    <xf borderId="0" fillId="3" fontId="4" numFmtId="4" xfId="0" applyFont="1" applyNumberFormat="1"/>
    <xf borderId="0" fillId="3" fontId="4" numFmtId="0" xfId="0" applyFont="1"/>
    <xf borderId="0" fillId="4" fontId="5" numFmtId="0" xfId="0" applyAlignment="1" applyFont="1">
      <alignment readingOrder="0" vertical="bottom"/>
    </xf>
    <xf borderId="0" fillId="4" fontId="5" numFmtId="0" xfId="0" applyAlignment="1" applyFont="1">
      <alignment vertical="bottom"/>
    </xf>
    <xf borderId="0" fillId="4" fontId="6" numFmtId="4" xfId="0" applyAlignment="1" applyFont="1" applyNumberFormat="1">
      <alignment horizontal="center" vertical="bottom"/>
    </xf>
    <xf borderId="0" fillId="4" fontId="6" numFmtId="0" xfId="0" applyAlignment="1" applyFont="1">
      <alignment horizontal="center" readingOrder="0" vertical="bottom"/>
    </xf>
    <xf borderId="0" fillId="4" fontId="7" numFmtId="0" xfId="0" applyAlignment="1" applyFont="1">
      <alignment horizontal="center" vertical="bottom"/>
    </xf>
    <xf borderId="0" fillId="4" fontId="4" numFmtId="0" xfId="0" applyAlignment="1" applyFont="1">
      <alignment horizontal="center" readingOrder="0" vertical="center"/>
    </xf>
    <xf borderId="0" fillId="4" fontId="4" numFmtId="0" xfId="0" applyAlignment="1" applyFont="1">
      <alignment horizontal="center" readingOrder="0"/>
    </xf>
    <xf borderId="0" fillId="3" fontId="4" numFmtId="0" xfId="0" applyAlignment="1" applyFont="1">
      <alignment horizontal="center" readingOrder="0"/>
    </xf>
    <xf borderId="0" fillId="3" fontId="4" numFmtId="0" xfId="0" applyAlignment="1" applyFont="1">
      <alignment horizontal="center" readingOrder="0"/>
    </xf>
    <xf borderId="0" fillId="3" fontId="6" numFmtId="0" xfId="0" applyAlignment="1" applyFont="1">
      <alignment horizontal="center"/>
    </xf>
    <xf borderId="0" fillId="3" fontId="4" numFmtId="0" xfId="0" applyAlignment="1" applyFont="1">
      <alignment horizontal="center" readingOrder="0" vertical="center"/>
    </xf>
    <xf borderId="0" fillId="4" fontId="4" numFmtId="0" xfId="0" applyAlignment="1" applyFont="1">
      <alignment readingOrder="0"/>
    </xf>
    <xf borderId="0" fillId="4" fontId="6" numFmtId="4" xfId="0" applyAlignment="1" applyFont="1" applyNumberFormat="1">
      <alignment horizontal="center"/>
    </xf>
    <xf borderId="0" fillId="4" fontId="4" numFmtId="0" xfId="0" applyFont="1"/>
    <xf borderId="0" fillId="4" fontId="7" numFmtId="0" xfId="0" applyAlignment="1" applyFont="1">
      <alignment horizontal="center" vertical="bottom"/>
    </xf>
    <xf borderId="0" fillId="4" fontId="5" numFmtId="0" xfId="0" applyAlignment="1" applyFont="1">
      <alignment horizontal="center" readingOrder="0" vertical="bottom"/>
    </xf>
    <xf borderId="0" fillId="3" fontId="6" numFmtId="0" xfId="0" applyAlignment="1" applyFont="1">
      <alignment horizontal="center" readingOrder="0" vertical="center"/>
    </xf>
    <xf borderId="0" fillId="4" fontId="4" numFmtId="4" xfId="0" applyAlignment="1" applyFont="1" applyNumberFormat="1">
      <alignment horizontal="center" readingOrder="0"/>
    </xf>
    <xf borderId="0" fillId="4" fontId="6" numFmtId="0" xfId="0" applyAlignment="1" applyFont="1">
      <alignment horizontal="center"/>
    </xf>
    <xf borderId="0" fillId="4" fontId="6" numFmtId="0" xfId="0" applyAlignment="1" applyFont="1">
      <alignment horizontal="center" readingOrder="0"/>
    </xf>
    <xf borderId="0" fillId="4" fontId="5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4" xfId="0" applyAlignment="1" applyFont="1" applyNumberFormat="1">
      <alignment horizontal="center" readingOrder="0"/>
    </xf>
    <xf borderId="0" fillId="0" fontId="6" numFmtId="0" xfId="0" applyAlignment="1" applyFont="1">
      <alignment horizontal="center" readingOrder="0" vertical="bottom"/>
    </xf>
    <xf borderId="0" fillId="3" fontId="6" numFmtId="0" xfId="0" applyAlignment="1" applyFont="1">
      <alignment horizontal="center"/>
    </xf>
    <xf borderId="0" fillId="0" fontId="4" numFmtId="0" xfId="0" applyAlignment="1" applyFont="1">
      <alignment horizontal="center" readingOrder="0" vertical="center"/>
    </xf>
    <xf borderId="0" fillId="0" fontId="6" numFmtId="4" xfId="0" applyAlignment="1" applyFont="1" applyNumberForma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6" numFmtId="4" xfId="0" applyAlignment="1" applyFont="1" applyNumberFormat="1">
      <alignment horizontal="center"/>
    </xf>
    <xf borderId="0" fillId="0" fontId="6" numFmtId="0" xfId="0" applyAlignment="1" applyFont="1">
      <alignment horizontal="center"/>
    </xf>
    <xf borderId="0" fillId="3" fontId="6" numFmtId="0" xfId="0" applyAlignment="1" applyFont="1">
      <alignment horizontal="center" readingOrder="0"/>
    </xf>
    <xf borderId="0" fillId="3" fontId="6" numFmtId="0" xfId="0" applyAlignment="1" applyFont="1">
      <alignment horizontal="center" readingOrder="0"/>
    </xf>
    <xf borderId="0" fillId="4" fontId="4" numFmtId="0" xfId="0" applyAlignment="1" applyFont="1">
      <alignment horizontal="center"/>
    </xf>
    <xf borderId="0" fillId="4" fontId="6" numFmtId="0" xfId="0" applyAlignment="1" applyFont="1">
      <alignment horizontal="center"/>
    </xf>
    <xf borderId="0" fillId="0" fontId="5" numFmtId="0" xfId="0" applyAlignment="1" applyFont="1">
      <alignment horizontal="center" readingOrder="0" vertical="center"/>
    </xf>
    <xf borderId="0" fillId="3" fontId="4" numFmtId="0" xfId="0" applyAlignment="1" applyFont="1">
      <alignment readingOrder="0"/>
    </xf>
    <xf borderId="0" fillId="3" fontId="5" numFmtId="0" xfId="0" applyAlignment="1" applyFont="1">
      <alignment horizontal="center" readingOrder="0" vertical="center"/>
    </xf>
    <xf borderId="0" fillId="3" fontId="7" numFmtId="0" xfId="0" applyAlignment="1" applyFont="1">
      <alignment readingOrder="0" vertical="bottom"/>
    </xf>
    <xf borderId="0" fillId="3" fontId="7" numFmtId="4" xfId="0" applyAlignment="1" applyFont="1" applyNumberFormat="1">
      <alignment horizontal="center" readingOrder="0" vertical="bottom"/>
    </xf>
    <xf borderId="0" fillId="3" fontId="8" numFmtId="4" xfId="0" applyAlignment="1" applyFont="1" applyNumberFormat="1">
      <alignment horizontal="center" vertical="bottom"/>
    </xf>
    <xf borderId="0" fillId="3" fontId="7" numFmtId="0" xfId="0" applyAlignment="1" applyFont="1">
      <alignment vertical="bottom"/>
    </xf>
    <xf borderId="0" fillId="3" fontId="8" numFmtId="0" xfId="0" applyAlignment="1" applyFont="1">
      <alignment horizontal="center" readingOrder="0" vertical="bottom"/>
    </xf>
    <xf borderId="0" fillId="3" fontId="5" numFmtId="0" xfId="0" applyAlignment="1" applyFont="1">
      <alignment horizontal="center"/>
    </xf>
    <xf borderId="0" fillId="3" fontId="7" numFmtId="0" xfId="0" applyFont="1"/>
    <xf borderId="0" fillId="0" fontId="7" numFmtId="0" xfId="0" applyAlignment="1" applyFont="1">
      <alignment vertical="bottom"/>
    </xf>
    <xf borderId="0" fillId="3" fontId="5" numFmtId="0" xfId="0" applyAlignment="1" applyFont="1">
      <alignment horizontal="center" readingOrder="0"/>
    </xf>
    <xf borderId="1" fillId="3" fontId="4" numFmtId="0" xfId="0" applyBorder="1" applyFont="1"/>
    <xf borderId="0" fillId="3" fontId="8" numFmtId="0" xfId="0" applyAlignment="1" applyFont="1">
      <alignment horizontal="center" vertical="bottom"/>
    </xf>
    <xf borderId="0" fillId="3" fontId="5" numFmtId="0" xfId="0" applyAlignment="1" applyFont="1">
      <alignment horizontal="center" vertical="bottom"/>
    </xf>
    <xf borderId="0" fillId="3" fontId="7" numFmtId="0" xfId="0" applyAlignment="1" applyFont="1">
      <alignment vertical="bottom"/>
    </xf>
    <xf borderId="0" fillId="3" fontId="6" numFmtId="0" xfId="0" applyAlignment="1" applyFont="1">
      <alignment horizontal="center" readingOrder="0"/>
    </xf>
    <xf borderId="0" fillId="0" fontId="7" numFmtId="0" xfId="0" applyAlignment="1" applyFont="1">
      <alignment horizontal="center" vertical="bottom"/>
    </xf>
    <xf borderId="0" fillId="3" fontId="7" numFmtId="4" xfId="0" applyAlignment="1" applyFont="1" applyNumberFormat="1">
      <alignment horizontal="center" readingOrder="0" vertical="bottom"/>
    </xf>
    <xf borderId="0" fillId="0" fontId="8" numFmtId="4" xfId="0" applyAlignment="1" applyFont="1" applyNumberFormat="1">
      <alignment horizontal="center" vertical="bottom"/>
    </xf>
    <xf borderId="0" fillId="0" fontId="7" numFmtId="0" xfId="0" applyAlignment="1" applyFont="1">
      <alignment horizontal="center"/>
    </xf>
    <xf borderId="0" fillId="0" fontId="5" numFmtId="0" xfId="0" applyAlignment="1" applyFont="1">
      <alignment horizontal="center" vertical="bottom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 readingOrder="0" vertical="bottom"/>
    </xf>
    <xf borderId="0" fillId="0" fontId="6" numFmtId="4" xfId="0" applyAlignment="1" applyFont="1" applyNumberForma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6" numFmtId="4" xfId="0" applyAlignment="1" applyFont="1" applyNumberFormat="1">
      <alignment horizontal="center"/>
    </xf>
    <xf borderId="0" fillId="0" fontId="7" numFmtId="0" xfId="0" applyAlignment="1" applyFont="1">
      <alignment horizontal="center" readingOrder="0" vertical="center"/>
    </xf>
    <xf borderId="0" fillId="0" fontId="5" numFmtId="0" xfId="0" applyAlignment="1" applyFont="1">
      <alignment vertical="bottom"/>
    </xf>
    <xf borderId="0" fillId="0" fontId="7" numFmtId="4" xfId="0" applyAlignment="1" applyFont="1" applyNumberFormat="1">
      <alignment horizontal="center" readingOrder="0" vertical="bottom"/>
    </xf>
    <xf borderId="0" fillId="0" fontId="5" numFmtId="0" xfId="0" applyAlignment="1" applyFont="1">
      <alignment horizontal="center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4" numFmtId="4" xfId="0" applyFont="1" applyNumberFormat="1"/>
    <xf borderId="0" fillId="0" fontId="9" numFmtId="0" xfId="0" applyAlignment="1" applyFont="1">
      <alignment readingOrder="0" vertical="bottom"/>
    </xf>
    <xf borderId="2" fillId="0" fontId="10" numFmtId="0" xfId="0" applyAlignment="1" applyBorder="1" applyFont="1">
      <alignment readingOrder="0"/>
    </xf>
    <xf borderId="2" fillId="0" fontId="10" numFmtId="0" xfId="0" applyBorder="1" applyFont="1"/>
    <xf borderId="0" fillId="0" fontId="11" numFmtId="0" xfId="0" applyAlignment="1" applyFont="1">
      <alignment readingOrder="0" vertical="bottom"/>
    </xf>
    <xf borderId="3" fillId="0" fontId="12" numFmtId="0" xfId="0" applyAlignment="1" applyBorder="1" applyFont="1">
      <alignment readingOrder="0" shrinkToFit="0" vertical="bottom" wrapText="0"/>
    </xf>
    <xf borderId="0" fillId="0" fontId="10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1" numFmtId="0" xfId="0" applyAlignment="1" applyFont="1">
      <alignment vertical="bottom"/>
    </xf>
    <xf borderId="2" fillId="0" fontId="11" numFmtId="0" xfId="0" applyAlignment="1" applyBorder="1" applyFont="1">
      <alignment vertical="bottom"/>
    </xf>
    <xf borderId="2" fillId="0" fontId="11" numFmtId="0" xfId="0" applyAlignment="1" applyBorder="1" applyFont="1">
      <alignment readingOrder="0" vertical="bottom"/>
    </xf>
    <xf borderId="2" fillId="0" fontId="7" numFmtId="0" xfId="0" applyAlignment="1" applyBorder="1" applyFont="1">
      <alignment readingOrder="0" vertical="bottom"/>
    </xf>
    <xf borderId="2" fillId="0" fontId="11" numFmtId="4" xfId="0" applyAlignment="1" applyBorder="1" applyFont="1" applyNumberFormat="1">
      <alignment horizontal="right" readingOrder="0" vertical="bottom"/>
    </xf>
    <xf borderId="2" fillId="2" fontId="4" numFmtId="0" xfId="0" applyAlignment="1" applyBorder="1" applyFont="1">
      <alignment readingOrder="0"/>
    </xf>
    <xf borderId="0" fillId="0" fontId="4" numFmtId="0" xfId="0" applyFont="1"/>
    <xf borderId="0" fillId="0" fontId="11" numFmtId="0" xfId="0" applyAlignment="1" applyFont="1">
      <alignment horizontal="right" readingOrder="0" vertical="bottom"/>
    </xf>
    <xf borderId="2" fillId="0" fontId="7" numFmtId="0" xfId="0" applyAlignment="1" applyBorder="1" applyFont="1">
      <alignment readingOrder="0" shrinkToFit="0" vertical="bottom" wrapText="0"/>
    </xf>
    <xf borderId="2" fillId="0" fontId="11" numFmtId="0" xfId="0" applyAlignment="1" applyBorder="1" applyFont="1">
      <alignment horizontal="right" readingOrder="0" vertical="bottom"/>
    </xf>
    <xf borderId="2" fillId="0" fontId="14" numFmtId="0" xfId="0" applyAlignment="1" applyBorder="1" applyFont="1">
      <alignment horizontal="left"/>
    </xf>
    <xf borderId="0" fillId="0" fontId="10" numFmtId="0" xfId="0" applyFont="1"/>
    <xf borderId="4" fillId="5" fontId="5" numFmtId="0" xfId="0" applyAlignment="1" applyBorder="1" applyFill="1" applyFont="1">
      <alignment horizontal="right" readingOrder="0" vertical="bottom"/>
    </xf>
    <xf borderId="5" fillId="0" fontId="15" numFmtId="0" xfId="0" applyBorder="1" applyFont="1"/>
    <xf borderId="0" fillId="0" fontId="5" numFmtId="0" xfId="0" applyAlignment="1" applyFont="1">
      <alignment horizontal="right" readingOrder="0" vertical="bottom"/>
    </xf>
    <xf borderId="0" fillId="0" fontId="10" numFmtId="0" xfId="0" applyAlignment="1" applyFont="1">
      <alignment horizontal="right"/>
    </xf>
    <xf borderId="0" fillId="3" fontId="16" numFmtId="0" xfId="0" applyAlignment="1" applyFont="1">
      <alignment horizontal="right" readingOrder="0"/>
    </xf>
    <xf borderId="2" fillId="4" fontId="7" numFmtId="0" xfId="0" applyAlignment="1" applyBorder="1" applyFont="1">
      <alignment readingOrder="0" vertical="bottom"/>
    </xf>
    <xf borderId="2" fillId="0" fontId="5" numFmtId="0" xfId="0" applyAlignment="1" applyBorder="1" applyFont="1">
      <alignment readingOrder="0" vertical="bottom"/>
    </xf>
    <xf borderId="0" fillId="0" fontId="10" numFmtId="0" xfId="0" applyAlignment="1" applyFont="1">
      <alignment horizontal="right" readingOrder="0"/>
    </xf>
    <xf borderId="0" fillId="0" fontId="10" numFmtId="0" xfId="0" applyFont="1"/>
    <xf borderId="0" fillId="0" fontId="7" numFmtId="0" xfId="0" applyAlignment="1" applyFont="1">
      <alignment horizontal="right" vertical="bottom"/>
    </xf>
    <xf borderId="2" fillId="0" fontId="7" numFmtId="0" xfId="0" applyAlignment="1" applyBorder="1" applyFont="1">
      <alignment vertical="bottom"/>
    </xf>
    <xf borderId="2" fillId="0" fontId="7" numFmtId="0" xfId="0" applyAlignment="1" applyBorder="1" applyFont="1">
      <alignment horizontal="right" readingOrder="0" vertical="bottom"/>
    </xf>
    <xf borderId="2" fillId="0" fontId="7" numFmtId="0" xfId="0" applyAlignment="1" applyBorder="1" applyFont="1">
      <alignment horizontal="right" readingOrder="0" vertical="bottom"/>
    </xf>
    <xf borderId="0" fillId="0" fontId="5" numFmtId="0" xfId="0" applyAlignment="1" applyFont="1">
      <alignment vertical="bottom"/>
    </xf>
    <xf borderId="3" fillId="0" fontId="5" numFmtId="0" xfId="0" applyAlignment="1" applyBorder="1" applyFont="1">
      <alignment shrinkToFit="0" vertical="bottom" wrapText="0"/>
    </xf>
    <xf borderId="0" fillId="0" fontId="4" numFmtId="0" xfId="0" applyAlignment="1" applyFont="1">
      <alignment readingOrder="0"/>
    </xf>
    <xf borderId="0" fillId="0" fontId="12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/>
    </xf>
    <xf borderId="6" fillId="0" fontId="17" numFmtId="0" xfId="0" applyAlignment="1" applyBorder="1" applyFont="1">
      <alignment horizontal="center" readingOrder="0" vertical="center"/>
    </xf>
    <xf borderId="7" fillId="0" fontId="15" numFmtId="0" xfId="0" applyBorder="1" applyFont="1"/>
    <xf borderId="2" fillId="0" fontId="4" numFmtId="0" xfId="0" applyAlignment="1" applyBorder="1" applyFont="1">
      <alignment readingOrder="0"/>
    </xf>
    <xf borderId="8" fillId="0" fontId="15" numFmtId="0" xfId="0" applyBorder="1" applyFont="1"/>
    <xf borderId="0" fillId="0" fontId="18" numFmtId="0" xfId="0" applyAlignment="1" applyFont="1">
      <alignment readingOrder="0" shrinkToFit="0" vertical="bottom" wrapText="0"/>
    </xf>
    <xf borderId="1" fillId="0" fontId="18" numFmtId="0" xfId="0" applyAlignment="1" applyBorder="1" applyFont="1">
      <alignment readingOrder="0" shrinkToFit="0" vertical="bottom" wrapText="0"/>
    </xf>
    <xf borderId="9" fillId="0" fontId="18" numFmtId="0" xfId="0" applyAlignment="1" applyBorder="1" applyFont="1">
      <alignment readingOrder="0" shrinkToFit="0" vertical="bottom" wrapText="0"/>
    </xf>
    <xf borderId="0" fillId="0" fontId="18" numFmtId="4" xfId="0" applyAlignment="1" applyFont="1" applyNumberFormat="1">
      <alignment readingOrder="0" shrinkToFit="0" vertical="bottom" wrapText="0"/>
    </xf>
    <xf borderId="0" fillId="0" fontId="18" numFmtId="49" xfId="0" applyAlignment="1" applyFont="1" applyNumberFormat="1">
      <alignment readingOrder="0" shrinkToFit="0" vertical="bottom" wrapText="0"/>
    </xf>
    <xf borderId="0" fillId="0" fontId="4" numFmtId="165" xfId="0" applyAlignment="1" applyFont="1" applyNumberFormat="1">
      <alignment readingOrder="0"/>
    </xf>
    <xf borderId="1" fillId="0" fontId="4" numFmtId="0" xfId="0" applyAlignment="1" applyBorder="1" applyFont="1">
      <alignment readingOrder="0"/>
    </xf>
    <xf borderId="9" fillId="0" fontId="4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0" fillId="0" fontId="4" numFmtId="0" xfId="0" applyFont="1"/>
    <xf borderId="0" fillId="0" fontId="4" numFmtId="4" xfId="0" applyAlignment="1" applyFont="1" applyNumberFormat="1">
      <alignment readingOrder="0"/>
    </xf>
    <xf borderId="0" fillId="0" fontId="4" numFmtId="49" xfId="0" applyAlignment="1" applyFont="1" applyNumberFormat="1">
      <alignment readingOrder="0"/>
    </xf>
    <xf borderId="9" fillId="0" fontId="4" numFmtId="0" xfId="0" applyAlignment="1" applyBorder="1" applyFont="1">
      <alignment readingOrder="0"/>
    </xf>
    <xf borderId="1" fillId="0" fontId="4" numFmtId="0" xfId="0" applyBorder="1" applyFont="1"/>
    <xf borderId="9" fillId="0" fontId="4" numFmtId="0" xfId="0" applyBorder="1" applyFont="1"/>
    <xf borderId="0" fillId="0" fontId="19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4" xfId="0" applyAlignment="1" applyFont="1" applyNumberFormat="1">
      <alignment readingOrder="0"/>
    </xf>
    <xf borderId="0" fillId="0" fontId="22" numFmtId="49" xfId="0" applyAlignment="1" applyFont="1" applyNumberFormat="1">
      <alignment readingOrder="0"/>
    </xf>
    <xf borderId="0" fillId="0" fontId="4" numFmtId="166" xfId="0" applyAlignment="1" applyFont="1" applyNumberFormat="1">
      <alignment readingOrder="0"/>
    </xf>
    <xf borderId="0" fillId="0" fontId="4" numFmtId="49" xfId="0" applyFont="1" applyNumberFormat="1"/>
    <xf borderId="0" fillId="0" fontId="18" numFmtId="0" xfId="0" applyAlignment="1" applyFont="1">
      <alignment readingOrder="0"/>
    </xf>
    <xf borderId="0" fillId="0" fontId="18" numFmtId="4" xfId="0" applyAlignment="1" applyFont="1" applyNumberFormat="1">
      <alignment readingOrder="0"/>
    </xf>
    <xf borderId="0" fillId="0" fontId="18" numFmtId="49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6" numFmtId="4" xfId="0" applyAlignment="1" applyFont="1" applyNumberFormat="1">
      <alignment readingOrder="0"/>
    </xf>
    <xf borderId="0" fillId="0" fontId="6" numFmtId="49" xfId="0" applyAlignment="1" applyFont="1" applyNumberFormat="1">
      <alignment readingOrder="0"/>
    </xf>
    <xf borderId="9" fillId="0" fontId="4" numFmtId="4" xfId="0" applyAlignment="1" applyBorder="1" applyFont="1" applyNumberFormat="1">
      <alignment readingOrder="0"/>
    </xf>
    <xf borderId="0" fillId="0" fontId="23" numFmtId="4" xfId="0" applyAlignment="1" applyFont="1" applyNumberFormat="1">
      <alignment readingOrder="0"/>
    </xf>
    <xf borderId="0" fillId="0" fontId="23" numFmtId="49" xfId="0" applyAlignment="1" applyFont="1" applyNumberFormat="1">
      <alignment readingOrder="0"/>
    </xf>
    <xf borderId="0" fillId="0" fontId="4" numFmtId="167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6" fontId="24" numFmtId="0" xfId="0" applyAlignment="1" applyFill="1" applyFont="1">
      <alignment readingOrder="0"/>
    </xf>
    <xf borderId="0" fillId="6" fontId="25" numFmtId="0" xfId="0" applyAlignment="1" applyFont="1">
      <alignment horizontal="left" readingOrder="0"/>
    </xf>
    <xf borderId="0" fillId="0" fontId="4" numFmtId="168" xfId="0" applyAlignment="1" applyFont="1" applyNumberFormat="1">
      <alignment readingOrder="0"/>
    </xf>
    <xf borderId="0" fillId="0" fontId="7" numFmtId="0" xfId="0" applyAlignment="1" applyFont="1">
      <alignment horizontal="center" readingOrder="0" vertical="bottom"/>
    </xf>
    <xf borderId="0" fillId="0" fontId="4" numFmtId="49" xfId="0" applyAlignment="1" applyFont="1" applyNumberFormat="1">
      <alignment horizontal="center" readingOrder="0"/>
    </xf>
    <xf borderId="0" fillId="0" fontId="4" numFmtId="49" xfId="0" applyAlignment="1" applyFont="1" applyNumberFormat="1">
      <alignment horizontal="center" readingOrder="0"/>
    </xf>
    <xf borderId="0" fillId="3" fontId="4" numFmtId="4" xfId="0" applyAlignment="1" applyFont="1" applyNumberFormat="1">
      <alignment horizontal="center" readingOrder="0"/>
    </xf>
    <xf borderId="0" fillId="3" fontId="6" numFmtId="0" xfId="0" applyFont="1"/>
    <xf borderId="2" fillId="0" fontId="14" numFmtId="4" xfId="0" applyAlignment="1" applyBorder="1" applyFont="1" applyNumberFormat="1">
      <alignment horizontal="left"/>
    </xf>
    <xf borderId="0" fillId="3" fontId="6" numFmtId="0" xfId="0" applyAlignment="1" applyFont="1">
      <alignment readingOrder="0"/>
    </xf>
    <xf borderId="0" fillId="2" fontId="4" numFmtId="0" xfId="0" applyFont="1"/>
    <xf borderId="7" fillId="0" fontId="7" numFmtId="0" xfId="0" applyAlignment="1" applyBorder="1" applyFont="1">
      <alignment horizontal="center" vertical="bottom"/>
    </xf>
    <xf borderId="7" fillId="3" fontId="7" numFmtId="0" xfId="0" applyAlignment="1" applyBorder="1" applyFont="1">
      <alignment horizontal="center" vertical="bottom"/>
    </xf>
    <xf borderId="9" fillId="0" fontId="6" numFmtId="0" xfId="0" applyAlignment="1" applyBorder="1" applyFont="1">
      <alignment horizontal="center" readingOrder="0" vertical="bottom"/>
    </xf>
    <xf borderId="0" fillId="0" fontId="6" numFmtId="0" xfId="0" applyAlignment="1" applyFont="1">
      <alignment horizontal="center" readingOrder="0" vertical="center"/>
    </xf>
    <xf borderId="9" fillId="3" fontId="6" numFmtId="0" xfId="0" applyAlignment="1" applyBorder="1" applyFont="1">
      <alignment horizontal="center"/>
    </xf>
    <xf borderId="9" fillId="0" fontId="7" numFmtId="4" xfId="0" applyAlignment="1" applyBorder="1" applyFont="1" applyNumberFormat="1">
      <alignment horizontal="center" readingOrder="0" vertical="bottom"/>
    </xf>
    <xf borderId="7" fillId="0" fontId="6" numFmtId="0" xfId="0" applyAlignment="1" applyBorder="1" applyFont="1">
      <alignment horizontal="center"/>
    </xf>
    <xf borderId="7" fillId="3" fontId="6" numFmtId="0" xfId="0" applyAlignment="1" applyBorder="1" applyFont="1">
      <alignment horizontal="center"/>
    </xf>
    <xf borderId="7" fillId="0" fontId="7" numFmtId="0" xfId="0" applyAlignment="1" applyBorder="1" applyFont="1">
      <alignment horizontal="center" vertical="bottom"/>
    </xf>
    <xf borderId="0" fillId="3" fontId="5" numFmtId="0" xfId="0" applyAlignment="1" applyFont="1">
      <alignment horizontal="center" readingOrder="0" vertical="bottom"/>
    </xf>
    <xf borderId="0" fillId="0" fontId="7" numFmtId="4" xfId="0" applyAlignment="1" applyFont="1" applyNumberFormat="1">
      <alignment horizontal="center" readingOrder="0" vertical="bottom"/>
    </xf>
    <xf borderId="7" fillId="0" fontId="7" numFmtId="0" xfId="0" applyAlignment="1" applyBorder="1" applyFont="1">
      <alignment horizontal="center" vertical="bottom"/>
    </xf>
    <xf borderId="9" fillId="0" fontId="7" numFmtId="4" xfId="0" applyAlignment="1" applyBorder="1" applyFont="1" applyNumberFormat="1">
      <alignment horizontal="center" readingOrder="0" vertical="bottom"/>
    </xf>
    <xf borderId="0" fillId="0" fontId="4" numFmtId="0" xfId="0" applyAlignment="1" applyFont="1">
      <alignment horizontal="center" readingOrder="0" vertical="center"/>
    </xf>
    <xf borderId="9" fillId="0" fontId="6" numFmtId="0" xfId="0" applyAlignment="1" applyBorder="1" applyFont="1">
      <alignment horizontal="center" readingOrder="0" vertical="bottom"/>
    </xf>
    <xf borderId="0" fillId="0" fontId="6" numFmtId="0" xfId="0" applyAlignment="1" applyFont="1">
      <alignment horizontal="center" readingOrder="0"/>
    </xf>
    <xf borderId="7" fillId="3" fontId="6" numFmtId="0" xfId="0" applyAlignment="1" applyBorder="1" applyFont="1">
      <alignment horizontal="center" readingOrder="0"/>
    </xf>
    <xf borderId="7" fillId="0" fontId="4" numFmtId="0" xfId="0" applyAlignment="1" applyBorder="1" applyFont="1">
      <alignment horizontal="center"/>
    </xf>
    <xf borderId="9" fillId="0" fontId="7" numFmtId="0" xfId="0" applyAlignment="1" applyBorder="1" applyFont="1">
      <alignment horizontal="center" vertical="bottom"/>
    </xf>
    <xf borderId="9" fillId="0" fontId="7" numFmtId="0" xfId="0" applyAlignment="1" applyBorder="1" applyFont="1">
      <alignment horizontal="center" vertical="bottom"/>
    </xf>
    <xf borderId="0" fillId="0" fontId="6" numFmtId="0" xfId="0" applyAlignment="1" applyFont="1">
      <alignment horizontal="center" readingOrder="0" vertical="bottom"/>
    </xf>
    <xf borderId="7" fillId="0" fontId="6" numFmtId="0" xfId="0" applyAlignment="1" applyBorder="1" applyFont="1">
      <alignment horizontal="center"/>
    </xf>
    <xf borderId="9" fillId="0" fontId="7" numFmtId="0" xfId="0" applyAlignment="1" applyBorder="1" applyFont="1">
      <alignment vertical="bottom"/>
    </xf>
    <xf borderId="7" fillId="3" fontId="6" numFmtId="0" xfId="0" applyAlignment="1" applyBorder="1" applyFont="1">
      <alignment horizontal="center" vertical="bottom"/>
    </xf>
    <xf borderId="0" fillId="3" fontId="6" numFmtId="0" xfId="0" applyAlignment="1" applyFont="1">
      <alignment horizontal="center" vertical="bottom"/>
    </xf>
    <xf borderId="9" fillId="0" fontId="6" numFmtId="0" xfId="0" applyAlignment="1" applyBorder="1" applyFont="1">
      <alignment horizontal="center" vertical="bottom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center" readingOrder="0" vertical="bottom"/>
    </xf>
    <xf borderId="0" fillId="0" fontId="26" numFmtId="0" xfId="0" applyAlignment="1" applyFont="1">
      <alignment horizontal="center" readingOrder="0"/>
    </xf>
    <xf borderId="0" fillId="0" fontId="27" numFmtId="0" xfId="0" applyAlignment="1" applyFont="1">
      <alignment readingOrder="0"/>
    </xf>
    <xf borderId="9" fillId="0" fontId="27" numFmtId="0" xfId="0" applyAlignment="1" applyBorder="1" applyFont="1">
      <alignment readingOrder="0"/>
    </xf>
    <xf borderId="0" fillId="0" fontId="27" numFmtId="0" xfId="0" applyFont="1"/>
    <xf borderId="0" fillId="2" fontId="28" numFmtId="0" xfId="0" applyAlignment="1" applyFont="1">
      <alignment horizontal="center" readingOrder="0"/>
    </xf>
    <xf borderId="0" fillId="0" fontId="28" numFmtId="3" xfId="0" applyAlignment="1" applyFont="1" applyNumberFormat="1">
      <alignment horizontal="center" readingOrder="0"/>
    </xf>
    <xf borderId="0" fillId="0" fontId="28" numFmtId="3" xfId="0" applyAlignment="1" applyFont="1" applyNumberFormat="1">
      <alignment horizontal="center" readingOrder="0"/>
    </xf>
    <xf borderId="0" fillId="0" fontId="29" numFmtId="0" xfId="0" applyAlignment="1" applyFont="1">
      <alignment horizontal="center" readingOrder="0"/>
    </xf>
    <xf borderId="0" fillId="2" fontId="30" numFmtId="0" xfId="0" applyAlignment="1" applyFont="1">
      <alignment horizontal="center" readingOrder="0"/>
    </xf>
    <xf borderId="0" fillId="0" fontId="30" numFmtId="3" xfId="0" applyAlignment="1" applyFont="1" applyNumberFormat="1">
      <alignment horizontal="center" readingOrder="0"/>
    </xf>
    <xf borderId="0" fillId="0" fontId="30" numFmtId="3" xfId="0" applyAlignment="1" applyFont="1" applyNumberFormat="1">
      <alignment horizontal="center"/>
    </xf>
    <xf borderId="0" fillId="0" fontId="30" numFmtId="0" xfId="0" applyAlignment="1" applyFont="1">
      <alignment horizontal="center" readingOrder="0"/>
    </xf>
    <xf borderId="0" fillId="0" fontId="30" numFmtId="4" xfId="0" applyAlignment="1" applyFont="1" applyNumberFormat="1">
      <alignment horizontal="center" readingOrder="0"/>
    </xf>
    <xf borderId="0" fillId="0" fontId="30" numFmtId="2" xfId="0" applyAlignment="1" applyFont="1" applyNumberFormat="1">
      <alignment horizontal="center" readingOrder="0"/>
    </xf>
    <xf borderId="0" fillId="3" fontId="6" numFmtId="0" xfId="0" applyFont="1"/>
    <xf borderId="0" fillId="0" fontId="31" numFmtId="0" xfId="0" applyAlignment="1" applyFont="1">
      <alignment horizontal="center"/>
    </xf>
    <xf borderId="0" fillId="0" fontId="32" numFmtId="0" xfId="0" applyAlignment="1" applyFont="1">
      <alignment horizontal="center" readingOrder="0"/>
    </xf>
    <xf borderId="0" fillId="0" fontId="31" numFmtId="0" xfId="0" applyAlignment="1" applyFont="1">
      <alignment horizontal="center" readingOrder="0"/>
    </xf>
    <xf borderId="0" fillId="0" fontId="33" numFmtId="0" xfId="0" applyAlignment="1" applyFont="1">
      <alignment horizontal="center" readingOrder="0"/>
    </xf>
    <xf borderId="0" fillId="7" fontId="34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2" numFmtId="0" xfId="0" applyFont="1"/>
    <xf borderId="0" fillId="8" fontId="35" numFmtId="169" xfId="0" applyAlignment="1" applyFill="1" applyFont="1" applyNumberFormat="1">
      <alignment readingOrder="0"/>
    </xf>
    <xf borderId="0" fillId="8" fontId="35" numFmtId="170" xfId="0" applyAlignment="1" applyFont="1" applyNumberFormat="1">
      <alignment readingOrder="0"/>
    </xf>
    <xf borderId="0" fillId="0" fontId="4" numFmtId="169" xfId="0" applyAlignment="1" applyFont="1" applyNumberFormat="1">
      <alignment readingOrder="0"/>
    </xf>
    <xf borderId="0" fillId="0" fontId="4" numFmtId="170" xfId="0" applyAlignment="1" applyFont="1" applyNumberFormat="1">
      <alignment readingOrder="0"/>
    </xf>
    <xf borderId="0" fillId="8" fontId="36" numFmtId="169" xfId="0" applyAlignment="1" applyFont="1" applyNumberFormat="1">
      <alignment readingOrder="0"/>
    </xf>
    <xf borderId="0" fillId="3" fontId="18" numFmtId="170" xfId="0" applyAlignment="1" applyFont="1" applyNumberFormat="1">
      <alignment readingOrder="0"/>
    </xf>
    <xf borderId="0" fillId="3" fontId="37" numFmtId="170" xfId="0" applyAlignment="1" applyFont="1" applyNumberFormat="1">
      <alignment horizontal="right" readingOrder="0"/>
    </xf>
    <xf borderId="0" fillId="0" fontId="4" numFmtId="169" xfId="0" applyFont="1" applyNumberFormat="1"/>
    <xf borderId="0" fillId="0" fontId="4" numFmtId="170" xfId="0" applyFont="1" applyNumberFormat="1"/>
  </cellXfs>
  <cellStyles count="1">
    <cellStyle xfId="0" name="Normal" builtinId="0"/>
  </cellStyles>
  <dxfs count="9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5">
    <tableStyle count="3" pivot="0" name="Players-style">
      <tableStyleElement dxfId="2" type="headerRow"/>
      <tableStyleElement dxfId="3" type="firstRowStripe"/>
      <tableStyleElement dxfId="4" type="secondRowStripe"/>
    </tableStyle>
    <tableStyle count="3" pivot="0" name="Players-style 2">
      <tableStyleElement dxfId="2" type="headerRow"/>
      <tableStyleElement dxfId="3" type="firstRowStripe"/>
      <tableStyleElement dxfId="4" type="secondRowStripe"/>
    </tableStyle>
    <tableStyle count="3" pivot="0" name="Players-style 3">
      <tableStyleElement dxfId="5" type="headerRow"/>
      <tableStyleElement dxfId="3" type="firstRowStripe"/>
      <tableStyleElement dxfId="4" type="secondRowStripe"/>
    </tableStyle>
    <tableStyle count="3" pivot="0" name="Players-style 4">
      <tableStyleElement dxfId="6" type="headerRow"/>
      <tableStyleElement dxfId="3" type="firstRowStripe"/>
      <tableStyleElement dxfId="4" type="secondRowStripe"/>
    </tableStyle>
    <tableStyle count="3" pivot="0" name="Players-style 5">
      <tableStyleElement dxfId="6" type="headerRow"/>
      <tableStyleElement dxfId="3" type="firstRowStripe"/>
      <tableStyleElement dxfId="4" type="secondRowStripe"/>
    </tableStyle>
    <tableStyle count="3" pivot="0" name="Players-style 6">
      <tableStyleElement dxfId="6" type="headerRow"/>
      <tableStyleElement dxfId="3" type="firstRowStripe"/>
      <tableStyleElement dxfId="4" type="secondRowStripe"/>
    </tableStyle>
    <tableStyle count="3" pivot="0" name="Players-style 7">
      <tableStyleElement dxfId="6" type="headerRow"/>
      <tableStyleElement dxfId="3" type="firstRowStripe"/>
      <tableStyleElement dxfId="7" type="secondRowStripe"/>
    </tableStyle>
    <tableStyle count="3" pivot="0" name="Players-style 8">
      <tableStyleElement dxfId="6" type="headerRow"/>
      <tableStyleElement dxfId="3" type="firstRowStripe"/>
      <tableStyleElement dxfId="4" type="secondRowStripe"/>
    </tableStyle>
    <tableStyle count="2" pivot="0" name="Players-style 9">
      <tableStyleElement dxfId="3" type="firstRowStripe"/>
      <tableStyleElement dxfId="4" type="secondRowStripe"/>
    </tableStyle>
    <tableStyle count="2" pivot="0" name="Players-style 10">
      <tableStyleElement dxfId="4" type="firstRowStripe"/>
      <tableStyleElement dxfId="3" type="secondRowStripe"/>
    </tableStyle>
    <tableStyle count="2" pivot="0" name="Players-style 11">
      <tableStyleElement dxfId="4" type="firstRowStripe"/>
      <tableStyleElement dxfId="3" type="secondRowStripe"/>
    </tableStyle>
    <tableStyle count="2" pivot="0" name="Match History-style">
      <tableStyleElement dxfId="4" type="firstRowStripe"/>
      <tableStyleElement dxfId="3" type="secondRowStripe"/>
    </tableStyle>
    <tableStyle count="2" pivot="0" name="Match History-style 2">
      <tableStyleElement dxfId="4" type="firstRowStripe"/>
      <tableStyleElement dxfId="3" type="secondRowStripe"/>
    </tableStyle>
    <tableStyle count="2" pivot="0" name="Match History-style 3">
      <tableStyleElement dxfId="3" type="firstRowStripe"/>
      <tableStyleElement dxfId="4" type="secondRowStripe"/>
    </tableStyle>
    <tableStyle count="3" pivot="0" name="Inactive-style">
      <tableStyleElement dxfId="3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457200</xdr:colOff>
      <xdr:row>4</xdr:row>
      <xdr:rowOff>142875</xdr:rowOff>
    </xdr:from>
    <xdr:ext cx="1524000" cy="619125"/>
    <xdr:sp>
      <xdr:nvSpPr>
        <xdr:cNvPr id="3" name="Shape 3"/>
        <xdr:cNvSpPr/>
      </xdr:nvSpPr>
      <xdr:spPr>
        <a:xfrm>
          <a:off x="3623300" y="2029475"/>
          <a:ext cx="1508100" cy="604800"/>
        </a:xfrm>
        <a:prstGeom prst="rect">
          <a:avLst/>
        </a:prstGeom>
        <a:solidFill>
          <a:srgbClr val="F9CB9C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latin typeface="Helvetica Neue"/>
              <a:ea typeface="Helvetica Neue"/>
              <a:cs typeface="Helvetica Neue"/>
              <a:sym typeface="Helvetica Neue"/>
            </a:rPr>
            <a:t>Sort by ELO</a:t>
          </a:r>
          <a:endParaRPr b="1" sz="1400"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14</xdr:row>
      <xdr:rowOff>0</xdr:rowOff>
    </xdr:from>
    <xdr:ext cx="1524000" cy="619125"/>
    <xdr:sp>
      <xdr:nvSpPr>
        <xdr:cNvPr id="4" name="Shape 4"/>
        <xdr:cNvSpPr/>
      </xdr:nvSpPr>
      <xdr:spPr>
        <a:xfrm>
          <a:off x="3623300" y="2029475"/>
          <a:ext cx="1508100" cy="604800"/>
        </a:xfrm>
        <a:prstGeom prst="rect">
          <a:avLst/>
        </a:prstGeom>
        <a:solidFill>
          <a:srgbClr val="FF00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Helvetica Neue"/>
              <a:ea typeface="Helvetica Neue"/>
              <a:cs typeface="Helvetica Neue"/>
              <a:sym typeface="Helvetica Neue"/>
            </a:rPr>
            <a:t>Update ELO</a:t>
          </a:r>
          <a:endParaRPr b="1" sz="1400">
            <a:solidFill>
              <a:srgbClr val="FFFFFF"/>
            </a:solidFill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4</xdr:col>
      <xdr:colOff>0</xdr:colOff>
      <xdr:row>10</xdr:row>
      <xdr:rowOff>0</xdr:rowOff>
    </xdr:from>
    <xdr:ext cx="1543050" cy="609600"/>
    <xdr:sp>
      <xdr:nvSpPr>
        <xdr:cNvPr id="5" name="Shape 5"/>
        <xdr:cNvSpPr/>
      </xdr:nvSpPr>
      <xdr:spPr>
        <a:xfrm>
          <a:off x="3463300" y="2175800"/>
          <a:ext cx="1521900" cy="595200"/>
        </a:xfrm>
        <a:prstGeom prst="rect">
          <a:avLst/>
        </a:prstGeom>
        <a:solidFill>
          <a:srgbClr val="F9CB9C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Balance</a:t>
          </a:r>
          <a:r>
            <a:rPr b="1" lang="en-US" sz="1400"/>
            <a:t> Teams</a:t>
          </a:r>
          <a:endParaRPr b="1" sz="1400"/>
        </a:p>
      </xdr:txBody>
    </xdr:sp>
    <xdr:clientData fLocksWithSheet="0"/>
  </xdr:oneCellAnchor>
  <xdr:oneCellAnchor>
    <xdr:from>
      <xdr:col>8</xdr:col>
      <xdr:colOff>209550</xdr:colOff>
      <xdr:row>0</xdr:row>
      <xdr:rowOff>190500</xdr:rowOff>
    </xdr:from>
    <xdr:ext cx="1524000" cy="619125"/>
    <xdr:sp>
      <xdr:nvSpPr>
        <xdr:cNvPr id="6" name="Shape 6"/>
        <xdr:cNvSpPr/>
      </xdr:nvSpPr>
      <xdr:spPr>
        <a:xfrm>
          <a:off x="3623300" y="2029475"/>
          <a:ext cx="1508100" cy="604800"/>
        </a:xfrm>
        <a:prstGeom prst="rect">
          <a:avLst/>
        </a:prstGeom>
        <a:solidFill>
          <a:srgbClr val="F9CB9C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latin typeface="Helvetica Neue"/>
              <a:ea typeface="Helvetica Neue"/>
              <a:cs typeface="Helvetica Neue"/>
              <a:sym typeface="Helvetica Neue"/>
            </a:rPr>
            <a:t>Revert Game</a:t>
          </a:r>
          <a:endParaRPr b="1" sz="1400"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7</xdr:col>
      <xdr:colOff>38100</xdr:colOff>
      <xdr:row>7</xdr:row>
      <xdr:rowOff>47625</xdr:rowOff>
    </xdr:from>
    <xdr:ext cx="8343900" cy="5086350"/>
    <xdr:sp>
      <xdr:nvSpPr>
        <xdr:cNvPr id="7" name="Shape 7"/>
        <xdr:cNvSpPr txBox="1"/>
      </xdr:nvSpPr>
      <xdr:spPr>
        <a:xfrm>
          <a:off x="876650" y="993550"/>
          <a:ext cx="8328300" cy="50652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2100">
              <a:solidFill>
                <a:srgbClr val="202124"/>
              </a:solidFill>
              <a:highlight>
                <a:srgbClr val="F8F9FA"/>
              </a:highlight>
            </a:rPr>
            <a:t>Krok 1: Dodaj graczy do pustych miejsc w zespołach (wypełnij komórki A12: A16 i A21: A25)</a:t>
          </a:r>
          <a:endParaRPr sz="2100">
            <a:solidFill>
              <a:srgbClr val="202124"/>
            </a:solidFill>
            <a:highlight>
              <a:srgbClr val="F8F9FA"/>
            </a:highlight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2100">
              <a:solidFill>
                <a:srgbClr val="202124"/>
              </a:solidFill>
              <a:highlight>
                <a:srgbClr val="F8F9FA"/>
              </a:highlight>
            </a:rPr>
            <a:t>Krok 2: Następnie kliknij balansowanie drużyn </a:t>
          </a:r>
          <a:r>
            <a:rPr b="1" lang="en-US" sz="2100">
              <a:solidFill>
                <a:srgbClr val="202124"/>
              </a:solidFill>
              <a:highlight>
                <a:srgbClr val="F8F9FA"/>
              </a:highlight>
            </a:rPr>
            <a:t>(Balance Teams)</a:t>
          </a:r>
          <a:r>
            <a:rPr lang="en-US" sz="2100">
              <a:solidFill>
                <a:srgbClr val="202124"/>
              </a:solidFill>
              <a:highlight>
                <a:srgbClr val="F8F9FA"/>
              </a:highlight>
            </a:rPr>
            <a:t>, aby automatycznie dobrać składy według rankingu.</a:t>
          </a:r>
          <a:endParaRPr sz="2100">
            <a:solidFill>
              <a:srgbClr val="202124"/>
            </a:solidFill>
            <a:highlight>
              <a:srgbClr val="F8F9FA"/>
            </a:highlight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2100">
              <a:solidFill>
                <a:srgbClr val="202124"/>
              </a:solidFill>
              <a:highlight>
                <a:srgbClr val="F8F9FA"/>
              </a:highlight>
            </a:rPr>
            <a:t>Krok 3: Po meczu dodaj końcowe wyniki obu drużyn (wypełnij komórki B18 i B27)</a:t>
          </a:r>
          <a:endParaRPr sz="2100">
            <a:solidFill>
              <a:srgbClr val="202124"/>
            </a:solidFill>
            <a:highlight>
              <a:srgbClr val="F8F9FA"/>
            </a:highlight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2100">
              <a:solidFill>
                <a:srgbClr val="202124"/>
              </a:solidFill>
              <a:highlight>
                <a:srgbClr val="F8F9FA"/>
              </a:highlight>
            </a:rPr>
            <a:t>Krok 4: Dodaj wyniki walki (fragi) każdego gracza (wypełnij komórki C12: C16 i C21: C25)</a:t>
          </a:r>
          <a:endParaRPr sz="2100">
            <a:solidFill>
              <a:srgbClr val="202124"/>
            </a:solidFill>
            <a:highlight>
              <a:srgbClr val="F8F9FA"/>
            </a:highlight>
          </a:endParaRPr>
        </a:p>
        <a:p>
          <a:pPr indent="0" lvl="0" marL="0" marR="38100" rtl="0" algn="l">
            <a:lnSpc>
              <a:spcPct val="128571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2100">
              <a:solidFill>
                <a:srgbClr val="202124"/>
              </a:solidFill>
              <a:highlight>
                <a:srgbClr val="F8F9FA"/>
              </a:highlight>
            </a:rPr>
            <a:t>Krok 4: Kliknij Aktualizuj ELO </a:t>
          </a:r>
          <a:r>
            <a:rPr b="1" lang="en-US" sz="2100">
              <a:solidFill>
                <a:srgbClr val="202124"/>
              </a:solidFill>
              <a:highlight>
                <a:srgbClr val="F8F9FA"/>
              </a:highlight>
            </a:rPr>
            <a:t>(UPDATE ELO)</a:t>
          </a:r>
          <a:r>
            <a:rPr lang="en-US" sz="2100">
              <a:solidFill>
                <a:srgbClr val="202124"/>
              </a:solidFill>
              <a:highlight>
                <a:srgbClr val="F8F9FA"/>
              </a:highlight>
            </a:rPr>
            <a:t>, aby uaktualinić ranking. </a:t>
          </a:r>
          <a:endParaRPr sz="2100">
            <a:solidFill>
              <a:srgbClr val="202124"/>
            </a:solidFill>
            <a:highlight>
              <a:srgbClr val="F8F9FA"/>
            </a:highlight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561975</xdr:colOff>
      <xdr:row>2</xdr:row>
      <xdr:rowOff>190500</xdr:rowOff>
    </xdr:from>
    <xdr:ext cx="1543050" cy="609600"/>
    <xdr:sp>
      <xdr:nvSpPr>
        <xdr:cNvPr id="8" name="Shape 8"/>
        <xdr:cNvSpPr/>
      </xdr:nvSpPr>
      <xdr:spPr>
        <a:xfrm>
          <a:off x="3463300" y="2175800"/>
          <a:ext cx="1521900" cy="595200"/>
        </a:xfrm>
        <a:prstGeom prst="rect">
          <a:avLst/>
        </a:prstGeom>
        <a:solidFill>
          <a:srgbClr val="F9CB9C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Select</a:t>
          </a:r>
          <a:r>
            <a:rPr b="1" lang="en-US" sz="1400"/>
            <a:t> Teams</a:t>
          </a:r>
          <a:endParaRPr b="1"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E3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Player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F2:M3" displayName="Table_2" name="Table_2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Players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1:I11" displayName="Table_3" name="Table_3" id="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Players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ref="A14:A23" displayName="Table_4" name="Table_4" id="4">
  <tableColumns count="1">
    <tableColumn name="Wariat" id="1"/>
  </tableColumns>
  <tableStyleInfo name="Players-style 4" showColumnStripes="0" showFirstColumn="1" showLastColumn="1" showRowStripes="1"/>
</table>
</file>

<file path=xl/tables/table5.xml><?xml version="1.0" encoding="utf-8"?>
<table xmlns="http://schemas.openxmlformats.org/spreadsheetml/2006/main" ref="B14:B23" displayName="Table_5" name="Table_5" id="5">
  <tableColumns count="1">
    <tableColumn name="wariat" id="1"/>
  </tableColumns>
  <tableStyleInfo name="Players-style 5" showColumnStripes="0" showFirstColumn="1" showLastColumn="1" showRowStripes="1"/>
</table>
</file>

<file path=xl/tables/table6.xml><?xml version="1.0" encoding="utf-8"?>
<table xmlns="http://schemas.openxmlformats.org/spreadsheetml/2006/main" headerRowCount="0" ref="C14:C23" displayName="Table_6" name="Table_6" id="6">
  <tableColumns count="1">
    <tableColumn name="Column1" id="1"/>
  </tableColumns>
  <tableStyleInfo name="Players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D14:E23" displayName="Table_7" name="Table_7" id="7">
  <tableColumns count="2">
    <tableColumn name="Column1" id="1"/>
    <tableColumn name="Column2" id="2"/>
  </tableColumns>
  <tableStyleInfo name="Players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F14:I23" displayName="Table_8" name="Table_8" id="8">
  <tableColumns count="4">
    <tableColumn name="Column1" id="1"/>
    <tableColumn name="Column2" id="2"/>
    <tableColumn name="Column3" id="3"/>
    <tableColumn name="Column4" id="4"/>
  </tableColumns>
  <tableStyleInfo name="Players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C33:C34" displayName="Table_9" name="Table_9" id="9">
  <tableColumns count="1">
    <tableColumn name="Column1" id="1"/>
  </tableColumns>
  <tableStyleInfo name="Players-style 9" showColumnStripes="0" showFirstColumn="1" showLastColumn="1" showRowStripes="1"/>
</table>
</file>

<file path=xl/tables/table10.xml><?xml version="1.0" encoding="utf-8"?>
<table xmlns="http://schemas.openxmlformats.org/spreadsheetml/2006/main" headerRowCount="0" ref="C44:C46" displayName="Table_10" name="Table_10" id="10">
  <tableColumns count="1">
    <tableColumn name="Column1" id="1"/>
  </tableColumns>
  <tableStyleInfo name="Players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C48" displayName="Table_11" name="Table_11" id="11">
  <tableColumns count="1">
    <tableColumn name="Column1" id="1"/>
  </tableColumns>
  <tableStyleInfo name="Players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BE1458:BK1458" displayName="Table_12" name="Table_12" id="1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Match History-style" showColumnStripes="0" showFirstColumn="1" showLastColumn="1" showRowStripes="1"/>
</table>
</file>

<file path=xl/tables/table13.xml><?xml version="1.0" encoding="utf-8"?>
<table xmlns="http://schemas.openxmlformats.org/spreadsheetml/2006/main" headerRowCount="0" ref="AW1473:AY1473" displayName="Table_13" name="Table_13" id="13">
  <tableColumns count="3">
    <tableColumn name="Column1" id="1"/>
    <tableColumn name="Column2" id="2"/>
    <tableColumn name="Column3" id="3"/>
  </tableColumns>
  <tableStyleInfo name="Match History-style 2" showColumnStripes="0" showFirstColumn="1" showLastColumn="1" showRowStripes="1"/>
</table>
</file>

<file path=xl/tables/table14.xml><?xml version="1.0" encoding="utf-8"?>
<table xmlns="http://schemas.openxmlformats.org/spreadsheetml/2006/main" headerRowCount="0" ref="BE1473:BG1473" displayName="Table_14" name="Table_14" id="14">
  <tableColumns count="3">
    <tableColumn name="Column1" id="1"/>
    <tableColumn name="Column2" id="2"/>
    <tableColumn name="Column3" id="3"/>
  </tableColumns>
  <tableStyleInfo name="Match History-style 3" showColumnStripes="0" showFirstColumn="1" showLastColumn="1" showRowStripes="1"/>
</table>
</file>

<file path=xl/tables/table15.xml><?xml version="1.0" encoding="utf-8"?>
<table xmlns="http://schemas.openxmlformats.org/spreadsheetml/2006/main" headerRowCount="0" ref="C10:C36" displayName="Table_15" name="Table_15" id="15">
  <tableColumns count="1">
    <tableColumn name="Column1" id="1"/>
  </tableColumns>
  <tableStyleInfo name="Inactiv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20" Type="http://schemas.openxmlformats.org/officeDocument/2006/relationships/table" Target="../tables/table8.xml"/><Relationship Id="rId22" Type="http://schemas.openxmlformats.org/officeDocument/2006/relationships/table" Target="../tables/table10.xml"/><Relationship Id="rId21" Type="http://schemas.openxmlformats.org/officeDocument/2006/relationships/table" Target="../tables/table9.xml"/><Relationship Id="rId13" Type="http://schemas.openxmlformats.org/officeDocument/2006/relationships/table" Target="../tables/table1.xml"/><Relationship Id="rId23" Type="http://schemas.openxmlformats.org/officeDocument/2006/relationships/table" Target="../tables/table11.xml"/><Relationship Id="rId15" Type="http://schemas.openxmlformats.org/officeDocument/2006/relationships/table" Target="../tables/table3.xml"/><Relationship Id="rId14" Type="http://schemas.openxmlformats.org/officeDocument/2006/relationships/table" Target="../tables/table2.xml"/><Relationship Id="rId17" Type="http://schemas.openxmlformats.org/officeDocument/2006/relationships/table" Target="../tables/table5.xml"/><Relationship Id="rId16" Type="http://schemas.openxmlformats.org/officeDocument/2006/relationships/table" Target="../tables/table4.xml"/><Relationship Id="rId19" Type="http://schemas.openxmlformats.org/officeDocument/2006/relationships/table" Target="../tables/table7.xml"/><Relationship Id="rId18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2mdZDdKjeN8&amp;start=2s" TargetMode="External"/><Relationship Id="rId2" Type="http://schemas.openxmlformats.org/officeDocument/2006/relationships/hyperlink" Target="https://www.youtube.com/watch?v=6ZHR9hefVK4" TargetMode="External"/><Relationship Id="rId3" Type="http://schemas.openxmlformats.org/officeDocument/2006/relationships/hyperlink" Target="https://youtu.be/pUj9_gyfG_w" TargetMode="External"/><Relationship Id="rId4" Type="http://schemas.openxmlformats.org/officeDocument/2006/relationships/hyperlink" Target="https://www.youtube.com/watch?v=8GCYVmCEr8g&amp;ab_channel=lolandiusz88" TargetMode="External"/><Relationship Id="rId11" Type="http://schemas.openxmlformats.org/officeDocument/2006/relationships/table" Target="../tables/table14.xml"/><Relationship Id="rId10" Type="http://schemas.openxmlformats.org/officeDocument/2006/relationships/table" Target="../tables/table13.xml"/><Relationship Id="rId9" Type="http://schemas.openxmlformats.org/officeDocument/2006/relationships/table" Target="../tables/table12.xm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FFF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2.75"/>
    <col customWidth="1" min="2" max="2" width="15.38"/>
    <col customWidth="1" min="3" max="3" width="11.25"/>
    <col customWidth="1" min="4" max="4" width="10.88"/>
    <col customWidth="1" min="5" max="5" width="7.5"/>
    <col customWidth="1" min="6" max="6" width="10.75"/>
    <col customWidth="1" min="8" max="8" width="17.75"/>
    <col customWidth="1" min="9" max="9" width="13.75"/>
    <col customWidth="1" min="14" max="14" width="17.7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</row>
    <row r="2" ht="18.0" customHeight="1">
      <c r="A2" s="10" t="s">
        <v>22</v>
      </c>
      <c r="B2" s="11" t="s">
        <v>23</v>
      </c>
      <c r="C2" s="12">
        <v>1368.107135768547</v>
      </c>
      <c r="D2" s="13">
        <f t="shared" ref="D2:D3" si="1">NORMDIST(C2,1000,STDEV($C$2:$C$39)+0.00001,TRUE)</f>
        <v>0.9999958495</v>
      </c>
      <c r="E2" s="14"/>
      <c r="F2" s="14">
        <f>COUNTIF('Match History'!A:BK,"zielony")</f>
        <v>776</v>
      </c>
      <c r="G2" s="15" t="s">
        <v>24</v>
      </c>
      <c r="H2" s="15" t="s">
        <v>25</v>
      </c>
      <c r="I2" s="15">
        <v>3.0</v>
      </c>
      <c r="J2" s="16"/>
      <c r="K2" s="17">
        <v>1.0</v>
      </c>
      <c r="L2" s="18" t="b">
        <f t="shared" ref="L2:L47" si="2">AND($N2&lt;&gt;"no war", $N2&gt;=DATE(2022, 12, 31)-30, $M2&lt;&gt;TRUE)</f>
        <v>1</v>
      </c>
      <c r="M2" s="17" t="b">
        <v>0</v>
      </c>
      <c r="N2" s="19">
        <f t="array" ref="N2">IF(F2=0, "no war", INDEX('Match History'!A:A, MAX(MAX(('Match History'!B:B=B2)*(ROW('Match History'!B:B))),MAX(('Match History'!F:F=B2)*(ROW('Match History'!F:F))),MAX(('Match History'!J:J=B2)*(ROW('Match History'!J:J))),MAX(('Match History'!N:N=B2)*(ROW('Match History'!N:N))),MAX(('Match History'!R:R=B2)*(ROW('Match History'!R:R))),MAX(('Match History'!V:V=B2)*(ROW('Match History'!V:V))),MAX(('Match History'!Z:Z=B2)*(ROW('Match History'!Z:Z))),MAX(('Match History'!AD:AD=B2)*(ROW('Match History'!AD:AD))),MAX(('Match History'!AH:AH=B2)*(ROW('Match History'!AH:AH))),MAX(('Match History'!AL:AL=B2)*(ROW('Match History'!AL:AL))),MAX(('Match History'!AV:AV=B2)*(ROW('Match History'!AV:AV))),MAX(('Match History'!AZ:AZ=B2)*(ROW('Match History'!AZ:AZ))),MAX(('Match History'!BD:BD=B2)*(ROW('Match History'!BD:BD))),MAX(('Match History'!BH:BH=B2)*(ROW('Match History'!BH:BH)))), 1))
</f>
        <v>44925.92524</v>
      </c>
      <c r="O2" s="20">
        <f>(SUMIF('Match History'!B:B,B2,'Match History'!D:D)+SUMIF('Match History'!F:F,B2,'Match History'!H:H)+SUMIF('Match History'!J:J,B2,'Match History'!L:L)+SUMIF('Match History'!N:N,B2,'Match History'!P:P)+SUMIF('Match History'!R:R,B2,'Match History'!T:T)+SUMIF('Match History'!V:V,B2,'Match History'!X:X)+SUMIF('Match History'!Z:Z,B2,'Match History'!AB:AB)+SUMIF('Match History'!AD:AD,B2,'Match History'!AF:AF)+SUMIF('Match History'!AH:AH,B2,'Match History'!AJ:AJ)+SUMIF('Match History'!AL:AL,B2,'Match History'!AN:AN)+SUMIF('Match History'!AV:AV,B2,'Match History'!AX:AX)+SUMIF('Match History'!AZ:AZ,B2,'Match History'!BB:BB)+SUMIF('Match History'!BD:BD,B2,'Match History'!BF:BF)+SUMIF('Match History'!BH:BH,B2,'Match History'!BJ:BJ))/IF(F2=0,1,F2)</f>
        <v>29.6443299</v>
      </c>
      <c r="P2" s="21">
        <f t="array" ref="P2">MAX(MAX(IF('Match History'!B:B=B2,'Match History'!D:D,)),MAX(IF('Match History'!F:F=B2,'Match History'!H:H,)),MAX(IF('Match History'!J:J=B2,'Match History'!L:L,)),MAX(IF('Match History'!N:N=B2,'Match History'!P:P,)),MAX(IF('Match History'!R:R=B2,'Match History'!T:T,)),MAX(IF('Match History'!V:V=B2,'Match History'!X:X,)),MAX(IF('Match History'!Z:Z=B2,'Match History'!AB:AB,)),MAX(IF('Match History'!AD:AD=B2,'Match History'!AF:AF,)),MAX(IF('Match History'!AH:AH=B2,'Match History'!AJ:AJ,)),MAX(IF('Match History'!AL:AL=B2,'Match History'!AN:AN,)),MAX(IF('Match History'!AV:AV=B2,'Match History'!AX:AX,)),MAX(IF('Match History'!AZ:AZ=B2,'Match History'!BB:BB,)),MAX(IF('Match History'!BD:BD=B2,'Match History'!BF:BF,)),MAX(IF('Match History'!BH:BH=B2,'Match History'!BJ:BJ,)))</f>
        <v>93</v>
      </c>
      <c r="Q2" s="21">
        <f t="array" ref="Q2">IF(F2=0,0,MIN(MIN(IF('Match History'!B:B=B2,'Match History'!D:D,999)),MIN(IF('Match History'!F:F=B2,'Match History'!H:H,999)),MIN(IF('Match History'!J:J=B2,'Match History'!L:L,999)),MIN(IF('Match History'!N:N=B2,'Match History'!P:P,999)),MIN(IF('Match History'!R:R=B2,'Match History'!T:T,999)),MIN(IF('Match History'!V:V=B2,'Match History'!X:X,999)),MIN(IF('Match History'!Z:Z=B2,'Match History'!AB:AB,999)),MIN(IF('Match History'!AD:AD=B2,'Match History'!AF:AF,999)),MIN(IF('Match History'!AH:AH=B2,'Match History'!AJ:AJ,999)),MIN(IF('Match History'!AL:AL=B2,'Match History'!AN:AN,999)),MIN(IF('Match History'!AV:AV=B2,'Match History'!AX:AX,999)),MIN(IF('Match History'!AZ:AZ=B2,'Match History'!BB:BB,999)),MIN(IF('Match History'!BD:BD=B2,'Match History'!BF:BF,999)),MIN(IF('Match History'!BH:BH=B2,'Match History'!BJ:BJ,999))))</f>
        <v>10</v>
      </c>
      <c r="R2" s="21">
        <f>COUNTIFS('Match History'!B:B,B2,'Match History'!A:A,"&gt;="&amp;(DATE(2022,12,31)-30))+COUNTIFS('Match History'!F:F,B2,'Match History'!A:A,"&gt;="&amp;(DATE(2022,12,31)-30))+COUNTIFS('Match History'!J:J,B2,'Match History'!A:A,"&gt;="&amp;(DATE(2022,12,31)-30))+COUNTIFS('Match History'!N:N,B2,'Match History'!A:A,"&gt;="&amp;(DATE(2022,12,31)-30))+COUNTIFS('Match History'!R:R,B2,'Match History'!A:A,"&gt;="&amp;(DATE(2022,12,31)-30))+COUNTIFS('Match History'!V:V,B2,'Match History'!A:A,"&gt;="&amp;(DATE(2022,12,31)-30))+COUNTIFS('Match History'!Z:Z,B2,'Match History'!A:A,"&gt;="&amp;(DATE(2022,12,31)-30))+COUNTIFS('Match History'!AD:AD,B2,'Match History'!A:A,"&gt;="&amp;(DATE(2022,12,31)-30))+COUNTIFS('Match History'!AH:AH,B2,'Match History'!A:A,"&gt;="&amp;(DATE(2022,12,31)-30))+COUNTIFS('Match History'!AL:AL,B2,'Match History'!A:A,"&gt;="&amp;(DATE(2022,12,31)-30))+COUNTIFS('Match History'!AV:AV,B2,'Match History'!A:A,"&gt;="&amp;(DATE(2022,12,31)-30))+COUNTIFS('Match History'!AZ:AZ,B2,'Match History'!A:A,"&gt;="&amp;(DATE(2022,12,31)-30))+COUNTIFS('Match History'!BD:BD,B2,'Match History'!A:A,"&gt;="&amp;(DATE(2022,12,31)-30))+COUNTIFS('Match History'!BH:BH,B2,'Match History'!A:A,"&gt;="&amp;(DATE(2022,12,31)-30))
</f>
        <v>45</v>
      </c>
      <c r="S2" s="21">
        <f>COUNTIFS('Match History'!B:B,B2,'Match History'!A:A,"&gt;="&amp;(DATE(2022,12,31)-365))+COUNTIFS('Match History'!F:F,B2,'Match History'!A:A,"&gt;="&amp;(DATE(2022,12,31)-365))+COUNTIFS('Match History'!J:J,B2,'Match History'!A:A,"&gt;="&amp;(DATE(2022,12,31)-365))+COUNTIFS('Match History'!N:N,B2,'Match History'!A:A,"&gt;="&amp;(DATE(2022,12,31)-365))+COUNTIFS('Match History'!R:R,B2,'Match History'!A:A,"&gt;="&amp;(DATE(2022,12,31)-365))+COUNTIFS('Match History'!V:V,B2,'Match History'!A:A,"&gt;="&amp;(DATE(2022,12,31)-365))+COUNTIFS('Match History'!Z:Z,B2,'Match History'!A:A,"&gt;="&amp;(DATE(2022,12,31)-365))+COUNTIFS('Match History'!AD:AD,B2,'Match History'!A:A,"&gt;="&amp;(DATE(2022,12,31)-365))+COUNTIFS('Match History'!AH:AH,B2,'Match History'!A:A,"&gt;="&amp;(DATE(2022,12,31)-365))+COUNTIFS('Match History'!AL:AL,B2,'Match History'!A:A,"&gt;="&amp;(DATE(2022,12,31)-365))+COUNTIFS('Match History'!AV:AV,B2,'Match History'!A:A,"&gt;="&amp;(DATE(2022,12,31)-365))+COUNTIFS('Match History'!AZ:AZ,B2,'Match History'!A:A,"&gt;="&amp;(DATE(2022,12,31)-365))+COUNTIFS('Match History'!BD:BD,B2,'Match History'!A:A,"&gt;="&amp;(DATE(2022,12,31)-365))+COUNTIFS('Match History'!BH:BH,B2,'Match History'!A:A,"&gt;="&amp;(DATE(2022,12,31)-365))
</f>
        <v>254</v>
      </c>
      <c r="T2" s="20">
        <f t="array" ref="T2">IF(F2=0,0,INDEX('Match History'!B:BK,MATCH(N2,'Match History'!A:A,0),MATCH(B2,INDEX('Match History'!B:BK,MATCH(N2,'Match History'!A:A,0),0),0)+3)-INDEX('Match History'!B:BK,MATCH(N2,'Match History'!A:A,0),MATCH(B2,INDEX('Match History'!B:BK,MATCH(N2,'Match History'!A:A,0),0),0)+1))</f>
        <v>-0.4120524112</v>
      </c>
      <c r="U2" s="21">
        <f>COUNTIFS('Match History'!B:B,B2,'Match History'!A:A,"&gt;="&amp;(DATE(2022,12,31)-92))
+COUNTIFS('Match History'!F:F,B2,'Match History'!A:A,"&gt;="&amp;(DATE(2022,12,31)-92))
+COUNTIFS('Match History'!J:J,B2,'Match History'!A:A,"&gt;="&amp;(DATE(2022,12,31)-92))
+COUNTIFS('Match History'!N:N,B2,'Match History'!A:A,"&gt;="&amp;(DATE(2022,12,31)-92))
+COUNTIFS('Match History'!R:R,B2,'Match History'!A:A,"&gt;="&amp;(DATE(2022,12,31)-92))
+COUNTIFS('Match History'!V:V,B2,'Match History'!A:A,"&gt;="&amp;(DATE(2022,12,31)-92))
+COUNTIFS('Match History'!Z:Z,B2,'Match History'!A:A,"&gt;="&amp;(DATE(2022,12,31)-92))
+COUNTIFS('Match History'!AD:AD,B2,'Match History'!A:A,"&gt;="&amp;(DATE(2022,12,31)-92))
+COUNTIFS('Match History'!AH:AH,B2,'Match History'!A:A,"&gt;="&amp;(DATE(2022,12,31)-92))
+COUNTIFS('Match History'!AL:AL,B2,'Match History'!A:A,"&gt;="&amp;(DATE(2022,12,31)-92))
+COUNTIFS('Match History'!AV:AV,B2,'Match History'!A:A,"&gt;="&amp;(DATE(2022,12,31)-92))
+COUNTIFS('Match History'!AZ:AZ,B2,'Match History'!A:A,"&gt;="&amp;(DATE(2022,12,31)-92))
+COUNTIFS('Match History'!BD:BD,B2,'Match History'!A:A,"&gt;="&amp;(DATE(2022,12,31)-92))
+COUNTIFS('Match History'!BH:BH,B2,'Match History'!A:A,"&gt;="&amp;(DATE(2022,12,31)-92))
</f>
        <v>107</v>
      </c>
      <c r="V2" s="20">
        <f>IF(U2=0,0,(SUMIFS('Match History'!D:D,'Match History'!A:A,"&gt;=10/01/2022 00:00",'Match History'!A:A,"&lt;=12/31/2022 23:59",'Match History'!B:B,B2)
+SUMIFS('Match History'!H:H,'Match History'!A:A,"&gt;=10/01/2022 00:00",'Match History'!A:A,"&lt;=12/31/2022 23:59",'Match History'!F:F,B2)
+SUMIFS('Match History'!L:L,'Match History'!A:A,"&gt;=10/01/2022 00:00",'Match History'!A:A,"&lt;=12/31/2022 23:59",'Match History'!J:J,B2)
+SUMIFS('Match History'!P:P,'Match History'!A:A,"&gt;=10/01/2022 00:00",'Match History'!A:A,"&lt;=12/31/2022 23:59",'Match History'!N:N,B2)
+SUMIFS('Match History'!T:T,'Match History'!A:A,"&gt;=10/01/2022 00:00",'Match History'!A:A,"&lt;=12/31/2022 23:59",'Match History'!R:R,B2)
+SUMIFS('Match History'!X:X,'Match History'!A:A,"&gt;=10/01/2022 00:00",'Match History'!A:A,"&lt;=12/31/2022 23:59",'Match History'!V:V,B2)
+SUMIFS('Match History'!AB:AB,'Match History'!A:A,"&gt;=10/01/2022 00:00",'Match History'!A:A,"&lt;=12/31/2022 23:59",'Match History'!Z:Z,B2)
+SUMIFS('Match History'!AF:AF,'Match History'!A:A,"&gt;=10/01/2022 00:00",'Match History'!A:A,"&lt;=12/31/2022 23:59",'Match History'!AD:AD,B2)
+SUMIFS('Match History'!AJ:AJ,'Match History'!A:A,"&gt;=10/01/2022 00:00",'Match History'!A:A,"&lt;=12/31/2022 23:59",'Match History'!AH:AH,B2)
+SUMIFS('Match History'!AN:AN,'Match History'!A:A,"&gt;=10/01/2022 00:00",'Match History'!A:A,"&lt;=12/31/2022 23:59",'Match History'!AL:AL,B2)
+SUMIFS('Match History'!AX:AX,'Match History'!A:A,"&gt;=10/01/2022 00:00",'Match History'!A:A,"&lt;=12/31/2022 23:59",'Match History'!AV:AV,B2)+SUMIFS('Match History'!BB:BB,'Match History'!A:A,"&gt;=10/01/2022 00:00",'Match History'!A:A,"&lt;=12/31/2022 23:59",'Match History'!AZ:AZ,B2)
+SUMIFS('Match History'!BF:BF,'Match History'!A:A,"&gt;=10/01/2022 00:00",'Match History'!A:A,"&lt;=12/31/2022 23:59",'Match History'!BD:BD,B2)
+SUMIFS('Match History'!BJ:BJ,'Match History'!A:A,"&gt;=10/01/2022 00:00",'Match History'!A:A,"&lt;=12/31/2022 23:59",'Match History'!BH:BH,B2))/U2)
</f>
        <v>28.70093458</v>
      </c>
    </row>
    <row r="3" ht="18.0" customHeight="1">
      <c r="A3" s="22" t="s">
        <v>26</v>
      </c>
      <c r="B3" s="23" t="s">
        <v>27</v>
      </c>
      <c r="C3" s="12">
        <v>1190.7305808829126</v>
      </c>
      <c r="D3" s="24">
        <f t="shared" si="1"/>
        <v>0.9895416356</v>
      </c>
      <c r="E3" s="25"/>
      <c r="F3" s="26">
        <f>COUNTIF('Match History'!A:BK,"zielak")</f>
        <v>918</v>
      </c>
      <c r="G3" s="27" t="s">
        <v>24</v>
      </c>
      <c r="H3" s="28" t="s">
        <v>28</v>
      </c>
      <c r="I3" s="29" t="s">
        <v>29</v>
      </c>
      <c r="J3" s="30">
        <v>1.0</v>
      </c>
      <c r="K3" s="30">
        <v>1.0</v>
      </c>
      <c r="L3" s="18" t="b">
        <f t="shared" si="2"/>
        <v>1</v>
      </c>
      <c r="M3" s="17" t="b">
        <v>0</v>
      </c>
      <c r="N3" s="19">
        <f t="array" ref="N3">IF(F3=0, "no war", INDEX('Match History'!A:A, MAX(MAX(('Match History'!B:B=B3)*(ROW('Match History'!B:B))),MAX(('Match History'!F:F=B3)*(ROW('Match History'!F:F))),MAX(('Match History'!J:J=B3)*(ROW('Match History'!J:J))),MAX(('Match History'!N:N=B3)*(ROW('Match History'!N:N))),MAX(('Match History'!R:R=B3)*(ROW('Match History'!R:R))),MAX(('Match History'!V:V=B3)*(ROW('Match History'!V:V))),MAX(('Match History'!Z:Z=B3)*(ROW('Match History'!Z:Z))),MAX(('Match History'!AD:AD=B3)*(ROW('Match History'!AD:AD))),MAX(('Match History'!AH:AH=B3)*(ROW('Match History'!AH:AH))),MAX(('Match History'!AL:AL=B3)*(ROW('Match History'!AL:AL))),MAX(('Match History'!AV:AV=B3)*(ROW('Match History'!AV:AV))),MAX(('Match History'!AZ:AZ=B3)*(ROW('Match History'!AZ:AZ))),MAX(('Match History'!BD:BD=B3)*(ROW('Match History'!BD:BD))),MAX(('Match History'!BH:BH=B3)*(ROW('Match History'!BH:BH)))), 1))
</f>
        <v>44926.11415</v>
      </c>
      <c r="O3" s="20">
        <f>(SUMIF('Match History'!B:B,B3,'Match History'!D:D)+SUMIF('Match History'!F:F,B3,'Match History'!H:H)+SUMIF('Match History'!J:J,B3,'Match History'!L:L)+SUMIF('Match History'!N:N,B3,'Match History'!P:P)+SUMIF('Match History'!R:R,B3,'Match History'!T:T)+SUMIF('Match History'!V:V,B3,'Match History'!X:X)+SUMIF('Match History'!Z:Z,B3,'Match History'!AB:AB)+SUMIF('Match History'!AD:AD,B3,'Match History'!AF:AF)+SUMIF('Match History'!AH:AH,B3,'Match History'!AJ:AJ)+SUMIF('Match History'!AL:AL,B3,'Match History'!AN:AN)+SUMIF('Match History'!AV:AV,B3,'Match History'!AX:AX)+SUMIF('Match History'!AZ:AZ,B3,'Match History'!BB:BB)+SUMIF('Match History'!BD:BD,B3,'Match History'!BF:BF)+SUMIF('Match History'!BH:BH,B3,'Match History'!BJ:BJ))/IF(F3=0,1,F3)</f>
        <v>23.25381264</v>
      </c>
      <c r="P3" s="21">
        <f t="array" ref="P3">MAX(MAX(IF('Match History'!B:B=B3,'Match History'!D:D,)),MAX(IF('Match History'!F:F=B3,'Match History'!H:H,)),MAX(IF('Match History'!J:J=B3,'Match History'!L:L,)),MAX(IF('Match History'!N:N=B3,'Match History'!P:P,)),MAX(IF('Match History'!R:R=B3,'Match History'!T:T,)),MAX(IF('Match History'!V:V=B3,'Match History'!X:X,)),MAX(IF('Match History'!Z:Z=B3,'Match History'!AB:AB,)),MAX(IF('Match History'!AD:AD=B3,'Match History'!AF:AF,)),MAX(IF('Match History'!AH:AH=B3,'Match History'!AJ:AJ,)),MAX(IF('Match History'!AL:AL=B3,'Match History'!AN:AN,)),MAX(IF('Match History'!AV:AV=B3,'Match History'!AX:AX,)),MAX(IF('Match History'!AZ:AZ=B3,'Match History'!BB:BB,)),MAX(IF('Match History'!BD:BD=B3,'Match History'!BF:BF,)),MAX(IF('Match History'!BH:BH=B3,'Match History'!BJ:BJ,)))</f>
        <v>62</v>
      </c>
      <c r="Q3" s="21">
        <f t="array" ref="Q3">IF(F3=0,0,MIN(MIN(IF('Match History'!B:B=B3,'Match History'!D:D,999)),MIN(IF('Match History'!F:F=B3,'Match History'!H:H,999)),MIN(IF('Match History'!J:J=B3,'Match History'!L:L,999)),MIN(IF('Match History'!N:N=B3,'Match History'!P:P,999)),MIN(IF('Match History'!R:R=B3,'Match History'!T:T,999)),MIN(IF('Match History'!V:V=B3,'Match History'!X:X,999)),MIN(IF('Match History'!Z:Z=B3,'Match History'!AB:AB,999)),MIN(IF('Match History'!AD:AD=B3,'Match History'!AF:AF,999)),MIN(IF('Match History'!AH:AH=B3,'Match History'!AJ:AJ,999)),MIN(IF('Match History'!AL:AL=B3,'Match History'!AN:AN,999)),MIN(IF('Match History'!AV:AV=B3,'Match History'!AX:AX,999)),MIN(IF('Match History'!AZ:AZ=B3,'Match History'!BB:BB,999)),MIN(IF('Match History'!BD:BD=B3,'Match History'!BF:BF,999)),MIN(IF('Match History'!BH:BH=B3,'Match History'!BJ:BJ,999))))</f>
        <v>5</v>
      </c>
      <c r="R3" s="21">
        <f>COUNTIFS('Match History'!B:B,B3,'Match History'!A:A,"&gt;="&amp;(DATE(2022,12,31)-30))+COUNTIFS('Match History'!F:F,B3,'Match History'!A:A,"&gt;="&amp;(DATE(2022,12,31)-30))+COUNTIFS('Match History'!J:J,B3,'Match History'!A:A,"&gt;="&amp;(DATE(2022,12,31)-30))+COUNTIFS('Match History'!N:N,B3,'Match History'!A:A,"&gt;="&amp;(DATE(2022,12,31)-30))+COUNTIFS('Match History'!R:R,B3,'Match History'!A:A,"&gt;="&amp;(DATE(2022,12,31)-30))+COUNTIFS('Match History'!V:V,B3,'Match History'!A:A,"&gt;="&amp;(DATE(2022,12,31)-30))+COUNTIFS('Match History'!Z:Z,B3,'Match History'!A:A,"&gt;="&amp;(DATE(2022,12,31)-30))+COUNTIFS('Match History'!AD:AD,B3,'Match History'!A:A,"&gt;="&amp;(DATE(2022,12,31)-30))+COUNTIFS('Match History'!AH:AH,B3,'Match History'!A:A,"&gt;="&amp;(DATE(2022,12,31)-30))+COUNTIFS('Match History'!AL:AL,B3,'Match History'!A:A,"&gt;="&amp;(DATE(2022,12,31)-30))+COUNTIFS('Match History'!AV:AV,B3,'Match History'!A:A,"&gt;="&amp;(DATE(2022,12,31)-30))+COUNTIFS('Match History'!AZ:AZ,B3,'Match History'!A:A,"&gt;="&amp;(DATE(2022,12,31)-30))+COUNTIFS('Match History'!BD:BD,B3,'Match History'!A:A,"&gt;="&amp;(DATE(2022,12,31)-30))+COUNTIFS('Match History'!BH:BH,B3,'Match History'!A:A,"&gt;="&amp;(DATE(2022,12,31)-30))
</f>
        <v>58</v>
      </c>
      <c r="S3" s="21">
        <f>COUNTIFS('Match History'!B:B,B3,'Match History'!A:A,"&gt;="&amp;(DATE(2022,12,31)-365))+COUNTIFS('Match History'!F:F,B3,'Match History'!A:A,"&gt;="&amp;(DATE(2022,12,31)-365))+COUNTIFS('Match History'!J:J,B3,'Match History'!A:A,"&gt;="&amp;(DATE(2022,12,31)-365))+COUNTIFS('Match History'!N:N,B3,'Match History'!A:A,"&gt;="&amp;(DATE(2022,12,31)-365))+COUNTIFS('Match History'!R:R,B3,'Match History'!A:A,"&gt;="&amp;(DATE(2022,12,31)-365))+COUNTIFS('Match History'!V:V,B3,'Match History'!A:A,"&gt;="&amp;(DATE(2022,12,31)-365))+COUNTIFS('Match History'!Z:Z,B3,'Match History'!A:A,"&gt;="&amp;(DATE(2022,12,31)-365))+COUNTIFS('Match History'!AD:AD,B3,'Match History'!A:A,"&gt;="&amp;(DATE(2022,12,31)-365))+COUNTIFS('Match History'!AH:AH,B3,'Match History'!A:A,"&gt;="&amp;(DATE(2022,12,31)-365))+COUNTIFS('Match History'!AL:AL,B3,'Match History'!A:A,"&gt;="&amp;(DATE(2022,12,31)-365))+COUNTIFS('Match History'!AV:AV,B3,'Match History'!A:A,"&gt;="&amp;(DATE(2022,12,31)-365))+COUNTIFS('Match History'!AZ:AZ,B3,'Match History'!A:A,"&gt;="&amp;(DATE(2022,12,31)-365))+COUNTIFS('Match History'!BD:BD,B3,'Match History'!A:A,"&gt;="&amp;(DATE(2022,12,31)-365))+COUNTIFS('Match History'!BH:BH,B3,'Match History'!A:A,"&gt;="&amp;(DATE(2022,12,31)-365))
</f>
        <v>434</v>
      </c>
      <c r="T3" s="20">
        <f t="array" ref="T3">IF(F3=0,0,INDEX('Match History'!B:BK,MATCH(N3,'Match History'!A:A,0),MATCH(B3,INDEX('Match History'!B:BK,MATCH(N3,'Match History'!A:A,0),0),0)+3)-INDEX('Match History'!B:BK,MATCH(N3,'Match History'!A:A,0),MATCH(B3,INDEX('Match History'!B:BK,MATCH(N3,'Match History'!A:A,0),0),0)+1))</f>
        <v>-4.63324962</v>
      </c>
      <c r="U3" s="21">
        <f>COUNTIFS('Match History'!B:B,B3,'Match History'!A:A,"&gt;="&amp;(DATE(2022,12,31)-92))
+COUNTIFS('Match History'!F:F,B3,'Match History'!A:A,"&gt;="&amp;(DATE(2022,12,31)-92))
+COUNTIFS('Match History'!J:J,B3,'Match History'!A:A,"&gt;="&amp;(DATE(2022,12,31)-92))
+COUNTIFS('Match History'!N:N,B3,'Match History'!A:A,"&gt;="&amp;(DATE(2022,12,31)-92))
+COUNTIFS('Match History'!R:R,B3,'Match History'!A:A,"&gt;="&amp;(DATE(2022,12,31)-92))
+COUNTIFS('Match History'!V:V,B3,'Match History'!A:A,"&gt;="&amp;(DATE(2022,12,31)-92))
+COUNTIFS('Match History'!Z:Z,B3,'Match History'!A:A,"&gt;="&amp;(DATE(2022,12,31)-92))
+COUNTIFS('Match History'!AD:AD,B3,'Match History'!A:A,"&gt;="&amp;(DATE(2022,12,31)-92))
+COUNTIFS('Match History'!AH:AH,B3,'Match History'!A:A,"&gt;="&amp;(DATE(2022,12,31)-92))
+COUNTIFS('Match History'!AL:AL,B3,'Match History'!A:A,"&gt;="&amp;(DATE(2022,12,31)-92))
+COUNTIFS('Match History'!AV:AV,B3,'Match History'!A:A,"&gt;="&amp;(DATE(2022,12,31)-92))
+COUNTIFS('Match History'!AZ:AZ,B3,'Match History'!A:A,"&gt;="&amp;(DATE(2022,12,31)-92))
+COUNTIFS('Match History'!BD:BD,B3,'Match History'!A:A,"&gt;="&amp;(DATE(2022,12,31)-92))
+COUNTIFS('Match History'!BH:BH,B3,'Match History'!A:A,"&gt;="&amp;(DATE(2022,12,31)-92))
</f>
        <v>143</v>
      </c>
      <c r="V3" s="20">
        <f>IF(U3=0,0,(SUMIFS('Match History'!D:D,'Match History'!A:A,"&gt;=10/01/2022 00:00",'Match History'!A:A,"&lt;=12/31/2022 23:59",'Match History'!B:B,B3)
+SUMIFS('Match History'!H:H,'Match History'!A:A,"&gt;=10/01/2022 00:00",'Match History'!A:A,"&lt;=12/31/2022 23:59",'Match History'!F:F,B3)
+SUMIFS('Match History'!L:L,'Match History'!A:A,"&gt;=10/01/2022 00:00",'Match History'!A:A,"&lt;=12/31/2022 23:59",'Match History'!J:J,B3)
+SUMIFS('Match History'!P:P,'Match History'!A:A,"&gt;=10/01/2022 00:00",'Match History'!A:A,"&lt;=12/31/2022 23:59",'Match History'!N:N,B3)
+SUMIFS('Match History'!T:T,'Match History'!A:A,"&gt;=10/01/2022 00:00",'Match History'!A:A,"&lt;=12/31/2022 23:59",'Match History'!R:R,B3)
+SUMIFS('Match History'!X:X,'Match History'!A:A,"&gt;=10/01/2022 00:00",'Match History'!A:A,"&lt;=12/31/2022 23:59",'Match History'!V:V,B3)
+SUMIFS('Match History'!AB:AB,'Match History'!A:A,"&gt;=10/01/2022 00:00",'Match History'!A:A,"&lt;=12/31/2022 23:59",'Match History'!Z:Z,B3)
+SUMIFS('Match History'!AF:AF,'Match History'!A:A,"&gt;=10/01/2022 00:00",'Match History'!A:A,"&lt;=12/31/2022 23:59",'Match History'!AD:AD,B3)
+SUMIFS('Match History'!AJ:AJ,'Match History'!A:A,"&gt;=10/01/2022 00:00",'Match History'!A:A,"&lt;=12/31/2022 23:59",'Match History'!AH:AH,B3)
+SUMIFS('Match History'!AN:AN,'Match History'!A:A,"&gt;=10/01/2022 00:00",'Match History'!A:A,"&lt;=12/31/2022 23:59",'Match History'!AL:AL,B3)
+SUMIFS('Match History'!AX:AX,'Match History'!A:A,"&gt;=10/01/2022 00:00",'Match History'!A:A,"&lt;=12/31/2022 23:59",'Match History'!AV:AV,B3)+SUMIFS('Match History'!BB:BB,'Match History'!A:A,"&gt;=10/01/2022 00:00",'Match History'!A:A,"&lt;=12/31/2022 23:59",'Match History'!AZ:AZ,B3)
+SUMIFS('Match History'!BF:BF,'Match History'!A:A,"&gt;=10/01/2022 00:00",'Match History'!A:A,"&lt;=12/31/2022 23:59",'Match History'!BD:BD,B3)
+SUMIFS('Match History'!BJ:BJ,'Match History'!A:A,"&gt;=10/01/2022 00:00",'Match History'!A:A,"&lt;=12/31/2022 23:59",'Match History'!BH:BH,B3))/U3)
</f>
        <v>24.46853147</v>
      </c>
    </row>
    <row r="4" ht="18.0" customHeight="1">
      <c r="A4" s="10" t="s">
        <v>30</v>
      </c>
      <c r="B4" s="10" t="s">
        <v>31</v>
      </c>
      <c r="C4" s="12">
        <v>1178.885401360164</v>
      </c>
      <c r="D4" s="13">
        <f>NORMDIST(C4,1000,STDEV(Players!$C$2:$C$39)+0.00001,TRUE)</f>
        <v>0.984846523</v>
      </c>
      <c r="E4" s="14"/>
      <c r="F4" s="31">
        <f>COUNTIF('Match History'!A:BK,"boogie")</f>
        <v>297</v>
      </c>
      <c r="G4" s="32" t="s">
        <v>24</v>
      </c>
      <c r="H4" s="29" t="s">
        <v>32</v>
      </c>
      <c r="I4" s="29">
        <v>1.0</v>
      </c>
      <c r="L4" s="18" t="b">
        <f t="shared" si="2"/>
        <v>1</v>
      </c>
      <c r="M4" s="17" t="b">
        <v>0</v>
      </c>
      <c r="N4" s="19">
        <f t="array" ref="N4">IF(F4=0, "no war", INDEX('Match History'!A:A, MAX(MAX(('Match History'!B:B=B4)*(ROW('Match History'!B:B))),MAX(('Match History'!F:F=B4)*(ROW('Match History'!F:F))),MAX(('Match History'!J:J=B4)*(ROW('Match History'!J:J))),MAX(('Match History'!N:N=B4)*(ROW('Match History'!N:N))),MAX(('Match History'!R:R=B4)*(ROW('Match History'!R:R))),MAX(('Match History'!V:V=B4)*(ROW('Match History'!V:V))),MAX(('Match History'!Z:Z=B4)*(ROW('Match History'!Z:Z))),MAX(('Match History'!AD:AD=B4)*(ROW('Match History'!AD:AD))),MAX(('Match History'!AH:AH=B4)*(ROW('Match History'!AH:AH))),MAX(('Match History'!AL:AL=B4)*(ROW('Match History'!AL:AL))),MAX(('Match History'!AV:AV=B4)*(ROW('Match History'!AV:AV))),MAX(('Match History'!AZ:AZ=B4)*(ROW('Match History'!AZ:AZ))),MAX(('Match History'!BD:BD=B4)*(ROW('Match History'!BD:BD))),MAX(('Match History'!BH:BH=B4)*(ROW('Match History'!BH:BH)))), 1))
</f>
        <v>44926.82537</v>
      </c>
      <c r="O4" s="20">
        <f>(SUMIF('Match History'!B:B,B4,'Match History'!D:D)+SUMIF('Match History'!F:F,B4,'Match History'!H:H)+SUMIF('Match History'!J:J,B4,'Match History'!L:L)+SUMIF('Match History'!N:N,B4,'Match History'!P:P)+SUMIF('Match History'!R:R,B4,'Match History'!T:T)+SUMIF('Match History'!V:V,B4,'Match History'!X:X)+SUMIF('Match History'!Z:Z,B4,'Match History'!AB:AB)+SUMIF('Match History'!AD:AD,B4,'Match History'!AF:AF)+SUMIF('Match History'!AH:AH,B4,'Match History'!AJ:AJ)+SUMIF('Match History'!AL:AL,B4,'Match History'!AN:AN)+SUMIF('Match History'!AV:AV,B4,'Match History'!AX:AX)+SUMIF('Match History'!AZ:AZ,B4,'Match History'!BB:BB)+SUMIF('Match History'!BD:BD,B4,'Match History'!BF:BF)+SUMIF('Match History'!BH:BH,B4,'Match History'!BJ:BJ))/IF(F4=0,1,F4)</f>
        <v>30.86195286</v>
      </c>
      <c r="P4" s="21">
        <f t="array" ref="P4">MAX(MAX(IF('Match History'!B:B=B4,'Match History'!D:D,)),MAX(IF('Match History'!F:F=B4,'Match History'!H:H,)),MAX(IF('Match History'!J:J=B4,'Match History'!L:L,)),MAX(IF('Match History'!N:N=B4,'Match History'!P:P,)),MAX(IF('Match History'!R:R=B4,'Match History'!T:T,)),MAX(IF('Match History'!V:V=B4,'Match History'!X:X,)),MAX(IF('Match History'!Z:Z=B4,'Match History'!AB:AB,)),MAX(IF('Match History'!AD:AD=B4,'Match History'!AF:AF,)),MAX(IF('Match History'!AH:AH=B4,'Match History'!AJ:AJ,)),MAX(IF('Match History'!AL:AL=B4,'Match History'!AN:AN,)),MAX(IF('Match History'!AV:AV=B4,'Match History'!AX:AX,)),MAX(IF('Match History'!AZ:AZ=B4,'Match History'!BB:BB,)),MAX(IF('Match History'!BD:BD=B4,'Match History'!BF:BF,)),MAX(IF('Match History'!BH:BH=B4,'Match History'!BJ:BJ,)))</f>
        <v>60</v>
      </c>
      <c r="Q4" s="21">
        <f t="array" ref="Q4">IF(F4=0,0,MIN(MIN(IF('Match History'!B:B=B4,'Match History'!D:D,999)),MIN(IF('Match History'!F:F=B4,'Match History'!H:H,999)),MIN(IF('Match History'!J:J=B4,'Match History'!L:L,999)),MIN(IF('Match History'!N:N=B4,'Match History'!P:P,999)),MIN(IF('Match History'!R:R=B4,'Match History'!T:T,999)),MIN(IF('Match History'!V:V=B4,'Match History'!X:X,999)),MIN(IF('Match History'!Z:Z=B4,'Match History'!AB:AB,999)),MIN(IF('Match History'!AD:AD=B4,'Match History'!AF:AF,999)),MIN(IF('Match History'!AH:AH=B4,'Match History'!AJ:AJ,999)),MIN(IF('Match History'!AL:AL=B4,'Match History'!AN:AN,999)),MIN(IF('Match History'!AV:AV=B4,'Match History'!AX:AX,999)),MIN(IF('Match History'!AZ:AZ=B4,'Match History'!BB:BB,999)),MIN(IF('Match History'!BD:BD=B4,'Match History'!BF:BF,999)),MIN(IF('Match History'!BH:BH=B4,'Match History'!BJ:BJ,999))))</f>
        <v>8</v>
      </c>
      <c r="R4" s="21">
        <f>COUNTIFS('Match History'!B:B,B4,'Match History'!A:A,"&gt;="&amp;(DATE(2022,12,31)-30))+COUNTIFS('Match History'!F:F,B4,'Match History'!A:A,"&gt;="&amp;(DATE(2022,12,31)-30))+COUNTIFS('Match History'!J:J,B4,'Match History'!A:A,"&gt;="&amp;(DATE(2022,12,31)-30))+COUNTIFS('Match History'!N:N,B4,'Match History'!A:A,"&gt;="&amp;(DATE(2022,12,31)-30))+COUNTIFS('Match History'!R:R,B4,'Match History'!A:A,"&gt;="&amp;(DATE(2022,12,31)-30))+COUNTIFS('Match History'!V:V,B4,'Match History'!A:A,"&gt;="&amp;(DATE(2022,12,31)-30))+COUNTIFS('Match History'!Z:Z,B4,'Match History'!A:A,"&gt;="&amp;(DATE(2022,12,31)-30))+COUNTIFS('Match History'!AD:AD,B4,'Match History'!A:A,"&gt;="&amp;(DATE(2022,12,31)-30))+COUNTIFS('Match History'!AH:AH,B4,'Match History'!A:A,"&gt;="&amp;(DATE(2022,12,31)-30))+COUNTIFS('Match History'!AL:AL,B4,'Match History'!A:A,"&gt;="&amp;(DATE(2022,12,31)-30))+COUNTIFS('Match History'!AV:AV,B4,'Match History'!A:A,"&gt;="&amp;(DATE(2022,12,31)-30))+COUNTIFS('Match History'!AZ:AZ,B4,'Match History'!A:A,"&gt;="&amp;(DATE(2022,12,31)-30))+COUNTIFS('Match History'!BD:BD,B4,'Match History'!A:A,"&gt;="&amp;(DATE(2022,12,31)-30))+COUNTIFS('Match History'!BH:BH,B4,'Match History'!A:A,"&gt;="&amp;(DATE(2022,12,31)-30))
</f>
        <v>18</v>
      </c>
      <c r="S4" s="21">
        <f>COUNTIFS('Match History'!B:B,B4,'Match History'!A:A,"&gt;="&amp;(DATE(2022,12,31)-365))+COUNTIFS('Match History'!F:F,B4,'Match History'!A:A,"&gt;="&amp;(DATE(2022,12,31)-365))+COUNTIFS('Match History'!J:J,B4,'Match History'!A:A,"&gt;="&amp;(DATE(2022,12,31)-365))+COUNTIFS('Match History'!N:N,B4,'Match History'!A:A,"&gt;="&amp;(DATE(2022,12,31)-365))+COUNTIFS('Match History'!R:R,B4,'Match History'!A:A,"&gt;="&amp;(DATE(2022,12,31)-365))+COUNTIFS('Match History'!V:V,B4,'Match History'!A:A,"&gt;="&amp;(DATE(2022,12,31)-365))+COUNTIFS('Match History'!Z:Z,B4,'Match History'!A:A,"&gt;="&amp;(DATE(2022,12,31)-365))+COUNTIFS('Match History'!AD:AD,B4,'Match History'!A:A,"&gt;="&amp;(DATE(2022,12,31)-365))+COUNTIFS('Match History'!AH:AH,B4,'Match History'!A:A,"&gt;="&amp;(DATE(2022,12,31)-365))+COUNTIFS('Match History'!AL:AL,B4,'Match History'!A:A,"&gt;="&amp;(DATE(2022,12,31)-365))+COUNTIFS('Match History'!AV:AV,B4,'Match History'!A:A,"&gt;="&amp;(DATE(2022,12,31)-365))+COUNTIFS('Match History'!AZ:AZ,B4,'Match History'!A:A,"&gt;="&amp;(DATE(2022,12,31)-365))+COUNTIFS('Match History'!BD:BD,B4,'Match History'!A:A,"&gt;="&amp;(DATE(2022,12,31)-365))+COUNTIFS('Match History'!BH:BH,B4,'Match History'!A:A,"&gt;="&amp;(DATE(2022,12,31)-365))
</f>
        <v>82</v>
      </c>
      <c r="T4" s="20">
        <f t="array" ref="T4">IF(F4=0,0,INDEX('Match History'!B:BK,MATCH(N4,'Match History'!A:A,0),MATCH(B4,INDEX('Match History'!B:BK,MATCH(N4,'Match History'!A:A,0),0),0)+3)-INDEX('Match History'!B:BK,MATCH(N4,'Match History'!A:A,0),MATCH(B4,INDEX('Match History'!B:BK,MATCH(N4,'Match History'!A:A,0),0),0)+1))</f>
        <v>1.323309589</v>
      </c>
      <c r="U4" s="21">
        <f>COUNTIFS('Match History'!B:B,B4,'Match History'!A:A,"&gt;="&amp;(DATE(2022,12,31)-92))
+COUNTIFS('Match History'!F:F,B4,'Match History'!A:A,"&gt;="&amp;(DATE(2022,12,31)-92))
+COUNTIFS('Match History'!J:J,B4,'Match History'!A:A,"&gt;="&amp;(DATE(2022,12,31)-92))
+COUNTIFS('Match History'!N:N,B4,'Match History'!A:A,"&gt;="&amp;(DATE(2022,12,31)-92))
+COUNTIFS('Match History'!R:R,B4,'Match History'!A:A,"&gt;="&amp;(DATE(2022,12,31)-92))
+COUNTIFS('Match History'!V:V,B4,'Match History'!A:A,"&gt;="&amp;(DATE(2022,12,31)-92))
+COUNTIFS('Match History'!Z:Z,B4,'Match History'!A:A,"&gt;="&amp;(DATE(2022,12,31)-92))
+COUNTIFS('Match History'!AD:AD,B4,'Match History'!A:A,"&gt;="&amp;(DATE(2022,12,31)-92))
+COUNTIFS('Match History'!AH:AH,B4,'Match History'!A:A,"&gt;="&amp;(DATE(2022,12,31)-92))
+COUNTIFS('Match History'!AL:AL,B4,'Match History'!A:A,"&gt;="&amp;(DATE(2022,12,31)-92))
+COUNTIFS('Match History'!AV:AV,B4,'Match History'!A:A,"&gt;="&amp;(DATE(2022,12,31)-92))
+COUNTIFS('Match History'!AZ:AZ,B4,'Match History'!A:A,"&gt;="&amp;(DATE(2022,12,31)-92))
+COUNTIFS('Match History'!BD:BD,B4,'Match History'!A:A,"&gt;="&amp;(DATE(2022,12,31)-92))
+COUNTIFS('Match History'!BH:BH,B4,'Match History'!A:A,"&gt;="&amp;(DATE(2022,12,31)-92))
</f>
        <v>18</v>
      </c>
      <c r="V4" s="20">
        <f>IF(U4=0,0,(SUMIFS('Match History'!D:D,'Match History'!A:A,"&gt;=10/01/2022 00:00",'Match History'!A:A,"&lt;=12/31/2022 23:59",'Match History'!B:B,B4)
+SUMIFS('Match History'!H:H,'Match History'!A:A,"&gt;=10/01/2022 00:00",'Match History'!A:A,"&lt;=12/31/2022 23:59",'Match History'!F:F,B4)
+SUMIFS('Match History'!L:L,'Match History'!A:A,"&gt;=10/01/2022 00:00",'Match History'!A:A,"&lt;=12/31/2022 23:59",'Match History'!J:J,B4)
+SUMIFS('Match History'!P:P,'Match History'!A:A,"&gt;=10/01/2022 00:00",'Match History'!A:A,"&lt;=12/31/2022 23:59",'Match History'!N:N,B4)
+SUMIFS('Match History'!T:T,'Match History'!A:A,"&gt;=10/01/2022 00:00",'Match History'!A:A,"&lt;=12/31/2022 23:59",'Match History'!R:R,B4)
+SUMIFS('Match History'!X:X,'Match History'!A:A,"&gt;=10/01/2022 00:00",'Match History'!A:A,"&lt;=12/31/2022 23:59",'Match History'!V:V,B4)
+SUMIFS('Match History'!AB:AB,'Match History'!A:A,"&gt;=10/01/2022 00:00",'Match History'!A:A,"&lt;=12/31/2022 23:59",'Match History'!Z:Z,B4)
+SUMIFS('Match History'!AF:AF,'Match History'!A:A,"&gt;=10/01/2022 00:00",'Match History'!A:A,"&lt;=12/31/2022 23:59",'Match History'!AD:AD,B4)
+SUMIFS('Match History'!AJ:AJ,'Match History'!A:A,"&gt;=10/01/2022 00:00",'Match History'!A:A,"&lt;=12/31/2022 23:59",'Match History'!AH:AH,B4)
+SUMIFS('Match History'!AN:AN,'Match History'!A:A,"&gt;=10/01/2022 00:00",'Match History'!A:A,"&lt;=12/31/2022 23:59",'Match History'!AL:AL,B4)
+SUMIFS('Match History'!AX:AX,'Match History'!A:A,"&gt;=10/01/2022 00:00",'Match History'!A:A,"&lt;=12/31/2022 23:59",'Match History'!AV:AV,B4)+SUMIFS('Match History'!BB:BB,'Match History'!A:A,"&gt;=10/01/2022 00:00",'Match History'!A:A,"&lt;=12/31/2022 23:59",'Match History'!AZ:AZ,B4)
+SUMIFS('Match History'!BF:BF,'Match History'!A:A,"&gt;=10/01/2022 00:00",'Match History'!A:A,"&lt;=12/31/2022 23:59",'Match History'!BD:BD,B4)
+SUMIFS('Match History'!BJ:BJ,'Match History'!A:A,"&gt;=10/01/2022 00:00",'Match History'!A:A,"&lt;=12/31/2022 23:59",'Match History'!BH:BH,B4))/U4)
</f>
        <v>33.83333333</v>
      </c>
    </row>
    <row r="5" ht="18.0" customHeight="1">
      <c r="A5" s="33" t="s">
        <v>33</v>
      </c>
      <c r="B5" s="33" t="s">
        <v>34</v>
      </c>
      <c r="C5" s="12">
        <v>1090.9374713210168</v>
      </c>
      <c r="D5" s="34">
        <f>NORMDIST(C5,1000,STDEV($C$2:$C$39)+0.00001,TRUE)</f>
        <v>0.8645793733</v>
      </c>
      <c r="E5" s="35"/>
      <c r="F5" s="36">
        <f>COUNTIF('Match History'!A:BK,"szycha")</f>
        <v>374</v>
      </c>
      <c r="G5" s="27" t="s">
        <v>24</v>
      </c>
      <c r="H5" s="28" t="s">
        <v>32</v>
      </c>
      <c r="I5" s="37" t="s">
        <v>29</v>
      </c>
      <c r="J5" s="38"/>
      <c r="K5" s="28">
        <v>1.0</v>
      </c>
      <c r="L5" s="18" t="b">
        <f t="shared" si="2"/>
        <v>1</v>
      </c>
      <c r="M5" s="17" t="b">
        <v>0</v>
      </c>
      <c r="N5" s="19">
        <f t="array" ref="N5">IF(F5=0, "no war", INDEX('Match History'!A:A, MAX(MAX(('Match History'!B:B=B5)*(ROW('Match History'!B:B))),MAX(('Match History'!F:F=B5)*(ROW('Match History'!F:F))),MAX(('Match History'!J:J=B5)*(ROW('Match History'!J:J))),MAX(('Match History'!N:N=B5)*(ROW('Match History'!N:N))),MAX(('Match History'!R:R=B5)*(ROW('Match History'!R:R))),MAX(('Match History'!V:V=B5)*(ROW('Match History'!V:V))),MAX(('Match History'!Z:Z=B5)*(ROW('Match History'!Z:Z))),MAX(('Match History'!AD:AD=B5)*(ROW('Match History'!AD:AD))),MAX(('Match History'!AH:AH=B5)*(ROW('Match History'!AH:AH))),MAX(('Match History'!AL:AL=B5)*(ROW('Match History'!AL:AL))),MAX(('Match History'!AV:AV=B5)*(ROW('Match History'!AV:AV))),MAX(('Match History'!AZ:AZ=B5)*(ROW('Match History'!AZ:AZ))),MAX(('Match History'!BD:BD=B5)*(ROW('Match History'!BD:BD))),MAX(('Match History'!BH:BH=B5)*(ROW('Match History'!BH:BH)))), 1))
</f>
        <v>44925.08933</v>
      </c>
      <c r="O5" s="20">
        <f>(SUMIF('Match History'!B:B,B5,'Match History'!D:D)+SUMIF('Match History'!F:F,B5,'Match History'!H:H)+SUMIF('Match History'!J:J,B5,'Match History'!L:L)+SUMIF('Match History'!N:N,B5,'Match History'!P:P)+SUMIF('Match History'!R:R,B5,'Match History'!T:T)+SUMIF('Match History'!V:V,B5,'Match History'!X:X)+SUMIF('Match History'!Z:Z,B5,'Match History'!AB:AB)+SUMIF('Match History'!AD:AD,B5,'Match History'!AF:AF)+SUMIF('Match History'!AH:AH,B5,'Match History'!AJ:AJ)+SUMIF('Match History'!AL:AL,B5,'Match History'!AN:AN)+SUMIF('Match History'!AV:AV,B5,'Match History'!AX:AX)+SUMIF('Match History'!AZ:AZ,B5,'Match History'!BB:BB)+SUMIF('Match History'!BD:BD,B5,'Match History'!BF:BF)+SUMIF('Match History'!BH:BH,B5,'Match History'!BJ:BJ))/IF(F5=0,1,F5)</f>
        <v>20.12032086</v>
      </c>
      <c r="P5" s="21">
        <f t="array" ref="P5">MAX(MAX(IF('Match History'!B:B=B5,'Match History'!D:D,)),MAX(IF('Match History'!F:F=B5,'Match History'!H:H,)),MAX(IF('Match History'!J:J=B5,'Match History'!L:L,)),MAX(IF('Match History'!N:N=B5,'Match History'!P:P,)),MAX(IF('Match History'!R:R=B5,'Match History'!T:T,)),MAX(IF('Match History'!V:V=B5,'Match History'!X:X,)),MAX(IF('Match History'!Z:Z=B5,'Match History'!AB:AB,)),MAX(IF('Match History'!AD:AD=B5,'Match History'!AF:AF,)),MAX(IF('Match History'!AH:AH=B5,'Match History'!AJ:AJ,)),MAX(IF('Match History'!AL:AL=B5,'Match History'!AN:AN,)),MAX(IF('Match History'!AV:AV=B5,'Match History'!AX:AX,)),MAX(IF('Match History'!AZ:AZ=B5,'Match History'!BB:BB,)),MAX(IF('Match History'!BD:BD=B5,'Match History'!BF:BF,)),MAX(IF('Match History'!BH:BH=B5,'Match History'!BJ:BJ,)))</f>
        <v>57</v>
      </c>
      <c r="Q5" s="21">
        <f t="array" ref="Q5">IF(F5=0,0,MIN(MIN(IF('Match History'!B:B=B5,'Match History'!D:D,999)),MIN(IF('Match History'!F:F=B5,'Match History'!H:H,999)),MIN(IF('Match History'!J:J=B5,'Match History'!L:L,999)),MIN(IF('Match History'!N:N=B5,'Match History'!P:P,999)),MIN(IF('Match History'!R:R=B5,'Match History'!T:T,999)),MIN(IF('Match History'!V:V=B5,'Match History'!X:X,999)),MIN(IF('Match History'!Z:Z=B5,'Match History'!AB:AB,999)),MIN(IF('Match History'!AD:AD=B5,'Match History'!AF:AF,999)),MIN(IF('Match History'!AH:AH=B5,'Match History'!AJ:AJ,999)),MIN(IF('Match History'!AL:AL=B5,'Match History'!AN:AN,999)),MIN(IF('Match History'!AV:AV=B5,'Match History'!AX:AX,999)),MIN(IF('Match History'!AZ:AZ=B5,'Match History'!BB:BB,999)),MIN(IF('Match History'!BD:BD=B5,'Match History'!BF:BF,999)),MIN(IF('Match History'!BH:BH=B5,'Match History'!BJ:BJ,999))))</f>
        <v>2</v>
      </c>
      <c r="R5" s="21">
        <f>COUNTIFS('Match History'!B:B,B5,'Match History'!A:A,"&gt;="&amp;(DATE(2022,12,31)-30))+COUNTIFS('Match History'!F:F,B5,'Match History'!A:A,"&gt;="&amp;(DATE(2022,12,31)-30))+COUNTIFS('Match History'!J:J,B5,'Match History'!A:A,"&gt;="&amp;(DATE(2022,12,31)-30))+COUNTIFS('Match History'!N:N,B5,'Match History'!A:A,"&gt;="&amp;(DATE(2022,12,31)-30))+COUNTIFS('Match History'!R:R,B5,'Match History'!A:A,"&gt;="&amp;(DATE(2022,12,31)-30))+COUNTIFS('Match History'!V:V,B5,'Match History'!A:A,"&gt;="&amp;(DATE(2022,12,31)-30))+COUNTIFS('Match History'!Z:Z,B5,'Match History'!A:A,"&gt;="&amp;(DATE(2022,12,31)-30))+COUNTIFS('Match History'!AD:AD,B5,'Match History'!A:A,"&gt;="&amp;(DATE(2022,12,31)-30))+COUNTIFS('Match History'!AH:AH,B5,'Match History'!A:A,"&gt;="&amp;(DATE(2022,12,31)-30))+COUNTIFS('Match History'!AL:AL,B5,'Match History'!A:A,"&gt;="&amp;(DATE(2022,12,31)-30))+COUNTIFS('Match History'!AV:AV,B5,'Match History'!A:A,"&gt;="&amp;(DATE(2022,12,31)-30))+COUNTIFS('Match History'!AZ:AZ,B5,'Match History'!A:A,"&gt;="&amp;(DATE(2022,12,31)-30))+COUNTIFS('Match History'!BD:BD,B5,'Match History'!A:A,"&gt;="&amp;(DATE(2022,12,31)-30))+COUNTIFS('Match History'!BH:BH,B5,'Match History'!A:A,"&gt;="&amp;(DATE(2022,12,31)-30))
</f>
        <v>25</v>
      </c>
      <c r="S5" s="21">
        <f>COUNTIFS('Match History'!B:B,B5,'Match History'!A:A,"&gt;="&amp;(DATE(2022,12,31)-365))+COUNTIFS('Match History'!F:F,B5,'Match History'!A:A,"&gt;="&amp;(DATE(2022,12,31)-365))+COUNTIFS('Match History'!J:J,B5,'Match History'!A:A,"&gt;="&amp;(DATE(2022,12,31)-365))+COUNTIFS('Match History'!N:N,B5,'Match History'!A:A,"&gt;="&amp;(DATE(2022,12,31)-365))+COUNTIFS('Match History'!R:R,B5,'Match History'!A:A,"&gt;="&amp;(DATE(2022,12,31)-365))+COUNTIFS('Match History'!V:V,B5,'Match History'!A:A,"&gt;="&amp;(DATE(2022,12,31)-365))+COUNTIFS('Match History'!Z:Z,B5,'Match History'!A:A,"&gt;="&amp;(DATE(2022,12,31)-365))+COUNTIFS('Match History'!AD:AD,B5,'Match History'!A:A,"&gt;="&amp;(DATE(2022,12,31)-365))+COUNTIFS('Match History'!AH:AH,B5,'Match History'!A:A,"&gt;="&amp;(DATE(2022,12,31)-365))+COUNTIFS('Match History'!AL:AL,B5,'Match History'!A:A,"&gt;="&amp;(DATE(2022,12,31)-365))+COUNTIFS('Match History'!AV:AV,B5,'Match History'!A:A,"&gt;="&amp;(DATE(2022,12,31)-365))+COUNTIFS('Match History'!AZ:AZ,B5,'Match History'!A:A,"&gt;="&amp;(DATE(2022,12,31)-365))+COUNTIFS('Match History'!BD:BD,B5,'Match History'!A:A,"&gt;="&amp;(DATE(2022,12,31)-365))+COUNTIFS('Match History'!BH:BH,B5,'Match History'!A:A,"&gt;="&amp;(DATE(2022,12,31)-365))
</f>
        <v>228</v>
      </c>
      <c r="T5" s="20">
        <f t="array" ref="T5">IF(F5=0,0,INDEX('Match History'!B:BK,MATCH(N5,'Match History'!A:A,0),MATCH(B5,INDEX('Match History'!B:BK,MATCH(N5,'Match History'!A:A,0),0),0)+3)-INDEX('Match History'!B:BK,MATCH(N5,'Match History'!A:A,0),MATCH(B5,INDEX('Match History'!B:BK,MATCH(N5,'Match History'!A:A,0),0),0)+1))</f>
        <v>2.889258391</v>
      </c>
      <c r="U5" s="21">
        <f>COUNTIFS('Match History'!B:B,B5,'Match History'!A:A,"&gt;="&amp;(DATE(2022,12,31)-92))
+COUNTIFS('Match History'!F:F,B5,'Match History'!A:A,"&gt;="&amp;(DATE(2022,12,31)-92))
+COUNTIFS('Match History'!J:J,B5,'Match History'!A:A,"&gt;="&amp;(DATE(2022,12,31)-92))
+COUNTIFS('Match History'!N:N,B5,'Match History'!A:A,"&gt;="&amp;(DATE(2022,12,31)-92))
+COUNTIFS('Match History'!R:R,B5,'Match History'!A:A,"&gt;="&amp;(DATE(2022,12,31)-92))
+COUNTIFS('Match History'!V:V,B5,'Match History'!A:A,"&gt;="&amp;(DATE(2022,12,31)-92))
+COUNTIFS('Match History'!Z:Z,B5,'Match History'!A:A,"&gt;="&amp;(DATE(2022,12,31)-92))
+COUNTIFS('Match History'!AD:AD,B5,'Match History'!A:A,"&gt;="&amp;(DATE(2022,12,31)-92))
+COUNTIFS('Match History'!AH:AH,B5,'Match History'!A:A,"&gt;="&amp;(DATE(2022,12,31)-92))
+COUNTIFS('Match History'!AL:AL,B5,'Match History'!A:A,"&gt;="&amp;(DATE(2022,12,31)-92))
+COUNTIFS('Match History'!AV:AV,B5,'Match History'!A:A,"&gt;="&amp;(DATE(2022,12,31)-92))
+COUNTIFS('Match History'!AZ:AZ,B5,'Match History'!A:A,"&gt;="&amp;(DATE(2022,12,31)-92))
+COUNTIFS('Match History'!BD:BD,B5,'Match History'!A:A,"&gt;="&amp;(DATE(2022,12,31)-92))
+COUNTIFS('Match History'!BH:BH,B5,'Match History'!A:A,"&gt;="&amp;(DATE(2022,12,31)-92))
</f>
        <v>71</v>
      </c>
      <c r="V5" s="20">
        <f>IF(U5=0,0,(SUMIFS('Match History'!D:D,'Match History'!A:A,"&gt;=10/01/2022 00:00",'Match History'!A:A,"&lt;=12/31/2022 23:59",'Match History'!B:B,B5)
+SUMIFS('Match History'!H:H,'Match History'!A:A,"&gt;=10/01/2022 00:00",'Match History'!A:A,"&lt;=12/31/2022 23:59",'Match History'!F:F,B5)
+SUMIFS('Match History'!L:L,'Match History'!A:A,"&gt;=10/01/2022 00:00",'Match History'!A:A,"&lt;=12/31/2022 23:59",'Match History'!J:J,B5)
+SUMIFS('Match History'!P:P,'Match History'!A:A,"&gt;=10/01/2022 00:00",'Match History'!A:A,"&lt;=12/31/2022 23:59",'Match History'!N:N,B5)
+SUMIFS('Match History'!T:T,'Match History'!A:A,"&gt;=10/01/2022 00:00",'Match History'!A:A,"&lt;=12/31/2022 23:59",'Match History'!R:R,B5)
+SUMIFS('Match History'!X:X,'Match History'!A:A,"&gt;=10/01/2022 00:00",'Match History'!A:A,"&lt;=12/31/2022 23:59",'Match History'!V:V,B5)
+SUMIFS('Match History'!AB:AB,'Match History'!A:A,"&gt;=10/01/2022 00:00",'Match History'!A:A,"&lt;=12/31/2022 23:59",'Match History'!Z:Z,B5)
+SUMIFS('Match History'!AF:AF,'Match History'!A:A,"&gt;=10/01/2022 00:00",'Match History'!A:A,"&lt;=12/31/2022 23:59",'Match History'!AD:AD,B5)
+SUMIFS('Match History'!AJ:AJ,'Match History'!A:A,"&gt;=10/01/2022 00:00",'Match History'!A:A,"&lt;=12/31/2022 23:59",'Match History'!AH:AH,B5)
+SUMIFS('Match History'!AN:AN,'Match History'!A:A,"&gt;=10/01/2022 00:00",'Match History'!A:A,"&lt;=12/31/2022 23:59",'Match History'!AL:AL,B5)
+SUMIFS('Match History'!AX:AX,'Match History'!A:A,"&gt;=10/01/2022 00:00",'Match History'!A:A,"&lt;=12/31/2022 23:59",'Match History'!AV:AV,B5)+SUMIFS('Match History'!BB:BB,'Match History'!A:A,"&gt;=10/01/2022 00:00",'Match History'!A:A,"&lt;=12/31/2022 23:59",'Match History'!AZ:AZ,B5)
+SUMIFS('Match History'!BF:BF,'Match History'!A:A,"&gt;=10/01/2022 00:00",'Match History'!A:A,"&lt;=12/31/2022 23:59",'Match History'!BD:BD,B5)
+SUMIFS('Match History'!BJ:BJ,'Match History'!A:A,"&gt;=10/01/2022 00:00",'Match History'!A:A,"&lt;=12/31/2022 23:59",'Match History'!BH:BH,B5))/U5)
</f>
        <v>22.30985915</v>
      </c>
    </row>
    <row r="6" ht="21.0" customHeight="1">
      <c r="A6" s="22" t="s">
        <v>35</v>
      </c>
      <c r="B6" s="22" t="s">
        <v>35</v>
      </c>
      <c r="C6" s="39">
        <v>1058.2003125771562</v>
      </c>
      <c r="D6" s="34">
        <f>NORMDIST(C6,1000,STDEV(Players!$C$2:$C$39)+0.00001,TRUE)</f>
        <v>0.7595094556</v>
      </c>
      <c r="E6" s="25"/>
      <c r="F6" s="40">
        <f>COUNTIF('Match History'!A:BK,"evoltnz")</f>
        <v>142</v>
      </c>
      <c r="G6" s="27" t="s">
        <v>36</v>
      </c>
      <c r="H6" s="41" t="s">
        <v>29</v>
      </c>
      <c r="I6" s="41" t="s">
        <v>29</v>
      </c>
      <c r="J6" s="35"/>
      <c r="K6" s="35"/>
      <c r="L6" s="18" t="b">
        <f t="shared" si="2"/>
        <v>1</v>
      </c>
      <c r="M6" s="17" t="b">
        <v>0</v>
      </c>
      <c r="N6" s="19">
        <f t="array" ref="N6">IF(F6=0, "no war", INDEX('Match History'!A:A, MAX(MAX(('Match History'!B:B=B6)*(ROW('Match History'!B:B))),MAX(('Match History'!F:F=B6)*(ROW('Match History'!F:F))),MAX(('Match History'!J:J=B6)*(ROW('Match History'!J:J))),MAX(('Match History'!N:N=B6)*(ROW('Match History'!N:N))),MAX(('Match History'!R:R=B6)*(ROW('Match History'!R:R))),MAX(('Match History'!V:V=B6)*(ROW('Match History'!V:V))),MAX(('Match History'!Z:Z=B6)*(ROW('Match History'!Z:Z))),MAX(('Match History'!AD:AD=B6)*(ROW('Match History'!AD:AD))),MAX(('Match History'!AH:AH=B6)*(ROW('Match History'!AH:AH))),MAX(('Match History'!AL:AL=B6)*(ROW('Match History'!AL:AL))),MAX(('Match History'!AV:AV=B6)*(ROW('Match History'!AV:AV))),MAX(('Match History'!AZ:AZ=B6)*(ROW('Match History'!AZ:AZ))),MAX(('Match History'!BD:BD=B6)*(ROW('Match History'!BD:BD))),MAX(('Match History'!BH:BH=B6)*(ROW('Match History'!BH:BH)))), 1))
</f>
        <v>44924.07328</v>
      </c>
      <c r="O6" s="20">
        <f>(SUMIF('Match History'!B:B,B6,'Match History'!D:D)+SUMIF('Match History'!F:F,B6,'Match History'!H:H)+SUMIF('Match History'!J:J,B6,'Match History'!L:L)+SUMIF('Match History'!N:N,B6,'Match History'!P:P)+SUMIF('Match History'!R:R,B6,'Match History'!T:T)+SUMIF('Match History'!V:V,B6,'Match History'!X:X)+SUMIF('Match History'!Z:Z,B6,'Match History'!AB:AB)+SUMIF('Match History'!AD:AD,B6,'Match History'!AF:AF)+SUMIF('Match History'!AH:AH,B6,'Match History'!AJ:AJ)+SUMIF('Match History'!AL:AL,B6,'Match History'!AN:AN)+SUMIF('Match History'!AV:AV,B6,'Match History'!AX:AX)+SUMIF('Match History'!AZ:AZ,B6,'Match History'!BB:BB)+SUMIF('Match History'!BD:BD,B6,'Match History'!BF:BF)+SUMIF('Match History'!BH:BH,B6,'Match History'!BJ:BJ))/IF(F6=0,1,F6)</f>
        <v>31.52816901</v>
      </c>
      <c r="P6" s="21">
        <f t="array" ref="P6">MAX(MAX(IF('Match History'!B:B=B6,'Match History'!D:D,)),MAX(IF('Match History'!F:F=B6,'Match History'!H:H,)),MAX(IF('Match History'!J:J=B6,'Match History'!L:L,)),MAX(IF('Match History'!N:N=B6,'Match History'!P:P,)),MAX(IF('Match History'!R:R=B6,'Match History'!T:T,)),MAX(IF('Match History'!V:V=B6,'Match History'!X:X,)),MAX(IF('Match History'!Z:Z=B6,'Match History'!AB:AB,)),MAX(IF('Match History'!AD:AD=B6,'Match History'!AF:AF,)),MAX(IF('Match History'!AH:AH=B6,'Match History'!AJ:AJ,)),MAX(IF('Match History'!AL:AL=B6,'Match History'!AN:AN,)),MAX(IF('Match History'!AV:AV=B6,'Match History'!AX:AX,)),MAX(IF('Match History'!AZ:AZ=B6,'Match History'!BB:BB,)),MAX(IF('Match History'!BD:BD=B6,'Match History'!BF:BF,)),MAX(IF('Match History'!BH:BH=B6,'Match History'!BJ:BJ,)))</f>
        <v>76</v>
      </c>
      <c r="Q6" s="21">
        <f t="array" ref="Q6">IF(F6=0,0,MIN(MIN(IF('Match History'!B:B=B6,'Match History'!D:D,999)),MIN(IF('Match History'!F:F=B6,'Match History'!H:H,999)),MIN(IF('Match History'!J:J=B6,'Match History'!L:L,999)),MIN(IF('Match History'!N:N=B6,'Match History'!P:P,999)),MIN(IF('Match History'!R:R=B6,'Match History'!T:T,999)),MIN(IF('Match History'!V:V=B6,'Match History'!X:X,999)),MIN(IF('Match History'!Z:Z=B6,'Match History'!AB:AB,999)),MIN(IF('Match History'!AD:AD=B6,'Match History'!AF:AF,999)),MIN(IF('Match History'!AH:AH=B6,'Match History'!AJ:AJ,999)),MIN(IF('Match History'!AL:AL=B6,'Match History'!AN:AN,999)),MIN(IF('Match History'!AV:AV=B6,'Match History'!AX:AX,999)),MIN(IF('Match History'!AZ:AZ=B6,'Match History'!BB:BB,999)),MIN(IF('Match History'!BD:BD=B6,'Match History'!BF:BF,999)),MIN(IF('Match History'!BH:BH=B6,'Match History'!BJ:BJ,999))))</f>
        <v>12</v>
      </c>
      <c r="R6" s="21">
        <f>COUNTIFS('Match History'!B:B,B6,'Match History'!A:A,"&gt;="&amp;(DATE(2022,12,31)-30))+COUNTIFS('Match History'!F:F,B6,'Match History'!A:A,"&gt;="&amp;(DATE(2022,12,31)-30))+COUNTIFS('Match History'!J:J,B6,'Match History'!A:A,"&gt;="&amp;(DATE(2022,12,31)-30))+COUNTIFS('Match History'!N:N,B6,'Match History'!A:A,"&gt;="&amp;(DATE(2022,12,31)-30))+COUNTIFS('Match History'!R:R,B6,'Match History'!A:A,"&gt;="&amp;(DATE(2022,12,31)-30))+COUNTIFS('Match History'!V:V,B6,'Match History'!A:A,"&gt;="&amp;(DATE(2022,12,31)-30))+COUNTIFS('Match History'!Z:Z,B6,'Match History'!A:A,"&gt;="&amp;(DATE(2022,12,31)-30))+COUNTIFS('Match History'!AD:AD,B6,'Match History'!A:A,"&gt;="&amp;(DATE(2022,12,31)-30))+COUNTIFS('Match History'!AH:AH,B6,'Match History'!A:A,"&gt;="&amp;(DATE(2022,12,31)-30))+COUNTIFS('Match History'!AL:AL,B6,'Match History'!A:A,"&gt;="&amp;(DATE(2022,12,31)-30))+COUNTIFS('Match History'!AV:AV,B6,'Match History'!A:A,"&gt;="&amp;(DATE(2022,12,31)-30))+COUNTIFS('Match History'!AZ:AZ,B6,'Match History'!A:A,"&gt;="&amp;(DATE(2022,12,31)-30))+COUNTIFS('Match History'!BD:BD,B6,'Match History'!A:A,"&gt;="&amp;(DATE(2022,12,31)-30))+COUNTIFS('Match History'!BH:BH,B6,'Match History'!A:A,"&gt;="&amp;(DATE(2022,12,31)-30))
</f>
        <v>7</v>
      </c>
      <c r="S6" s="21">
        <f>COUNTIFS('Match History'!B:B,B6,'Match History'!A:A,"&gt;="&amp;(DATE(2022,12,31)-365))+COUNTIFS('Match History'!F:F,B6,'Match History'!A:A,"&gt;="&amp;(DATE(2022,12,31)-365))+COUNTIFS('Match History'!J:J,B6,'Match History'!A:A,"&gt;="&amp;(DATE(2022,12,31)-365))+COUNTIFS('Match History'!N:N,B6,'Match History'!A:A,"&gt;="&amp;(DATE(2022,12,31)-365))+COUNTIFS('Match History'!R:R,B6,'Match History'!A:A,"&gt;="&amp;(DATE(2022,12,31)-365))+COUNTIFS('Match History'!V:V,B6,'Match History'!A:A,"&gt;="&amp;(DATE(2022,12,31)-365))+COUNTIFS('Match History'!Z:Z,B6,'Match History'!A:A,"&gt;="&amp;(DATE(2022,12,31)-365))+COUNTIFS('Match History'!AD:AD,B6,'Match History'!A:A,"&gt;="&amp;(DATE(2022,12,31)-365))+COUNTIFS('Match History'!AH:AH,B6,'Match History'!A:A,"&gt;="&amp;(DATE(2022,12,31)-365))+COUNTIFS('Match History'!AL:AL,B6,'Match History'!A:A,"&gt;="&amp;(DATE(2022,12,31)-365))+COUNTIFS('Match History'!AV:AV,B6,'Match History'!A:A,"&gt;="&amp;(DATE(2022,12,31)-365))+COUNTIFS('Match History'!AZ:AZ,B6,'Match History'!A:A,"&gt;="&amp;(DATE(2022,12,31)-365))+COUNTIFS('Match History'!BD:BD,B6,'Match History'!A:A,"&gt;="&amp;(DATE(2022,12,31)-365))+COUNTIFS('Match History'!BH:BH,B6,'Match History'!A:A,"&gt;="&amp;(DATE(2022,12,31)-365))
</f>
        <v>12</v>
      </c>
      <c r="T6" s="20">
        <f t="array" ref="T6">IF(F6=0,0,INDEX('Match History'!B:BK,MATCH(N6,'Match History'!A:A,0),MATCH(B6,INDEX('Match History'!B:BK,MATCH(N6,'Match History'!A:A,0),0),0)+3)-INDEX('Match History'!B:BK,MATCH(N6,'Match History'!A:A,0),MATCH(B6,INDEX('Match History'!B:BK,MATCH(N6,'Match History'!A:A,0),0),0)+1))</f>
        <v>11.32499431</v>
      </c>
      <c r="U6" s="21">
        <f>COUNTIFS('Match History'!B:B,B6,'Match History'!A:A,"&gt;="&amp;(DATE(2022,12,31)-92))
+COUNTIFS('Match History'!F:F,B6,'Match History'!A:A,"&gt;="&amp;(DATE(2022,12,31)-92))
+COUNTIFS('Match History'!J:J,B6,'Match History'!A:A,"&gt;="&amp;(DATE(2022,12,31)-92))
+COUNTIFS('Match History'!N:N,B6,'Match History'!A:A,"&gt;="&amp;(DATE(2022,12,31)-92))
+COUNTIFS('Match History'!R:R,B6,'Match History'!A:A,"&gt;="&amp;(DATE(2022,12,31)-92))
+COUNTIFS('Match History'!V:V,B6,'Match History'!A:A,"&gt;="&amp;(DATE(2022,12,31)-92))
+COUNTIFS('Match History'!Z:Z,B6,'Match History'!A:A,"&gt;="&amp;(DATE(2022,12,31)-92))
+COUNTIFS('Match History'!AD:AD,B6,'Match History'!A:A,"&gt;="&amp;(DATE(2022,12,31)-92))
+COUNTIFS('Match History'!AH:AH,B6,'Match History'!A:A,"&gt;="&amp;(DATE(2022,12,31)-92))
+COUNTIFS('Match History'!AL:AL,B6,'Match History'!A:A,"&gt;="&amp;(DATE(2022,12,31)-92))
+COUNTIFS('Match History'!AV:AV,B6,'Match History'!A:A,"&gt;="&amp;(DATE(2022,12,31)-92))
+COUNTIFS('Match History'!AZ:AZ,B6,'Match History'!A:A,"&gt;="&amp;(DATE(2022,12,31)-92))
+COUNTIFS('Match History'!BD:BD,B6,'Match History'!A:A,"&gt;="&amp;(DATE(2022,12,31)-92))
+COUNTIFS('Match History'!BH:BH,B6,'Match History'!A:A,"&gt;="&amp;(DATE(2022,12,31)-92))
</f>
        <v>7</v>
      </c>
      <c r="V6" s="20">
        <f>IF(U6=0,0,(SUMIFS('Match History'!D:D,'Match History'!A:A,"&gt;=10/01/2022 00:00",'Match History'!A:A,"&lt;=12/31/2022 23:59",'Match History'!B:B,B6)
+SUMIFS('Match History'!H:H,'Match History'!A:A,"&gt;=10/01/2022 00:00",'Match History'!A:A,"&lt;=12/31/2022 23:59",'Match History'!F:F,B6)
+SUMIFS('Match History'!L:L,'Match History'!A:A,"&gt;=10/01/2022 00:00",'Match History'!A:A,"&lt;=12/31/2022 23:59",'Match History'!J:J,B6)
+SUMIFS('Match History'!P:P,'Match History'!A:A,"&gt;=10/01/2022 00:00",'Match History'!A:A,"&lt;=12/31/2022 23:59",'Match History'!N:N,B6)
+SUMIFS('Match History'!T:T,'Match History'!A:A,"&gt;=10/01/2022 00:00",'Match History'!A:A,"&lt;=12/31/2022 23:59",'Match History'!R:R,B6)
+SUMIFS('Match History'!X:X,'Match History'!A:A,"&gt;=10/01/2022 00:00",'Match History'!A:A,"&lt;=12/31/2022 23:59",'Match History'!V:V,B6)
+SUMIFS('Match History'!AB:AB,'Match History'!A:A,"&gt;=10/01/2022 00:00",'Match History'!A:A,"&lt;=12/31/2022 23:59",'Match History'!Z:Z,B6)
+SUMIFS('Match History'!AF:AF,'Match History'!A:A,"&gt;=10/01/2022 00:00",'Match History'!A:A,"&lt;=12/31/2022 23:59",'Match History'!AD:AD,B6)
+SUMIFS('Match History'!AJ:AJ,'Match History'!A:A,"&gt;=10/01/2022 00:00",'Match History'!A:A,"&lt;=12/31/2022 23:59",'Match History'!AH:AH,B6)
+SUMIFS('Match History'!AN:AN,'Match History'!A:A,"&gt;=10/01/2022 00:00",'Match History'!A:A,"&lt;=12/31/2022 23:59",'Match History'!AL:AL,B6)
+SUMIFS('Match History'!AX:AX,'Match History'!A:A,"&gt;=10/01/2022 00:00",'Match History'!A:A,"&lt;=12/31/2022 23:59",'Match History'!AV:AV,B6)+SUMIFS('Match History'!BB:BB,'Match History'!A:A,"&gt;=10/01/2022 00:00",'Match History'!A:A,"&lt;=12/31/2022 23:59",'Match History'!AZ:AZ,B6)
+SUMIFS('Match History'!BF:BF,'Match History'!A:A,"&gt;=10/01/2022 00:00",'Match History'!A:A,"&lt;=12/31/2022 23:59",'Match History'!BD:BD,B6)
+SUMIFS('Match History'!BJ:BJ,'Match History'!A:A,"&gt;=10/01/2022 00:00",'Match History'!A:A,"&lt;=12/31/2022 23:59",'Match History'!BH:BH,B6))/U6)
</f>
        <v>34.28571429</v>
      </c>
    </row>
    <row r="7" ht="21.0" customHeight="1">
      <c r="A7" s="22" t="s">
        <v>37</v>
      </c>
      <c r="B7" s="22" t="s">
        <v>38</v>
      </c>
      <c r="C7" s="12">
        <v>1055.056883427733</v>
      </c>
      <c r="D7" s="34">
        <f>NORMDIST(C7,1000,STDEV($C$2:$C$39)+0.00001,TRUE)</f>
        <v>0.7475062574</v>
      </c>
      <c r="E7" s="25"/>
      <c r="F7" s="36">
        <f>COUNTIF('Match History'!A:BK,"neo")</f>
        <v>320</v>
      </c>
      <c r="G7" s="42" t="s">
        <v>24</v>
      </c>
      <c r="H7" s="41" t="s">
        <v>39</v>
      </c>
      <c r="I7" s="29" t="s">
        <v>29</v>
      </c>
      <c r="J7" s="30">
        <v>1.0</v>
      </c>
      <c r="K7" s="43">
        <v>1.0</v>
      </c>
      <c r="L7" s="18" t="b">
        <f t="shared" si="2"/>
        <v>1</v>
      </c>
      <c r="M7" s="17" t="b">
        <v>0</v>
      </c>
      <c r="N7" s="19">
        <f t="array" ref="N7">IF(F7=0, "no war", INDEX('Match History'!A:A, MAX(MAX(('Match History'!B:B=B7)*(ROW('Match History'!B:B))),MAX(('Match History'!F:F=B7)*(ROW('Match History'!F:F))),MAX(('Match History'!J:J=B7)*(ROW('Match History'!J:J))),MAX(('Match History'!N:N=B7)*(ROW('Match History'!N:N))),MAX(('Match History'!R:R=B7)*(ROW('Match History'!R:R))),MAX(('Match History'!V:V=B7)*(ROW('Match History'!V:V))),MAX(('Match History'!Z:Z=B7)*(ROW('Match History'!Z:Z))),MAX(('Match History'!AD:AD=B7)*(ROW('Match History'!AD:AD))),MAX(('Match History'!AH:AH=B7)*(ROW('Match History'!AH:AH))),MAX(('Match History'!AL:AL=B7)*(ROW('Match History'!AL:AL))),MAX(('Match History'!AV:AV=B7)*(ROW('Match History'!AV:AV))),MAX(('Match History'!AZ:AZ=B7)*(ROW('Match History'!AZ:AZ))),MAX(('Match History'!BD:BD=B7)*(ROW('Match History'!BD:BD))),MAX(('Match History'!BH:BH=B7)*(ROW('Match History'!BH:BH)))), 1))
</f>
        <v>44925.08933</v>
      </c>
      <c r="O7" s="20">
        <f>(SUMIF('Match History'!B:B,B7,'Match History'!D:D)+SUMIF('Match History'!F:F,B7,'Match History'!H:H)+SUMIF('Match History'!J:J,B7,'Match History'!L:L)+SUMIF('Match History'!N:N,B7,'Match History'!P:P)+SUMIF('Match History'!R:R,B7,'Match History'!T:T)+SUMIF('Match History'!V:V,B7,'Match History'!X:X)+SUMIF('Match History'!Z:Z,B7,'Match History'!AB:AB)+SUMIF('Match History'!AD:AD,B7,'Match History'!AF:AF)+SUMIF('Match History'!AH:AH,B7,'Match History'!AJ:AJ)+SUMIF('Match History'!AL:AL,B7,'Match History'!AN:AN)+SUMIF('Match History'!AV:AV,B7,'Match History'!AX:AX)+SUMIF('Match History'!AZ:AZ,B7,'Match History'!BB:BB)+SUMIF('Match History'!BD:BD,B7,'Match History'!BF:BF)+SUMIF('Match History'!BH:BH,B7,'Match History'!BJ:BJ))/IF(F7=0,1,F7)</f>
        <v>21.140625</v>
      </c>
      <c r="P7" s="21">
        <f t="array" ref="P7">MAX(MAX(IF('Match History'!B:B=B7,'Match History'!D:D,)),MAX(IF('Match History'!F:F=B7,'Match History'!H:H,)),MAX(IF('Match History'!J:J=B7,'Match History'!L:L,)),MAX(IF('Match History'!N:N=B7,'Match History'!P:P,)),MAX(IF('Match History'!R:R=B7,'Match History'!T:T,)),MAX(IF('Match History'!V:V=B7,'Match History'!X:X,)),MAX(IF('Match History'!Z:Z=B7,'Match History'!AB:AB,)),MAX(IF('Match History'!AD:AD=B7,'Match History'!AF:AF,)),MAX(IF('Match History'!AH:AH=B7,'Match History'!AJ:AJ,)),MAX(IF('Match History'!AL:AL=B7,'Match History'!AN:AN,)),MAX(IF('Match History'!AV:AV=B7,'Match History'!AX:AX,)),MAX(IF('Match History'!AZ:AZ=B7,'Match History'!BB:BB,)),MAX(IF('Match History'!BD:BD=B7,'Match History'!BF:BF,)),MAX(IF('Match History'!BH:BH=B7,'Match History'!BJ:BJ,)))</f>
        <v>48</v>
      </c>
      <c r="Q7" s="21">
        <f t="array" ref="Q7">IF(F7=0,0,MIN(MIN(IF('Match History'!B:B=B7,'Match History'!D:D,999)),MIN(IF('Match History'!F:F=B7,'Match History'!H:H,999)),MIN(IF('Match History'!J:J=B7,'Match History'!L:L,999)),MIN(IF('Match History'!N:N=B7,'Match History'!P:P,999)),MIN(IF('Match History'!R:R=B7,'Match History'!T:T,999)),MIN(IF('Match History'!V:V=B7,'Match History'!X:X,999)),MIN(IF('Match History'!Z:Z=B7,'Match History'!AB:AB,999)),MIN(IF('Match History'!AD:AD=B7,'Match History'!AF:AF,999)),MIN(IF('Match History'!AH:AH=B7,'Match History'!AJ:AJ,999)),MIN(IF('Match History'!AL:AL=B7,'Match History'!AN:AN,999)),MIN(IF('Match History'!AV:AV=B7,'Match History'!AX:AX,999)),MIN(IF('Match History'!AZ:AZ=B7,'Match History'!BB:BB,999)),MIN(IF('Match History'!BD:BD=B7,'Match History'!BF:BF,999)),MIN(IF('Match History'!BH:BH=B7,'Match History'!BJ:BJ,999))))</f>
        <v>6</v>
      </c>
      <c r="R7" s="21">
        <f>COUNTIFS('Match History'!B:B,B7,'Match History'!A:A,"&gt;="&amp;(DATE(2022,12,31)-30))+COUNTIFS('Match History'!F:F,B7,'Match History'!A:A,"&gt;="&amp;(DATE(2022,12,31)-30))+COUNTIFS('Match History'!J:J,B7,'Match History'!A:A,"&gt;="&amp;(DATE(2022,12,31)-30))+COUNTIFS('Match History'!N:N,B7,'Match History'!A:A,"&gt;="&amp;(DATE(2022,12,31)-30))+COUNTIFS('Match History'!R:R,B7,'Match History'!A:A,"&gt;="&amp;(DATE(2022,12,31)-30))+COUNTIFS('Match History'!V:V,B7,'Match History'!A:A,"&gt;="&amp;(DATE(2022,12,31)-30))+COUNTIFS('Match History'!Z:Z,B7,'Match History'!A:A,"&gt;="&amp;(DATE(2022,12,31)-30))+COUNTIFS('Match History'!AD:AD,B7,'Match History'!A:A,"&gt;="&amp;(DATE(2022,12,31)-30))+COUNTIFS('Match History'!AH:AH,B7,'Match History'!A:A,"&gt;="&amp;(DATE(2022,12,31)-30))+COUNTIFS('Match History'!AL:AL,B7,'Match History'!A:A,"&gt;="&amp;(DATE(2022,12,31)-30))+COUNTIFS('Match History'!AV:AV,B7,'Match History'!A:A,"&gt;="&amp;(DATE(2022,12,31)-30))+COUNTIFS('Match History'!AZ:AZ,B7,'Match History'!A:A,"&gt;="&amp;(DATE(2022,12,31)-30))+COUNTIFS('Match History'!BD:BD,B7,'Match History'!A:A,"&gt;="&amp;(DATE(2022,12,31)-30))+COUNTIFS('Match History'!BH:BH,B7,'Match History'!A:A,"&gt;="&amp;(DATE(2022,12,31)-30))
</f>
        <v>37</v>
      </c>
      <c r="S7" s="21">
        <f>COUNTIFS('Match History'!B:B,B7,'Match History'!A:A,"&gt;="&amp;(DATE(2022,12,31)-365))+COUNTIFS('Match History'!F:F,B7,'Match History'!A:A,"&gt;="&amp;(DATE(2022,12,31)-365))+COUNTIFS('Match History'!J:J,B7,'Match History'!A:A,"&gt;="&amp;(DATE(2022,12,31)-365))+COUNTIFS('Match History'!N:N,B7,'Match History'!A:A,"&gt;="&amp;(DATE(2022,12,31)-365))+COUNTIFS('Match History'!R:R,B7,'Match History'!A:A,"&gt;="&amp;(DATE(2022,12,31)-365))+COUNTIFS('Match History'!V:V,B7,'Match History'!A:A,"&gt;="&amp;(DATE(2022,12,31)-365))+COUNTIFS('Match History'!Z:Z,B7,'Match History'!A:A,"&gt;="&amp;(DATE(2022,12,31)-365))+COUNTIFS('Match History'!AD:AD,B7,'Match History'!A:A,"&gt;="&amp;(DATE(2022,12,31)-365))+COUNTIFS('Match History'!AH:AH,B7,'Match History'!A:A,"&gt;="&amp;(DATE(2022,12,31)-365))+COUNTIFS('Match History'!AL:AL,B7,'Match History'!A:A,"&gt;="&amp;(DATE(2022,12,31)-365))+COUNTIFS('Match History'!AV:AV,B7,'Match History'!A:A,"&gt;="&amp;(DATE(2022,12,31)-365))+COUNTIFS('Match History'!AZ:AZ,B7,'Match History'!A:A,"&gt;="&amp;(DATE(2022,12,31)-365))+COUNTIFS('Match History'!BD:BD,B7,'Match History'!A:A,"&gt;="&amp;(DATE(2022,12,31)-365))+COUNTIFS('Match History'!BH:BH,B7,'Match History'!A:A,"&gt;="&amp;(DATE(2022,12,31)-365))
</f>
        <v>291</v>
      </c>
      <c r="T7" s="20">
        <f t="array" ref="T7">IF(F7=0,0,INDEX('Match History'!B:BK,MATCH(N7,'Match History'!A:A,0),MATCH(B7,INDEX('Match History'!B:BK,MATCH(N7,'Match History'!A:A,0),0),0)+3)-INDEX('Match History'!B:BK,MATCH(N7,'Match History'!A:A,0),MATCH(B7,INDEX('Match History'!B:BK,MATCH(N7,'Match History'!A:A,0),0),0)+1))</f>
        <v>5.219813274</v>
      </c>
      <c r="U7" s="21">
        <f>COUNTIFS('Match History'!B:B,B7,'Match History'!A:A,"&gt;="&amp;(DATE(2022,12,31)-92))
+COUNTIFS('Match History'!F:F,B7,'Match History'!A:A,"&gt;="&amp;(DATE(2022,12,31)-92))
+COUNTIFS('Match History'!J:J,B7,'Match History'!A:A,"&gt;="&amp;(DATE(2022,12,31)-92))
+COUNTIFS('Match History'!N:N,B7,'Match History'!A:A,"&gt;="&amp;(DATE(2022,12,31)-92))
+COUNTIFS('Match History'!R:R,B7,'Match History'!A:A,"&gt;="&amp;(DATE(2022,12,31)-92))
+COUNTIFS('Match History'!V:V,B7,'Match History'!A:A,"&gt;="&amp;(DATE(2022,12,31)-92))
+COUNTIFS('Match History'!Z:Z,B7,'Match History'!A:A,"&gt;="&amp;(DATE(2022,12,31)-92))
+COUNTIFS('Match History'!AD:AD,B7,'Match History'!A:A,"&gt;="&amp;(DATE(2022,12,31)-92))
+COUNTIFS('Match History'!AH:AH,B7,'Match History'!A:A,"&gt;="&amp;(DATE(2022,12,31)-92))
+COUNTIFS('Match History'!AL:AL,B7,'Match History'!A:A,"&gt;="&amp;(DATE(2022,12,31)-92))
+COUNTIFS('Match History'!AV:AV,B7,'Match History'!A:A,"&gt;="&amp;(DATE(2022,12,31)-92))
+COUNTIFS('Match History'!AZ:AZ,B7,'Match History'!A:A,"&gt;="&amp;(DATE(2022,12,31)-92))
+COUNTIFS('Match History'!BD:BD,B7,'Match History'!A:A,"&gt;="&amp;(DATE(2022,12,31)-92))
+COUNTIFS('Match History'!BH:BH,B7,'Match History'!A:A,"&gt;="&amp;(DATE(2022,12,31)-92))
</f>
        <v>88</v>
      </c>
      <c r="V7" s="20">
        <f>IF(U7=0,0,(SUMIFS('Match History'!D:D,'Match History'!A:A,"&gt;=10/01/2022 00:00",'Match History'!A:A,"&lt;=12/31/2022 23:59",'Match History'!B:B,B7)
+SUMIFS('Match History'!H:H,'Match History'!A:A,"&gt;=10/01/2022 00:00",'Match History'!A:A,"&lt;=12/31/2022 23:59",'Match History'!F:F,B7)
+SUMIFS('Match History'!L:L,'Match History'!A:A,"&gt;=10/01/2022 00:00",'Match History'!A:A,"&lt;=12/31/2022 23:59",'Match History'!J:J,B7)
+SUMIFS('Match History'!P:P,'Match History'!A:A,"&gt;=10/01/2022 00:00",'Match History'!A:A,"&lt;=12/31/2022 23:59",'Match History'!N:N,B7)
+SUMIFS('Match History'!T:T,'Match History'!A:A,"&gt;=10/01/2022 00:00",'Match History'!A:A,"&lt;=12/31/2022 23:59",'Match History'!R:R,B7)
+SUMIFS('Match History'!X:X,'Match History'!A:A,"&gt;=10/01/2022 00:00",'Match History'!A:A,"&lt;=12/31/2022 23:59",'Match History'!V:V,B7)
+SUMIFS('Match History'!AB:AB,'Match History'!A:A,"&gt;=10/01/2022 00:00",'Match History'!A:A,"&lt;=12/31/2022 23:59",'Match History'!Z:Z,B7)
+SUMIFS('Match History'!AF:AF,'Match History'!A:A,"&gt;=10/01/2022 00:00",'Match History'!A:A,"&lt;=12/31/2022 23:59",'Match History'!AD:AD,B7)
+SUMIFS('Match History'!AJ:AJ,'Match History'!A:A,"&gt;=10/01/2022 00:00",'Match History'!A:A,"&lt;=12/31/2022 23:59",'Match History'!AH:AH,B7)
+SUMIFS('Match History'!AN:AN,'Match History'!A:A,"&gt;=10/01/2022 00:00",'Match History'!A:A,"&lt;=12/31/2022 23:59",'Match History'!AL:AL,B7)
+SUMIFS('Match History'!AX:AX,'Match History'!A:A,"&gt;=10/01/2022 00:00",'Match History'!A:A,"&lt;=12/31/2022 23:59",'Match History'!AV:AV,B7)+SUMIFS('Match History'!BB:BB,'Match History'!A:A,"&gt;=10/01/2022 00:00",'Match History'!A:A,"&lt;=12/31/2022 23:59",'Match History'!AZ:AZ,B7)
+SUMIFS('Match History'!BF:BF,'Match History'!A:A,"&gt;=10/01/2022 00:00",'Match History'!A:A,"&lt;=12/31/2022 23:59",'Match History'!BD:BD,B7)
+SUMIFS('Match History'!BJ:BJ,'Match History'!A:A,"&gt;=10/01/2022 00:00",'Match History'!A:A,"&lt;=12/31/2022 23:59",'Match History'!BH:BH,B7))/U7)
</f>
        <v>20.78409091</v>
      </c>
    </row>
    <row r="8" ht="21.0" customHeight="1">
      <c r="A8" s="44" t="s">
        <v>40</v>
      </c>
      <c r="B8" s="44" t="s">
        <v>40</v>
      </c>
      <c r="C8" s="45">
        <v>1052.2185627340284</v>
      </c>
      <c r="D8" s="13">
        <f>NORMDIST(C8,1000,STDEV(Players!$C$2:$C$39)+0.00001,TRUE)</f>
        <v>0.7364028522</v>
      </c>
      <c r="E8" s="46"/>
      <c r="F8" s="47">
        <f>COUNTIF('Match History'!A:BK,"tricky")</f>
        <v>11</v>
      </c>
      <c r="G8" s="48" t="s">
        <v>41</v>
      </c>
      <c r="H8" s="44" t="s">
        <v>29</v>
      </c>
      <c r="L8" s="18" t="b">
        <f t="shared" si="2"/>
        <v>1</v>
      </c>
      <c r="M8" s="17" t="b">
        <v>0</v>
      </c>
      <c r="N8" s="19">
        <f t="array" ref="N8">IF(F8=0, "no war", INDEX('Match History'!A:A, MAX(MAX(('Match History'!B:B=B8)*(ROW('Match History'!B:B))),MAX(('Match History'!F:F=B8)*(ROW('Match History'!F:F))),MAX(('Match History'!J:J=B8)*(ROW('Match History'!J:J))),MAX(('Match History'!N:N=B8)*(ROW('Match History'!N:N))),MAX(('Match History'!R:R=B8)*(ROW('Match History'!R:R))),MAX(('Match History'!V:V=B8)*(ROW('Match History'!V:V))),MAX(('Match History'!Z:Z=B8)*(ROW('Match History'!Z:Z))),MAX(('Match History'!AD:AD=B8)*(ROW('Match History'!AD:AD))),MAX(('Match History'!AH:AH=B8)*(ROW('Match History'!AH:AH))),MAX(('Match History'!AL:AL=B8)*(ROW('Match History'!AL:AL))),MAX(('Match History'!AV:AV=B8)*(ROW('Match History'!AV:AV))),MAX(('Match History'!AZ:AZ=B8)*(ROW('Match History'!AZ:AZ))),MAX(('Match History'!BD:BD=B8)*(ROW('Match History'!BD:BD))),MAX(('Match History'!BH:BH=B8)*(ROW('Match History'!BH:BH)))), 1))
</f>
        <v>44925.71932</v>
      </c>
      <c r="O8" s="20">
        <f>(SUMIF('Match History'!B:B,B8,'Match History'!D:D)+SUMIF('Match History'!F:F,B8,'Match History'!H:H)+SUMIF('Match History'!J:J,B8,'Match History'!L:L)+SUMIF('Match History'!N:N,B8,'Match History'!P:P)+SUMIF('Match History'!R:R,B8,'Match History'!T:T)+SUMIF('Match History'!V:V,B8,'Match History'!X:X)+SUMIF('Match History'!Z:Z,B8,'Match History'!AB:AB)+SUMIF('Match History'!AD:AD,B8,'Match History'!AF:AF)+SUMIF('Match History'!AH:AH,B8,'Match History'!AJ:AJ)+SUMIF('Match History'!AL:AL,B8,'Match History'!AN:AN)+SUMIF('Match History'!AV:AV,B8,'Match History'!AX:AX)+SUMIF('Match History'!AZ:AZ,B8,'Match History'!BB:BB)+SUMIF('Match History'!BD:BD,B8,'Match History'!BF:BF)+SUMIF('Match History'!BH:BH,B8,'Match History'!BJ:BJ))/IF(F8=0,1,F8)</f>
        <v>28</v>
      </c>
      <c r="P8" s="21">
        <f t="array" ref="P8">MAX(MAX(IF('Match History'!B:B=B8,'Match History'!D:D,)),MAX(IF('Match History'!F:F=B8,'Match History'!H:H,)),MAX(IF('Match History'!J:J=B8,'Match History'!L:L,)),MAX(IF('Match History'!N:N=B8,'Match History'!P:P,)),MAX(IF('Match History'!R:R=B8,'Match History'!T:T,)),MAX(IF('Match History'!V:V=B8,'Match History'!X:X,)),MAX(IF('Match History'!Z:Z=B8,'Match History'!AB:AB,)),MAX(IF('Match History'!AD:AD=B8,'Match History'!AF:AF,)),MAX(IF('Match History'!AH:AH=B8,'Match History'!AJ:AJ,)),MAX(IF('Match History'!AL:AL=B8,'Match History'!AN:AN,)),MAX(IF('Match History'!AV:AV=B8,'Match History'!AX:AX,)),MAX(IF('Match History'!AZ:AZ=B8,'Match History'!BB:BB,)),MAX(IF('Match History'!BD:BD=B8,'Match History'!BF:BF,)),MAX(IF('Match History'!BH:BH=B8,'Match History'!BJ:BJ,)))</f>
        <v>46</v>
      </c>
      <c r="Q8" s="21">
        <f t="array" ref="Q8">IF(F8=0,0,MIN(MIN(IF('Match History'!B:B=B8,'Match History'!D:D,999)),MIN(IF('Match History'!F:F=B8,'Match History'!H:H,999)),MIN(IF('Match History'!J:J=B8,'Match History'!L:L,999)),MIN(IF('Match History'!N:N=B8,'Match History'!P:P,999)),MIN(IF('Match History'!R:R=B8,'Match History'!T:T,999)),MIN(IF('Match History'!V:V=B8,'Match History'!X:X,999)),MIN(IF('Match History'!Z:Z=B8,'Match History'!AB:AB,999)),MIN(IF('Match History'!AD:AD=B8,'Match History'!AF:AF,999)),MIN(IF('Match History'!AH:AH=B8,'Match History'!AJ:AJ,999)),MIN(IF('Match History'!AL:AL=B8,'Match History'!AN:AN,999)),MIN(IF('Match History'!AV:AV=B8,'Match History'!AX:AX,999)),MIN(IF('Match History'!AZ:AZ=B8,'Match History'!BB:BB,999)),MIN(IF('Match History'!BD:BD=B8,'Match History'!BF:BF,999)),MIN(IF('Match History'!BH:BH=B8,'Match History'!BJ:BJ,999))))</f>
        <v>16</v>
      </c>
      <c r="R8" s="21">
        <f>COUNTIFS('Match History'!B:B,B8,'Match History'!A:A,"&gt;="&amp;(DATE(2022,12,31)-30))+COUNTIFS('Match History'!F:F,B8,'Match History'!A:A,"&gt;="&amp;(DATE(2022,12,31)-30))+COUNTIFS('Match History'!J:J,B8,'Match History'!A:A,"&gt;="&amp;(DATE(2022,12,31)-30))+COUNTIFS('Match History'!N:N,B8,'Match History'!A:A,"&gt;="&amp;(DATE(2022,12,31)-30))+COUNTIFS('Match History'!R:R,B8,'Match History'!A:A,"&gt;="&amp;(DATE(2022,12,31)-30))+COUNTIFS('Match History'!V:V,B8,'Match History'!A:A,"&gt;="&amp;(DATE(2022,12,31)-30))+COUNTIFS('Match History'!Z:Z,B8,'Match History'!A:A,"&gt;="&amp;(DATE(2022,12,31)-30))+COUNTIFS('Match History'!AD:AD,B8,'Match History'!A:A,"&gt;="&amp;(DATE(2022,12,31)-30))+COUNTIFS('Match History'!AH:AH,B8,'Match History'!A:A,"&gt;="&amp;(DATE(2022,12,31)-30))+COUNTIFS('Match History'!AL:AL,B8,'Match History'!A:A,"&gt;="&amp;(DATE(2022,12,31)-30))+COUNTIFS('Match History'!AV:AV,B8,'Match History'!A:A,"&gt;="&amp;(DATE(2022,12,31)-30))+COUNTIFS('Match History'!AZ:AZ,B8,'Match History'!A:A,"&gt;="&amp;(DATE(2022,12,31)-30))+COUNTIFS('Match History'!BD:BD,B8,'Match History'!A:A,"&gt;="&amp;(DATE(2022,12,31)-30))+COUNTIFS('Match History'!BH:BH,B8,'Match History'!A:A,"&gt;="&amp;(DATE(2022,12,31)-30))
</f>
        <v>11</v>
      </c>
      <c r="S8" s="21">
        <f>COUNTIFS('Match History'!B:B,B8,'Match History'!A:A,"&gt;="&amp;(DATE(2022,12,31)-365))+COUNTIFS('Match History'!F:F,B8,'Match History'!A:A,"&gt;="&amp;(DATE(2022,12,31)-365))+COUNTIFS('Match History'!J:J,B8,'Match History'!A:A,"&gt;="&amp;(DATE(2022,12,31)-365))+COUNTIFS('Match History'!N:N,B8,'Match History'!A:A,"&gt;="&amp;(DATE(2022,12,31)-365))+COUNTIFS('Match History'!R:R,B8,'Match History'!A:A,"&gt;="&amp;(DATE(2022,12,31)-365))+COUNTIFS('Match History'!V:V,B8,'Match History'!A:A,"&gt;="&amp;(DATE(2022,12,31)-365))+COUNTIFS('Match History'!Z:Z,B8,'Match History'!A:A,"&gt;="&amp;(DATE(2022,12,31)-365))+COUNTIFS('Match History'!AD:AD,B8,'Match History'!A:A,"&gt;="&amp;(DATE(2022,12,31)-365))+COUNTIFS('Match History'!AH:AH,B8,'Match History'!A:A,"&gt;="&amp;(DATE(2022,12,31)-365))+COUNTIFS('Match History'!AL:AL,B8,'Match History'!A:A,"&gt;="&amp;(DATE(2022,12,31)-365))+COUNTIFS('Match History'!AV:AV,B8,'Match History'!A:A,"&gt;="&amp;(DATE(2022,12,31)-365))+COUNTIFS('Match History'!AZ:AZ,B8,'Match History'!A:A,"&gt;="&amp;(DATE(2022,12,31)-365))+COUNTIFS('Match History'!BD:BD,B8,'Match History'!A:A,"&gt;="&amp;(DATE(2022,12,31)-365))+COUNTIFS('Match History'!BH:BH,B8,'Match History'!A:A,"&gt;="&amp;(DATE(2022,12,31)-365))
</f>
        <v>11</v>
      </c>
      <c r="T8" s="20">
        <f t="array" ref="T8">IF(F8=0,0,INDEX('Match History'!B:BK,MATCH(N8,'Match History'!A:A,0),MATCH(B8,INDEX('Match History'!B:BK,MATCH(N8,'Match History'!A:A,0),0),0)+3)-INDEX('Match History'!B:BK,MATCH(N8,'Match History'!A:A,0),MATCH(B8,INDEX('Match History'!B:BK,MATCH(N8,'Match History'!A:A,0),0),0)+1))</f>
        <v>4.146376658</v>
      </c>
      <c r="U8" s="21">
        <f>COUNTIFS('Match History'!B:B,B8,'Match History'!A:A,"&gt;="&amp;(DATE(2022,12,31)-92))
+COUNTIFS('Match History'!F:F,B8,'Match History'!A:A,"&gt;="&amp;(DATE(2022,12,31)-92))
+COUNTIFS('Match History'!J:J,B8,'Match History'!A:A,"&gt;="&amp;(DATE(2022,12,31)-92))
+COUNTIFS('Match History'!N:N,B8,'Match History'!A:A,"&gt;="&amp;(DATE(2022,12,31)-92))
+COUNTIFS('Match History'!R:R,B8,'Match History'!A:A,"&gt;="&amp;(DATE(2022,12,31)-92))
+COUNTIFS('Match History'!V:V,B8,'Match History'!A:A,"&gt;="&amp;(DATE(2022,12,31)-92))
+COUNTIFS('Match History'!Z:Z,B8,'Match History'!A:A,"&gt;="&amp;(DATE(2022,12,31)-92))
+COUNTIFS('Match History'!AD:AD,B8,'Match History'!A:A,"&gt;="&amp;(DATE(2022,12,31)-92))
+COUNTIFS('Match History'!AH:AH,B8,'Match History'!A:A,"&gt;="&amp;(DATE(2022,12,31)-92))
+COUNTIFS('Match History'!AL:AL,B8,'Match History'!A:A,"&gt;="&amp;(DATE(2022,12,31)-92))
+COUNTIFS('Match History'!AV:AV,B8,'Match History'!A:A,"&gt;="&amp;(DATE(2022,12,31)-92))
+COUNTIFS('Match History'!AZ:AZ,B8,'Match History'!A:A,"&gt;="&amp;(DATE(2022,12,31)-92))
+COUNTIFS('Match History'!BD:BD,B8,'Match History'!A:A,"&gt;="&amp;(DATE(2022,12,31)-92))
+COUNTIFS('Match History'!BH:BH,B8,'Match History'!A:A,"&gt;="&amp;(DATE(2022,12,31)-92))
</f>
        <v>11</v>
      </c>
      <c r="V8" s="20">
        <f>IF(U8=0,0,(SUMIFS('Match History'!D:D,'Match History'!A:A,"&gt;=10/01/2022 00:00",'Match History'!A:A,"&lt;=12/31/2022 23:59",'Match History'!B:B,B8)
+SUMIFS('Match History'!H:H,'Match History'!A:A,"&gt;=10/01/2022 00:00",'Match History'!A:A,"&lt;=12/31/2022 23:59",'Match History'!F:F,B8)
+SUMIFS('Match History'!L:L,'Match History'!A:A,"&gt;=10/01/2022 00:00",'Match History'!A:A,"&lt;=12/31/2022 23:59",'Match History'!J:J,B8)
+SUMIFS('Match History'!P:P,'Match History'!A:A,"&gt;=10/01/2022 00:00",'Match History'!A:A,"&lt;=12/31/2022 23:59",'Match History'!N:N,B8)
+SUMIFS('Match History'!T:T,'Match History'!A:A,"&gt;=10/01/2022 00:00",'Match History'!A:A,"&lt;=12/31/2022 23:59",'Match History'!R:R,B8)
+SUMIFS('Match History'!X:X,'Match History'!A:A,"&gt;=10/01/2022 00:00",'Match History'!A:A,"&lt;=12/31/2022 23:59",'Match History'!V:V,B8)
+SUMIFS('Match History'!AB:AB,'Match History'!A:A,"&gt;=10/01/2022 00:00",'Match History'!A:A,"&lt;=12/31/2022 23:59",'Match History'!Z:Z,B8)
+SUMIFS('Match History'!AF:AF,'Match History'!A:A,"&gt;=10/01/2022 00:00",'Match History'!A:A,"&lt;=12/31/2022 23:59",'Match History'!AD:AD,B8)
+SUMIFS('Match History'!AJ:AJ,'Match History'!A:A,"&gt;=10/01/2022 00:00",'Match History'!A:A,"&lt;=12/31/2022 23:59",'Match History'!AH:AH,B8)
+SUMIFS('Match History'!AN:AN,'Match History'!A:A,"&gt;=10/01/2022 00:00",'Match History'!A:A,"&lt;=12/31/2022 23:59",'Match History'!AL:AL,B8)
+SUMIFS('Match History'!AX:AX,'Match History'!A:A,"&gt;=10/01/2022 00:00",'Match History'!A:A,"&lt;=12/31/2022 23:59",'Match History'!AV:AV,B8)+SUMIFS('Match History'!BB:BB,'Match History'!A:A,"&gt;=10/01/2022 00:00",'Match History'!A:A,"&lt;=12/31/2022 23:59",'Match History'!AZ:AZ,B8)
+SUMIFS('Match History'!BF:BF,'Match History'!A:A,"&gt;=10/01/2022 00:00",'Match History'!A:A,"&lt;=12/31/2022 23:59",'Match History'!BD:BD,B8)
+SUMIFS('Match History'!BJ:BJ,'Match History'!A:A,"&gt;=10/01/2022 00:00",'Match History'!A:A,"&lt;=12/31/2022 23:59",'Match History'!BH:BH,B8))/U8)
</f>
        <v>28</v>
      </c>
    </row>
    <row r="9" ht="21.0" customHeight="1">
      <c r="A9" s="44" t="s">
        <v>42</v>
      </c>
      <c r="B9" s="44" t="s">
        <v>43</v>
      </c>
      <c r="C9" s="45">
        <v>1052.2113975500706</v>
      </c>
      <c r="D9" s="49">
        <f>NORMDIST(C9,1000,STDEV(Players!$C$2:$C$39)+0.00001,TRUE)</f>
        <v>0.7363745103</v>
      </c>
      <c r="E9" s="46"/>
      <c r="F9" s="50">
        <f>COUNTIF('Match History'!A:BK,"helm0r")</f>
        <v>31</v>
      </c>
      <c r="G9" s="48" t="s">
        <v>44</v>
      </c>
      <c r="H9" s="43" t="s">
        <v>45</v>
      </c>
      <c r="K9" s="43">
        <v>1.0</v>
      </c>
      <c r="L9" s="18" t="b">
        <f t="shared" si="2"/>
        <v>1</v>
      </c>
      <c r="M9" s="17" t="b">
        <v>0</v>
      </c>
      <c r="N9" s="19">
        <f t="array" ref="N9">IF(F9=0, "no war", INDEX('Match History'!A:A, MAX(MAX(('Match History'!B:B=B9)*(ROW('Match History'!B:B))),MAX(('Match History'!F:F=B9)*(ROW('Match History'!F:F))),MAX(('Match History'!J:J=B9)*(ROW('Match History'!J:J))),MAX(('Match History'!N:N=B9)*(ROW('Match History'!N:N))),MAX(('Match History'!R:R=B9)*(ROW('Match History'!R:R))),MAX(('Match History'!V:V=B9)*(ROW('Match History'!V:V))),MAX(('Match History'!Z:Z=B9)*(ROW('Match History'!Z:Z))),MAX(('Match History'!AD:AD=B9)*(ROW('Match History'!AD:AD))),MAX(('Match History'!AH:AH=B9)*(ROW('Match History'!AH:AH))),MAX(('Match History'!AL:AL=B9)*(ROW('Match History'!AL:AL))),MAX(('Match History'!AV:AV=B9)*(ROW('Match History'!AV:AV))),MAX(('Match History'!AZ:AZ=B9)*(ROW('Match History'!AZ:AZ))),MAX(('Match History'!BD:BD=B9)*(ROW('Match History'!BD:BD))),MAX(('Match History'!BH:BH=B9)*(ROW('Match History'!BH:BH)))), 1))
</f>
        <v>44910.05731</v>
      </c>
      <c r="O9" s="20">
        <f>(SUMIF('Match History'!B:B,B9,'Match History'!D:D)+SUMIF('Match History'!F:F,B9,'Match History'!H:H)+SUMIF('Match History'!J:J,B9,'Match History'!L:L)+SUMIF('Match History'!N:N,B9,'Match History'!P:P)+SUMIF('Match History'!R:R,B9,'Match History'!T:T)+SUMIF('Match History'!V:V,B9,'Match History'!X:X)+SUMIF('Match History'!Z:Z,B9,'Match History'!AB:AB)+SUMIF('Match History'!AD:AD,B9,'Match History'!AF:AF)+SUMIF('Match History'!AH:AH,B9,'Match History'!AJ:AJ)+SUMIF('Match History'!AL:AL,B9,'Match History'!AN:AN)+SUMIF('Match History'!AV:AV,B9,'Match History'!AX:AX)+SUMIF('Match History'!AZ:AZ,B9,'Match History'!BB:BB)+SUMIF('Match History'!BD:BD,B9,'Match History'!BF:BF)+SUMIF('Match History'!BH:BH,B9,'Match History'!BJ:BJ))/IF(F9=0,1,F9)</f>
        <v>25.09677419</v>
      </c>
      <c r="P9" s="21">
        <f t="array" ref="P9">MAX(MAX(IF('Match History'!B:B=B9,'Match History'!D:D,)),MAX(IF('Match History'!F:F=B9,'Match History'!H:H,)),MAX(IF('Match History'!J:J=B9,'Match History'!L:L,)),MAX(IF('Match History'!N:N=B9,'Match History'!P:P,)),MAX(IF('Match History'!R:R=B9,'Match History'!T:T,)),MAX(IF('Match History'!V:V=B9,'Match History'!X:X,)),MAX(IF('Match History'!Z:Z=B9,'Match History'!AB:AB,)),MAX(IF('Match History'!AD:AD=B9,'Match History'!AF:AF,)),MAX(IF('Match History'!AH:AH=B9,'Match History'!AJ:AJ,)),MAX(IF('Match History'!AL:AL=B9,'Match History'!AN:AN,)),MAX(IF('Match History'!AV:AV=B9,'Match History'!AX:AX,)),MAX(IF('Match History'!AZ:AZ=B9,'Match History'!BB:BB,)),MAX(IF('Match History'!BD:BD=B9,'Match History'!BF:BF,)),MAX(IF('Match History'!BH:BH=B9,'Match History'!BJ:BJ,)))</f>
        <v>39</v>
      </c>
      <c r="Q9" s="21">
        <f t="array" ref="Q9">IF(F9=0,0,MIN(MIN(IF('Match History'!B:B=B9,'Match History'!D:D,999)),MIN(IF('Match History'!F:F=B9,'Match History'!H:H,999)),MIN(IF('Match History'!J:J=B9,'Match History'!L:L,999)),MIN(IF('Match History'!N:N=B9,'Match History'!P:P,999)),MIN(IF('Match History'!R:R=B9,'Match History'!T:T,999)),MIN(IF('Match History'!V:V=B9,'Match History'!X:X,999)),MIN(IF('Match History'!Z:Z=B9,'Match History'!AB:AB,999)),MIN(IF('Match History'!AD:AD=B9,'Match History'!AF:AF,999)),MIN(IF('Match History'!AH:AH=B9,'Match History'!AJ:AJ,999)),MIN(IF('Match History'!AL:AL=B9,'Match History'!AN:AN,999)),MIN(IF('Match History'!AV:AV=B9,'Match History'!AX:AX,999)),MIN(IF('Match History'!AZ:AZ=B9,'Match History'!BB:BB,999)),MIN(IF('Match History'!BD:BD=B9,'Match History'!BF:BF,999)),MIN(IF('Match History'!BH:BH=B9,'Match History'!BJ:BJ,999))))</f>
        <v>14</v>
      </c>
      <c r="R9" s="21">
        <f>COUNTIFS('Match History'!B:B,B9,'Match History'!A:A,"&gt;="&amp;(DATE(2022,12,31)-30))+COUNTIFS('Match History'!F:F,B9,'Match History'!A:A,"&gt;="&amp;(DATE(2022,12,31)-30))+COUNTIFS('Match History'!J:J,B9,'Match History'!A:A,"&gt;="&amp;(DATE(2022,12,31)-30))+COUNTIFS('Match History'!N:N,B9,'Match History'!A:A,"&gt;="&amp;(DATE(2022,12,31)-30))+COUNTIFS('Match History'!R:R,B9,'Match History'!A:A,"&gt;="&amp;(DATE(2022,12,31)-30))+COUNTIFS('Match History'!V:V,B9,'Match History'!A:A,"&gt;="&amp;(DATE(2022,12,31)-30))+COUNTIFS('Match History'!Z:Z,B9,'Match History'!A:A,"&gt;="&amp;(DATE(2022,12,31)-30))+COUNTIFS('Match History'!AD:AD,B9,'Match History'!A:A,"&gt;="&amp;(DATE(2022,12,31)-30))+COUNTIFS('Match History'!AH:AH,B9,'Match History'!A:A,"&gt;="&amp;(DATE(2022,12,31)-30))+COUNTIFS('Match History'!AL:AL,B9,'Match History'!A:A,"&gt;="&amp;(DATE(2022,12,31)-30))+COUNTIFS('Match History'!AV:AV,B9,'Match History'!A:A,"&gt;="&amp;(DATE(2022,12,31)-30))+COUNTIFS('Match History'!AZ:AZ,B9,'Match History'!A:A,"&gt;="&amp;(DATE(2022,12,31)-30))+COUNTIFS('Match History'!BD:BD,B9,'Match History'!A:A,"&gt;="&amp;(DATE(2022,12,31)-30))+COUNTIFS('Match History'!BH:BH,B9,'Match History'!A:A,"&gt;="&amp;(DATE(2022,12,31)-30))
</f>
        <v>16</v>
      </c>
      <c r="S9" s="21">
        <f>COUNTIFS('Match History'!B:B,B9,'Match History'!A:A,"&gt;="&amp;(DATE(2022,12,31)-365))+COUNTIFS('Match History'!F:F,B9,'Match History'!A:A,"&gt;="&amp;(DATE(2022,12,31)-365))+COUNTIFS('Match History'!J:J,B9,'Match History'!A:A,"&gt;="&amp;(DATE(2022,12,31)-365))+COUNTIFS('Match History'!N:N,B9,'Match History'!A:A,"&gt;="&amp;(DATE(2022,12,31)-365))+COUNTIFS('Match History'!R:R,B9,'Match History'!A:A,"&gt;="&amp;(DATE(2022,12,31)-365))+COUNTIFS('Match History'!V:V,B9,'Match History'!A:A,"&gt;="&amp;(DATE(2022,12,31)-365))+COUNTIFS('Match History'!Z:Z,B9,'Match History'!A:A,"&gt;="&amp;(DATE(2022,12,31)-365))+COUNTIFS('Match History'!AD:AD,B9,'Match History'!A:A,"&gt;="&amp;(DATE(2022,12,31)-365))+COUNTIFS('Match History'!AH:AH,B9,'Match History'!A:A,"&gt;="&amp;(DATE(2022,12,31)-365))+COUNTIFS('Match History'!AL:AL,B9,'Match History'!A:A,"&gt;="&amp;(DATE(2022,12,31)-365))+COUNTIFS('Match History'!AV:AV,B9,'Match History'!A:A,"&gt;="&amp;(DATE(2022,12,31)-365))+COUNTIFS('Match History'!AZ:AZ,B9,'Match History'!A:A,"&gt;="&amp;(DATE(2022,12,31)-365))+COUNTIFS('Match History'!BD:BD,B9,'Match History'!A:A,"&gt;="&amp;(DATE(2022,12,31)-365))+COUNTIFS('Match History'!BH:BH,B9,'Match History'!A:A,"&gt;="&amp;(DATE(2022,12,31)-365))
</f>
        <v>31</v>
      </c>
      <c r="T9" s="20">
        <f t="array" ref="T9">IF(F9=0,0,INDEX('Match History'!B:BK,MATCH(N9,'Match History'!A:A,0),MATCH(B9,INDEX('Match History'!B:BK,MATCH(N9,'Match History'!A:A,0),0),0)+3)-INDEX('Match History'!B:BK,MATCH(N9,'Match History'!A:A,0),MATCH(B9,INDEX('Match History'!B:BK,MATCH(N9,'Match History'!A:A,0),0),0)+1))</f>
        <v>6.004262687</v>
      </c>
      <c r="U9" s="21">
        <f>COUNTIFS('Match History'!B:B,B9,'Match History'!A:A,"&gt;="&amp;(DATE(2022,12,31)-92))
+COUNTIFS('Match History'!F:F,B9,'Match History'!A:A,"&gt;="&amp;(DATE(2022,12,31)-92))
+COUNTIFS('Match History'!J:J,B9,'Match History'!A:A,"&gt;="&amp;(DATE(2022,12,31)-92))
+COUNTIFS('Match History'!N:N,B9,'Match History'!A:A,"&gt;="&amp;(DATE(2022,12,31)-92))
+COUNTIFS('Match History'!R:R,B9,'Match History'!A:A,"&gt;="&amp;(DATE(2022,12,31)-92))
+COUNTIFS('Match History'!V:V,B9,'Match History'!A:A,"&gt;="&amp;(DATE(2022,12,31)-92))
+COUNTIFS('Match History'!Z:Z,B9,'Match History'!A:A,"&gt;="&amp;(DATE(2022,12,31)-92))
+COUNTIFS('Match History'!AD:AD,B9,'Match History'!A:A,"&gt;="&amp;(DATE(2022,12,31)-92))
+COUNTIFS('Match History'!AH:AH,B9,'Match History'!A:A,"&gt;="&amp;(DATE(2022,12,31)-92))
+COUNTIFS('Match History'!AL:AL,B9,'Match History'!A:A,"&gt;="&amp;(DATE(2022,12,31)-92))
+COUNTIFS('Match History'!AV:AV,B9,'Match History'!A:A,"&gt;="&amp;(DATE(2022,12,31)-92))
+COUNTIFS('Match History'!AZ:AZ,B9,'Match History'!A:A,"&gt;="&amp;(DATE(2022,12,31)-92))
+COUNTIFS('Match History'!BD:BD,B9,'Match History'!A:A,"&gt;="&amp;(DATE(2022,12,31)-92))
+COUNTIFS('Match History'!BH:BH,B9,'Match History'!A:A,"&gt;="&amp;(DATE(2022,12,31)-92))
</f>
        <v>31</v>
      </c>
      <c r="V9" s="20">
        <f>IF(U9=0,0,(SUMIFS('Match History'!D:D,'Match History'!A:A,"&gt;=10/01/2022 00:00",'Match History'!A:A,"&lt;=12/31/2022 23:59",'Match History'!B:B,B9)
+SUMIFS('Match History'!H:H,'Match History'!A:A,"&gt;=10/01/2022 00:00",'Match History'!A:A,"&lt;=12/31/2022 23:59",'Match History'!F:F,B9)
+SUMIFS('Match History'!L:L,'Match History'!A:A,"&gt;=10/01/2022 00:00",'Match History'!A:A,"&lt;=12/31/2022 23:59",'Match History'!J:J,B9)
+SUMIFS('Match History'!P:P,'Match History'!A:A,"&gt;=10/01/2022 00:00",'Match History'!A:A,"&lt;=12/31/2022 23:59",'Match History'!N:N,B9)
+SUMIFS('Match History'!T:T,'Match History'!A:A,"&gt;=10/01/2022 00:00",'Match History'!A:A,"&lt;=12/31/2022 23:59",'Match History'!R:R,B9)
+SUMIFS('Match History'!X:X,'Match History'!A:A,"&gt;=10/01/2022 00:00",'Match History'!A:A,"&lt;=12/31/2022 23:59",'Match History'!V:V,B9)
+SUMIFS('Match History'!AB:AB,'Match History'!A:A,"&gt;=10/01/2022 00:00",'Match History'!A:A,"&lt;=12/31/2022 23:59",'Match History'!Z:Z,B9)
+SUMIFS('Match History'!AF:AF,'Match History'!A:A,"&gt;=10/01/2022 00:00",'Match History'!A:A,"&lt;=12/31/2022 23:59",'Match History'!AD:AD,B9)
+SUMIFS('Match History'!AJ:AJ,'Match History'!A:A,"&gt;=10/01/2022 00:00",'Match History'!A:A,"&lt;=12/31/2022 23:59",'Match History'!AH:AH,B9)
+SUMIFS('Match History'!AN:AN,'Match History'!A:A,"&gt;=10/01/2022 00:00",'Match History'!A:A,"&lt;=12/31/2022 23:59",'Match History'!AL:AL,B9)
+SUMIFS('Match History'!AX:AX,'Match History'!A:A,"&gt;=10/01/2022 00:00",'Match History'!A:A,"&lt;=12/31/2022 23:59",'Match History'!AV:AV,B9)+SUMIFS('Match History'!BB:BB,'Match History'!A:A,"&gt;=10/01/2022 00:00",'Match History'!A:A,"&lt;=12/31/2022 23:59",'Match History'!AZ:AZ,B9)
+SUMIFS('Match History'!BF:BF,'Match History'!A:A,"&gt;=10/01/2022 00:00",'Match History'!A:A,"&lt;=12/31/2022 23:59",'Match History'!BD:BD,B9)
+SUMIFS('Match History'!BJ:BJ,'Match History'!A:A,"&gt;=10/01/2022 00:00",'Match History'!A:A,"&lt;=12/31/2022 23:59",'Match History'!BH:BH,B9))/U9)
</f>
        <v>25.09677419</v>
      </c>
    </row>
    <row r="10" ht="21.0" customHeight="1">
      <c r="A10" s="22" t="s">
        <v>46</v>
      </c>
      <c r="B10" s="23" t="s">
        <v>47</v>
      </c>
      <c r="C10" s="12">
        <v>1051.7880761922638</v>
      </c>
      <c r="D10" s="34">
        <f>NORMDIST(C10,1000,STDEV($C$2:$C$39)+0.00001,TRUE)</f>
        <v>0.734697306</v>
      </c>
      <c r="E10" s="25"/>
      <c r="F10" s="36">
        <f>COUNTIF('Match History'!A:BK,"kapsel")</f>
        <v>1059</v>
      </c>
      <c r="G10" s="42" t="s">
        <v>24</v>
      </c>
      <c r="H10" s="41" t="s">
        <v>48</v>
      </c>
      <c r="I10" s="28" t="s">
        <v>29</v>
      </c>
      <c r="J10" s="30"/>
      <c r="K10" s="28">
        <v>1.0</v>
      </c>
      <c r="L10" s="18" t="b">
        <f t="shared" si="2"/>
        <v>1</v>
      </c>
      <c r="M10" s="17" t="b">
        <v>0</v>
      </c>
      <c r="N10" s="19">
        <f t="array" ref="N10">IF(F10=0, "no war", INDEX('Match History'!A:A, MAX(MAX(('Match History'!B:B=B10)*(ROW('Match History'!B:B))),MAX(('Match History'!F:F=B10)*(ROW('Match History'!F:F))),MAX(('Match History'!J:J=B10)*(ROW('Match History'!J:J))),MAX(('Match History'!N:N=B10)*(ROW('Match History'!N:N))),MAX(('Match History'!R:R=B10)*(ROW('Match History'!R:R))),MAX(('Match History'!V:V=B10)*(ROW('Match History'!V:V))),MAX(('Match History'!Z:Z=B10)*(ROW('Match History'!Z:Z))),MAX(('Match History'!AD:AD=B10)*(ROW('Match History'!AD:AD))),MAX(('Match History'!AH:AH=B10)*(ROW('Match History'!AH:AH))),MAX(('Match History'!AL:AL=B10)*(ROW('Match History'!AL:AL))),MAX(('Match History'!AV:AV=B10)*(ROW('Match History'!AV:AV))),MAX(('Match History'!AZ:AZ=B10)*(ROW('Match History'!AZ:AZ))),MAX(('Match History'!BD:BD=B10)*(ROW('Match History'!BD:BD))),MAX(('Match History'!BH:BH=B10)*(ROW('Match History'!BH:BH)))), 1))
</f>
        <v>44926.02962</v>
      </c>
      <c r="O10" s="20">
        <f>(SUMIF('Match History'!B:B,B10,'Match History'!D:D)+SUMIF('Match History'!F:F,B10,'Match History'!H:H)+SUMIF('Match History'!J:J,B10,'Match History'!L:L)+SUMIF('Match History'!N:N,B10,'Match History'!P:P)+SUMIF('Match History'!R:R,B10,'Match History'!T:T)+SUMIF('Match History'!V:V,B10,'Match History'!X:X)+SUMIF('Match History'!Z:Z,B10,'Match History'!AB:AB)+SUMIF('Match History'!AD:AD,B10,'Match History'!AF:AF)+SUMIF('Match History'!AH:AH,B10,'Match History'!AJ:AJ)+SUMIF('Match History'!AL:AL,B10,'Match History'!AN:AN)+SUMIF('Match History'!AV:AV,B10,'Match History'!AX:AX)+SUMIF('Match History'!AZ:AZ,B10,'Match History'!BB:BB)+SUMIF('Match History'!BD:BD,B10,'Match History'!BF:BF)+SUMIF('Match History'!BH:BH,B10,'Match History'!BJ:BJ))/IF(F10=0,1,F10)</f>
        <v>21.58640227</v>
      </c>
      <c r="P10" s="21">
        <f t="array" ref="P10">MAX(MAX(IF('Match History'!B:B=B10,'Match History'!D:D,)),MAX(IF('Match History'!F:F=B10,'Match History'!H:H,)),MAX(IF('Match History'!J:J=B10,'Match History'!L:L,)),MAX(IF('Match History'!N:N=B10,'Match History'!P:P,)),MAX(IF('Match History'!R:R=B10,'Match History'!T:T,)),MAX(IF('Match History'!V:V=B10,'Match History'!X:X,)),MAX(IF('Match History'!Z:Z=B10,'Match History'!AB:AB,)),MAX(IF('Match History'!AD:AD=B10,'Match History'!AF:AF,)),MAX(IF('Match History'!AH:AH=B10,'Match History'!AJ:AJ,)),MAX(IF('Match History'!AL:AL=B10,'Match History'!AN:AN,)),MAX(IF('Match History'!AV:AV=B10,'Match History'!AX:AX,)),MAX(IF('Match History'!AZ:AZ=B10,'Match History'!BB:BB,)),MAX(IF('Match History'!BD:BD=B10,'Match History'!BF:BF,)),MAX(IF('Match History'!BH:BH=B10,'Match History'!BJ:BJ,)))</f>
        <v>68</v>
      </c>
      <c r="Q10" s="21">
        <f t="array" ref="Q10">IF(F10=0,0,MIN(MIN(IF('Match History'!B:B=B10,'Match History'!D:D,999)),MIN(IF('Match History'!F:F=B10,'Match History'!H:H,999)),MIN(IF('Match History'!J:J=B10,'Match History'!L:L,999)),MIN(IF('Match History'!N:N=B10,'Match History'!P:P,999)),MIN(IF('Match History'!R:R=B10,'Match History'!T:T,999)),MIN(IF('Match History'!V:V=B10,'Match History'!X:X,999)),MIN(IF('Match History'!Z:Z=B10,'Match History'!AB:AB,999)),MIN(IF('Match History'!AD:AD=B10,'Match History'!AF:AF,999)),MIN(IF('Match History'!AH:AH=B10,'Match History'!AJ:AJ,999)),MIN(IF('Match History'!AL:AL=B10,'Match History'!AN:AN,999)),MIN(IF('Match History'!AV:AV=B10,'Match History'!AX:AX,999)),MIN(IF('Match History'!AZ:AZ=B10,'Match History'!BB:BB,999)),MIN(IF('Match History'!BD:BD=B10,'Match History'!BF:BF,999)),MIN(IF('Match History'!BH:BH=B10,'Match History'!BJ:BJ,999))))</f>
        <v>5</v>
      </c>
      <c r="R10" s="21">
        <f>COUNTIFS('Match History'!B:B,B10,'Match History'!A:A,"&gt;="&amp;(DATE(2022,12,31)-30))+COUNTIFS('Match History'!F:F,B10,'Match History'!A:A,"&gt;="&amp;(DATE(2022,12,31)-30))+COUNTIFS('Match History'!J:J,B10,'Match History'!A:A,"&gt;="&amp;(DATE(2022,12,31)-30))+COUNTIFS('Match History'!N:N,B10,'Match History'!A:A,"&gt;="&amp;(DATE(2022,12,31)-30))+COUNTIFS('Match History'!R:R,B10,'Match History'!A:A,"&gt;="&amp;(DATE(2022,12,31)-30))+COUNTIFS('Match History'!V:V,B10,'Match History'!A:A,"&gt;="&amp;(DATE(2022,12,31)-30))+COUNTIFS('Match History'!Z:Z,B10,'Match History'!A:A,"&gt;="&amp;(DATE(2022,12,31)-30))+COUNTIFS('Match History'!AD:AD,B10,'Match History'!A:A,"&gt;="&amp;(DATE(2022,12,31)-30))+COUNTIFS('Match History'!AH:AH,B10,'Match History'!A:A,"&gt;="&amp;(DATE(2022,12,31)-30))+COUNTIFS('Match History'!AL:AL,B10,'Match History'!A:A,"&gt;="&amp;(DATE(2022,12,31)-30))+COUNTIFS('Match History'!AV:AV,B10,'Match History'!A:A,"&gt;="&amp;(DATE(2022,12,31)-30))+COUNTIFS('Match History'!AZ:AZ,B10,'Match History'!A:A,"&gt;="&amp;(DATE(2022,12,31)-30))+COUNTIFS('Match History'!BD:BD,B10,'Match History'!A:A,"&gt;="&amp;(DATE(2022,12,31)-30))+COUNTIFS('Match History'!BH:BH,B10,'Match History'!A:A,"&gt;="&amp;(DATE(2022,12,31)-30))
</f>
        <v>43</v>
      </c>
      <c r="S10" s="21">
        <f>COUNTIFS('Match History'!B:B,B10,'Match History'!A:A,"&gt;="&amp;(DATE(2022,12,31)-365))+COUNTIFS('Match History'!F:F,B10,'Match History'!A:A,"&gt;="&amp;(DATE(2022,12,31)-365))+COUNTIFS('Match History'!J:J,B10,'Match History'!A:A,"&gt;="&amp;(DATE(2022,12,31)-365))+COUNTIFS('Match History'!N:N,B10,'Match History'!A:A,"&gt;="&amp;(DATE(2022,12,31)-365))+COUNTIFS('Match History'!R:R,B10,'Match History'!A:A,"&gt;="&amp;(DATE(2022,12,31)-365))+COUNTIFS('Match History'!V:V,B10,'Match History'!A:A,"&gt;="&amp;(DATE(2022,12,31)-365))+COUNTIFS('Match History'!Z:Z,B10,'Match History'!A:A,"&gt;="&amp;(DATE(2022,12,31)-365))+COUNTIFS('Match History'!AD:AD,B10,'Match History'!A:A,"&gt;="&amp;(DATE(2022,12,31)-365))+COUNTIFS('Match History'!AH:AH,B10,'Match History'!A:A,"&gt;="&amp;(DATE(2022,12,31)-365))+COUNTIFS('Match History'!AL:AL,B10,'Match History'!A:A,"&gt;="&amp;(DATE(2022,12,31)-365))+COUNTIFS('Match History'!AV:AV,B10,'Match History'!A:A,"&gt;="&amp;(DATE(2022,12,31)-365))+COUNTIFS('Match History'!AZ:AZ,B10,'Match History'!A:A,"&gt;="&amp;(DATE(2022,12,31)-365))+COUNTIFS('Match History'!BD:BD,B10,'Match History'!A:A,"&gt;="&amp;(DATE(2022,12,31)-365))+COUNTIFS('Match History'!BH:BH,B10,'Match History'!A:A,"&gt;="&amp;(DATE(2022,12,31)-365))
</f>
        <v>404</v>
      </c>
      <c r="T10" s="20">
        <f t="array" ref="T10">IF(F10=0,0,INDEX('Match History'!B:BK,MATCH(N10,'Match History'!A:A,0),MATCH(B10,INDEX('Match History'!B:BK,MATCH(N10,'Match History'!A:A,0),0),0)+3)-INDEX('Match History'!B:BK,MATCH(N10,'Match History'!A:A,0),MATCH(B10,INDEX('Match History'!B:BK,MATCH(N10,'Match History'!A:A,0),0),0)+1))</f>
        <v>7.056981607</v>
      </c>
      <c r="U10" s="21">
        <f>COUNTIFS('Match History'!B:B,B10,'Match History'!A:A,"&gt;="&amp;(DATE(2022,12,31)-92))
+COUNTIFS('Match History'!F:F,B10,'Match History'!A:A,"&gt;="&amp;(DATE(2022,12,31)-92))
+COUNTIFS('Match History'!J:J,B10,'Match History'!A:A,"&gt;="&amp;(DATE(2022,12,31)-92))
+COUNTIFS('Match History'!N:N,B10,'Match History'!A:A,"&gt;="&amp;(DATE(2022,12,31)-92))
+COUNTIFS('Match History'!R:R,B10,'Match History'!A:A,"&gt;="&amp;(DATE(2022,12,31)-92))
+COUNTIFS('Match History'!V:V,B10,'Match History'!A:A,"&gt;="&amp;(DATE(2022,12,31)-92))
+COUNTIFS('Match History'!Z:Z,B10,'Match History'!A:A,"&gt;="&amp;(DATE(2022,12,31)-92))
+COUNTIFS('Match History'!AD:AD,B10,'Match History'!A:A,"&gt;="&amp;(DATE(2022,12,31)-92))
+COUNTIFS('Match History'!AH:AH,B10,'Match History'!A:A,"&gt;="&amp;(DATE(2022,12,31)-92))
+COUNTIFS('Match History'!AL:AL,B10,'Match History'!A:A,"&gt;="&amp;(DATE(2022,12,31)-92))
+COUNTIFS('Match History'!AV:AV,B10,'Match History'!A:A,"&gt;="&amp;(DATE(2022,12,31)-92))
+COUNTIFS('Match History'!AZ:AZ,B10,'Match History'!A:A,"&gt;="&amp;(DATE(2022,12,31)-92))
+COUNTIFS('Match History'!BD:BD,B10,'Match History'!A:A,"&gt;="&amp;(DATE(2022,12,31)-92))
+COUNTIFS('Match History'!BH:BH,B10,'Match History'!A:A,"&gt;="&amp;(DATE(2022,12,31)-92))
</f>
        <v>132</v>
      </c>
      <c r="V10" s="20">
        <f>IF(U10=0,0,(SUMIFS('Match History'!D:D,'Match History'!A:A,"&gt;=10/01/2022 00:00",'Match History'!A:A,"&lt;=12/31/2022 23:59",'Match History'!B:B,B10)
+SUMIFS('Match History'!H:H,'Match History'!A:A,"&gt;=10/01/2022 00:00",'Match History'!A:A,"&lt;=12/31/2022 23:59",'Match History'!F:F,B10)
+SUMIFS('Match History'!L:L,'Match History'!A:A,"&gt;=10/01/2022 00:00",'Match History'!A:A,"&lt;=12/31/2022 23:59",'Match History'!J:J,B10)
+SUMIFS('Match History'!P:P,'Match History'!A:A,"&gt;=10/01/2022 00:00",'Match History'!A:A,"&lt;=12/31/2022 23:59",'Match History'!N:N,B10)
+SUMIFS('Match History'!T:T,'Match History'!A:A,"&gt;=10/01/2022 00:00",'Match History'!A:A,"&lt;=12/31/2022 23:59",'Match History'!R:R,B10)
+SUMIFS('Match History'!X:X,'Match History'!A:A,"&gt;=10/01/2022 00:00",'Match History'!A:A,"&lt;=12/31/2022 23:59",'Match History'!V:V,B10)
+SUMIFS('Match History'!AB:AB,'Match History'!A:A,"&gt;=10/01/2022 00:00",'Match History'!A:A,"&lt;=12/31/2022 23:59",'Match History'!Z:Z,B10)
+SUMIFS('Match History'!AF:AF,'Match History'!A:A,"&gt;=10/01/2022 00:00",'Match History'!A:A,"&lt;=12/31/2022 23:59",'Match History'!AD:AD,B10)
+SUMIFS('Match History'!AJ:AJ,'Match History'!A:A,"&gt;=10/01/2022 00:00",'Match History'!A:A,"&lt;=12/31/2022 23:59",'Match History'!AH:AH,B10)
+SUMIFS('Match History'!AN:AN,'Match History'!A:A,"&gt;=10/01/2022 00:00",'Match History'!A:A,"&lt;=12/31/2022 23:59",'Match History'!AL:AL,B10)
+SUMIFS('Match History'!AX:AX,'Match History'!A:A,"&gt;=10/01/2022 00:00",'Match History'!A:A,"&lt;=12/31/2022 23:59",'Match History'!AV:AV,B10)+SUMIFS('Match History'!BB:BB,'Match History'!A:A,"&gt;=10/01/2022 00:00",'Match History'!A:A,"&lt;=12/31/2022 23:59",'Match History'!AZ:AZ,B10)
+SUMIFS('Match History'!BF:BF,'Match History'!A:A,"&gt;=10/01/2022 00:00",'Match History'!A:A,"&lt;=12/31/2022 23:59",'Match History'!BD:BD,B10)
+SUMIFS('Match History'!BJ:BJ,'Match History'!A:A,"&gt;=10/01/2022 00:00",'Match History'!A:A,"&lt;=12/31/2022 23:59",'Match History'!BH:BH,B10))/U10)
</f>
        <v>21.3030303</v>
      </c>
    </row>
    <row r="11">
      <c r="A11" s="51" t="s">
        <v>49</v>
      </c>
      <c r="B11" s="51" t="s">
        <v>50</v>
      </c>
      <c r="C11" s="45">
        <v>1048.6733545587624</v>
      </c>
      <c r="D11" s="52">
        <f>NORMDIST(C11,1000,STDEV(Players!$C$2:$C$39)+0.00001,TRUE)</f>
        <v>0.7221925018</v>
      </c>
      <c r="E11" s="46"/>
      <c r="F11" s="53">
        <f>COUNTIF('Match History'!A:BK,"watson")</f>
        <v>62</v>
      </c>
      <c r="G11" s="48" t="s">
        <v>51</v>
      </c>
      <c r="H11" s="54" t="s">
        <v>52</v>
      </c>
      <c r="I11" s="55" t="s">
        <v>29</v>
      </c>
      <c r="L11" s="18" t="b">
        <f t="shared" si="2"/>
        <v>1</v>
      </c>
      <c r="M11" s="17" t="b">
        <v>0</v>
      </c>
      <c r="N11" s="19">
        <f t="array" ref="N11">IF(F11=0, "no war", INDEX('Match History'!A:A, MAX(MAX(('Match History'!B:B=B11)*(ROW('Match History'!B:B))),MAX(('Match History'!F:F=B11)*(ROW('Match History'!F:F))),MAX(('Match History'!J:J=B11)*(ROW('Match History'!J:J))),MAX(('Match History'!N:N=B11)*(ROW('Match History'!N:N))),MAX(('Match History'!R:R=B11)*(ROW('Match History'!R:R))),MAX(('Match History'!V:V=B11)*(ROW('Match History'!V:V))),MAX(('Match History'!Z:Z=B11)*(ROW('Match History'!Z:Z))),MAX(('Match History'!AD:AD=B11)*(ROW('Match History'!AD:AD))),MAX(('Match History'!AH:AH=B11)*(ROW('Match History'!AH:AH))),MAX(('Match History'!AL:AL=B11)*(ROW('Match History'!AL:AL))),MAX(('Match History'!AV:AV=B11)*(ROW('Match History'!AV:AV))),MAX(('Match History'!AZ:AZ=B11)*(ROW('Match History'!AZ:AZ))),MAX(('Match History'!BD:BD=B11)*(ROW('Match History'!BD:BD))),MAX(('Match History'!BH:BH=B11)*(ROW('Match History'!BH:BH)))), 1))
</f>
        <v>44926.82537</v>
      </c>
      <c r="O11" s="20">
        <f>(SUMIF('Match History'!B:B,B11,'Match History'!D:D)+SUMIF('Match History'!F:F,B11,'Match History'!H:H)+SUMIF('Match History'!J:J,B11,'Match History'!L:L)+SUMIF('Match History'!N:N,B11,'Match History'!P:P)+SUMIF('Match History'!R:R,B11,'Match History'!T:T)+SUMIF('Match History'!V:V,B11,'Match History'!X:X)+SUMIF('Match History'!Z:Z,B11,'Match History'!AB:AB)+SUMIF('Match History'!AD:AD,B11,'Match History'!AF:AF)+SUMIF('Match History'!AH:AH,B11,'Match History'!AJ:AJ)+SUMIF('Match History'!AL:AL,B11,'Match History'!AN:AN)+SUMIF('Match History'!AV:AV,B11,'Match History'!AX:AX)+SUMIF('Match History'!AZ:AZ,B11,'Match History'!BB:BB)+SUMIF('Match History'!BD:BD,B11,'Match History'!BF:BF)+SUMIF('Match History'!BH:BH,B11,'Match History'!BJ:BJ))/IF(F11=0,1,F11)</f>
        <v>20.87096774</v>
      </c>
      <c r="P11" s="21">
        <f t="array" ref="P11">MAX(MAX(IF('Match History'!B:B=B11,'Match History'!D:D,)),MAX(IF('Match History'!F:F=B11,'Match History'!H:H,)),MAX(IF('Match History'!J:J=B11,'Match History'!L:L,)),MAX(IF('Match History'!N:N=B11,'Match History'!P:P,)),MAX(IF('Match History'!R:R=B11,'Match History'!T:T,)),MAX(IF('Match History'!V:V=B11,'Match History'!X:X,)),MAX(IF('Match History'!Z:Z=B11,'Match History'!AB:AB,)),MAX(IF('Match History'!AD:AD=B11,'Match History'!AF:AF,)),MAX(IF('Match History'!AH:AH=B11,'Match History'!AJ:AJ,)),MAX(IF('Match History'!AL:AL=B11,'Match History'!AN:AN,)),MAX(IF('Match History'!AV:AV=B11,'Match History'!AX:AX,)),MAX(IF('Match History'!AZ:AZ=B11,'Match History'!BB:BB,)),MAX(IF('Match History'!BD:BD=B11,'Match History'!BF:BF,)),MAX(IF('Match History'!BH:BH=B11,'Match History'!BJ:BJ,)))</f>
        <v>50</v>
      </c>
      <c r="Q11" s="21">
        <f t="array" ref="Q11">IF(F11=0,0,MIN(MIN(IF('Match History'!B:B=B11,'Match History'!D:D,999)),MIN(IF('Match History'!F:F=B11,'Match History'!H:H,999)),MIN(IF('Match History'!J:J=B11,'Match History'!L:L,999)),MIN(IF('Match History'!N:N=B11,'Match History'!P:P,999)),MIN(IF('Match History'!R:R=B11,'Match History'!T:T,999)),MIN(IF('Match History'!V:V=B11,'Match History'!X:X,999)),MIN(IF('Match History'!Z:Z=B11,'Match History'!AB:AB,999)),MIN(IF('Match History'!AD:AD=B11,'Match History'!AF:AF,999)),MIN(IF('Match History'!AH:AH=B11,'Match History'!AJ:AJ,999)),MIN(IF('Match History'!AL:AL=B11,'Match History'!AN:AN,999)),MIN(IF('Match History'!AV:AV=B11,'Match History'!AX:AX,999)),MIN(IF('Match History'!AZ:AZ=B11,'Match History'!BB:BB,999)),MIN(IF('Match History'!BD:BD=B11,'Match History'!BF:BF,999)),MIN(IF('Match History'!BH:BH=B11,'Match History'!BJ:BJ,999))))</f>
        <v>7</v>
      </c>
      <c r="R11" s="21">
        <f>COUNTIFS('Match History'!B:B,B11,'Match History'!A:A,"&gt;="&amp;(DATE(2022,12,31)-30))+COUNTIFS('Match History'!F:F,B11,'Match History'!A:A,"&gt;="&amp;(DATE(2022,12,31)-30))+COUNTIFS('Match History'!J:J,B11,'Match History'!A:A,"&gt;="&amp;(DATE(2022,12,31)-30))+COUNTIFS('Match History'!N:N,B11,'Match History'!A:A,"&gt;="&amp;(DATE(2022,12,31)-30))+COUNTIFS('Match History'!R:R,B11,'Match History'!A:A,"&gt;="&amp;(DATE(2022,12,31)-30))+COUNTIFS('Match History'!V:V,B11,'Match History'!A:A,"&gt;="&amp;(DATE(2022,12,31)-30))+COUNTIFS('Match History'!Z:Z,B11,'Match History'!A:A,"&gt;="&amp;(DATE(2022,12,31)-30))+COUNTIFS('Match History'!AD:AD,B11,'Match History'!A:A,"&gt;="&amp;(DATE(2022,12,31)-30))+COUNTIFS('Match History'!AH:AH,B11,'Match History'!A:A,"&gt;="&amp;(DATE(2022,12,31)-30))+COUNTIFS('Match History'!AL:AL,B11,'Match History'!A:A,"&gt;="&amp;(DATE(2022,12,31)-30))+COUNTIFS('Match History'!AV:AV,B11,'Match History'!A:A,"&gt;="&amp;(DATE(2022,12,31)-30))+COUNTIFS('Match History'!AZ:AZ,B11,'Match History'!A:A,"&gt;="&amp;(DATE(2022,12,31)-30))+COUNTIFS('Match History'!BD:BD,B11,'Match History'!A:A,"&gt;="&amp;(DATE(2022,12,31)-30))+COUNTIFS('Match History'!BH:BH,B11,'Match History'!A:A,"&gt;="&amp;(DATE(2022,12,31)-30))
</f>
        <v>42</v>
      </c>
      <c r="S11" s="21">
        <f>COUNTIFS('Match History'!B:B,B11,'Match History'!A:A,"&gt;="&amp;(DATE(2022,12,31)-365))+COUNTIFS('Match History'!F:F,B11,'Match History'!A:A,"&gt;="&amp;(DATE(2022,12,31)-365))+COUNTIFS('Match History'!J:J,B11,'Match History'!A:A,"&gt;="&amp;(DATE(2022,12,31)-365))+COUNTIFS('Match History'!N:N,B11,'Match History'!A:A,"&gt;="&amp;(DATE(2022,12,31)-365))+COUNTIFS('Match History'!R:R,B11,'Match History'!A:A,"&gt;="&amp;(DATE(2022,12,31)-365))+COUNTIFS('Match History'!V:V,B11,'Match History'!A:A,"&gt;="&amp;(DATE(2022,12,31)-365))+COUNTIFS('Match History'!Z:Z,B11,'Match History'!A:A,"&gt;="&amp;(DATE(2022,12,31)-365))+COUNTIFS('Match History'!AD:AD,B11,'Match History'!A:A,"&gt;="&amp;(DATE(2022,12,31)-365))+COUNTIFS('Match History'!AH:AH,B11,'Match History'!A:A,"&gt;="&amp;(DATE(2022,12,31)-365))+COUNTIFS('Match History'!AL:AL,B11,'Match History'!A:A,"&gt;="&amp;(DATE(2022,12,31)-365))+COUNTIFS('Match History'!AV:AV,B11,'Match History'!A:A,"&gt;="&amp;(DATE(2022,12,31)-365))+COUNTIFS('Match History'!AZ:AZ,B11,'Match History'!A:A,"&gt;="&amp;(DATE(2022,12,31)-365))+COUNTIFS('Match History'!BD:BD,B11,'Match History'!A:A,"&gt;="&amp;(DATE(2022,12,31)-365))+COUNTIFS('Match History'!BH:BH,B11,'Match History'!A:A,"&gt;="&amp;(DATE(2022,12,31)-365))
</f>
        <v>59</v>
      </c>
      <c r="T11" s="20">
        <f t="array" ref="T11">IF(F11=0,0,INDEX('Match History'!B:BK,MATCH(N11,'Match History'!A:A,0),MATCH(B11,INDEX('Match History'!B:BK,MATCH(N11,'Match History'!A:A,0),0),0)+3)-INDEX('Match History'!B:BK,MATCH(N11,'Match History'!A:A,0),MATCH(B11,INDEX('Match History'!B:BK,MATCH(N11,'Match History'!A:A,0),0),0)+1))</f>
        <v>1.015005642</v>
      </c>
      <c r="U11" s="21">
        <f>COUNTIFS('Match History'!B:B,B11,'Match History'!A:A,"&gt;="&amp;(DATE(2022,12,31)-92))
+COUNTIFS('Match History'!F:F,B11,'Match History'!A:A,"&gt;="&amp;(DATE(2022,12,31)-92))
+COUNTIFS('Match History'!J:J,B11,'Match History'!A:A,"&gt;="&amp;(DATE(2022,12,31)-92))
+COUNTIFS('Match History'!N:N,B11,'Match History'!A:A,"&gt;="&amp;(DATE(2022,12,31)-92))
+COUNTIFS('Match History'!R:R,B11,'Match History'!A:A,"&gt;="&amp;(DATE(2022,12,31)-92))
+COUNTIFS('Match History'!V:V,B11,'Match History'!A:A,"&gt;="&amp;(DATE(2022,12,31)-92))
+COUNTIFS('Match History'!Z:Z,B11,'Match History'!A:A,"&gt;="&amp;(DATE(2022,12,31)-92))
+COUNTIFS('Match History'!AD:AD,B11,'Match History'!A:A,"&gt;="&amp;(DATE(2022,12,31)-92))
+COUNTIFS('Match History'!AH:AH,B11,'Match History'!A:A,"&gt;="&amp;(DATE(2022,12,31)-92))
+COUNTIFS('Match History'!AL:AL,B11,'Match History'!A:A,"&gt;="&amp;(DATE(2022,12,31)-92))
+COUNTIFS('Match History'!AV:AV,B11,'Match History'!A:A,"&gt;="&amp;(DATE(2022,12,31)-92))
+COUNTIFS('Match History'!AZ:AZ,B11,'Match History'!A:A,"&gt;="&amp;(DATE(2022,12,31)-92))
+COUNTIFS('Match History'!BD:BD,B11,'Match History'!A:A,"&gt;="&amp;(DATE(2022,12,31)-92))
+COUNTIFS('Match History'!BH:BH,B11,'Match History'!A:A,"&gt;="&amp;(DATE(2022,12,31)-92))
</f>
        <v>42</v>
      </c>
      <c r="V11" s="20">
        <f>IF(U11=0,0,(SUMIFS('Match History'!D:D,'Match History'!A:A,"&gt;=10/01/2022 00:00",'Match History'!A:A,"&lt;=12/31/2022 23:59",'Match History'!B:B,B11)
+SUMIFS('Match History'!H:H,'Match History'!A:A,"&gt;=10/01/2022 00:00",'Match History'!A:A,"&lt;=12/31/2022 23:59",'Match History'!F:F,B11)
+SUMIFS('Match History'!L:L,'Match History'!A:A,"&gt;=10/01/2022 00:00",'Match History'!A:A,"&lt;=12/31/2022 23:59",'Match History'!J:J,B11)
+SUMIFS('Match History'!P:P,'Match History'!A:A,"&gt;=10/01/2022 00:00",'Match History'!A:A,"&lt;=12/31/2022 23:59",'Match History'!N:N,B11)
+SUMIFS('Match History'!T:T,'Match History'!A:A,"&gt;=10/01/2022 00:00",'Match History'!A:A,"&lt;=12/31/2022 23:59",'Match History'!R:R,B11)
+SUMIFS('Match History'!X:X,'Match History'!A:A,"&gt;=10/01/2022 00:00",'Match History'!A:A,"&lt;=12/31/2022 23:59",'Match History'!V:V,B11)
+SUMIFS('Match History'!AB:AB,'Match History'!A:A,"&gt;=10/01/2022 00:00",'Match History'!A:A,"&lt;=12/31/2022 23:59",'Match History'!Z:Z,B11)
+SUMIFS('Match History'!AF:AF,'Match History'!A:A,"&gt;=10/01/2022 00:00",'Match History'!A:A,"&lt;=12/31/2022 23:59",'Match History'!AD:AD,B11)
+SUMIFS('Match History'!AJ:AJ,'Match History'!A:A,"&gt;=10/01/2022 00:00",'Match History'!A:A,"&lt;=12/31/2022 23:59",'Match History'!AH:AH,B11)
+SUMIFS('Match History'!AN:AN,'Match History'!A:A,"&gt;=10/01/2022 00:00",'Match History'!A:A,"&lt;=12/31/2022 23:59",'Match History'!AL:AL,B11)
+SUMIFS('Match History'!AX:AX,'Match History'!A:A,"&gt;=10/01/2022 00:00",'Match History'!A:A,"&lt;=12/31/2022 23:59",'Match History'!AV:AV,B11)+SUMIFS('Match History'!BB:BB,'Match History'!A:A,"&gt;=10/01/2022 00:00",'Match History'!A:A,"&lt;=12/31/2022 23:59",'Match History'!AZ:AZ,B11)
+SUMIFS('Match History'!BF:BF,'Match History'!A:A,"&gt;=10/01/2022 00:00",'Match History'!A:A,"&lt;=12/31/2022 23:59",'Match History'!BD:BD,B11)
+SUMIFS('Match History'!BJ:BJ,'Match History'!A:A,"&gt;=10/01/2022 00:00",'Match History'!A:A,"&lt;=12/31/2022 23:59",'Match History'!BH:BH,B11))/U11)
</f>
        <v>21.04761905</v>
      </c>
    </row>
    <row r="12">
      <c r="A12" s="33" t="s">
        <v>53</v>
      </c>
      <c r="B12" s="33" t="s">
        <v>54</v>
      </c>
      <c r="C12" s="39">
        <v>1039.4701525683295</v>
      </c>
      <c r="D12" s="24">
        <f>NORMDIST(C12,1000,STDEV(Players!$C$2:$C$39)+0.00001,TRUE)</f>
        <v>0.6836496618</v>
      </c>
      <c r="E12" s="56"/>
      <c r="F12" s="57">
        <f>COUNTIF('Match History'!A:BK,"Cronic")</f>
        <v>46</v>
      </c>
      <c r="G12" s="27" t="s">
        <v>55</v>
      </c>
      <c r="H12" s="28" t="s">
        <v>56</v>
      </c>
      <c r="I12" s="28" t="s">
        <v>29</v>
      </c>
      <c r="J12" s="16"/>
      <c r="K12" s="28">
        <v>1.0</v>
      </c>
      <c r="L12" s="18" t="b">
        <f t="shared" si="2"/>
        <v>1</v>
      </c>
      <c r="M12" s="17" t="b">
        <v>0</v>
      </c>
      <c r="N12" s="19">
        <f t="array" ref="N12">IF(F12=0, "no war", INDEX('Match History'!A:A, MAX(MAX(('Match History'!B:B=B12)*(ROW('Match History'!B:B))),MAX(('Match History'!F:F=B12)*(ROW('Match History'!F:F))),MAX(('Match History'!J:J=B12)*(ROW('Match History'!J:J))),MAX(('Match History'!N:N=B12)*(ROW('Match History'!N:N))),MAX(('Match History'!R:R=B12)*(ROW('Match History'!R:R))),MAX(('Match History'!V:V=B12)*(ROW('Match History'!V:V))),MAX(('Match History'!Z:Z=B12)*(ROW('Match History'!Z:Z))),MAX(('Match History'!AD:AD=B12)*(ROW('Match History'!AD:AD))),MAX(('Match History'!AH:AH=B12)*(ROW('Match History'!AH:AH))),MAX(('Match History'!AL:AL=B12)*(ROW('Match History'!AL:AL))),MAX(('Match History'!AV:AV=B12)*(ROW('Match History'!AV:AV))),MAX(('Match History'!AZ:AZ=B12)*(ROW('Match History'!AZ:AZ))),MAX(('Match History'!BD:BD=B12)*(ROW('Match History'!BD:BD))),MAX(('Match History'!BH:BH=B12)*(ROW('Match History'!BH:BH)))), 1))
</f>
        <v>44926.02962</v>
      </c>
      <c r="O12" s="20">
        <f>(SUMIF('Match History'!B:B,B12,'Match History'!D:D)+SUMIF('Match History'!F:F,B12,'Match History'!H:H)+SUMIF('Match History'!J:J,B12,'Match History'!L:L)+SUMIF('Match History'!N:N,B12,'Match History'!P:P)+SUMIF('Match History'!R:R,B12,'Match History'!T:T)+SUMIF('Match History'!V:V,B12,'Match History'!X:X)+SUMIF('Match History'!Z:Z,B12,'Match History'!AB:AB)+SUMIF('Match History'!AD:AD,B12,'Match History'!AF:AF)+SUMIF('Match History'!AH:AH,B12,'Match History'!AJ:AJ)+SUMIF('Match History'!AL:AL,B12,'Match History'!AN:AN)+SUMIF('Match History'!AV:AV,B12,'Match History'!AX:AX)+SUMIF('Match History'!AZ:AZ,B12,'Match History'!BB:BB)+SUMIF('Match History'!BD:BD,B12,'Match History'!BF:BF)+SUMIF('Match History'!BH:BH,B12,'Match History'!BJ:BJ))/IF(F12=0,1,F12)</f>
        <v>23.80434783</v>
      </c>
      <c r="P12" s="21">
        <f t="array" ref="P12">MAX(MAX(IF('Match History'!B:B=B12,'Match History'!D:D,)),MAX(IF('Match History'!F:F=B12,'Match History'!H:H,)),MAX(IF('Match History'!J:J=B12,'Match History'!L:L,)),MAX(IF('Match History'!N:N=B12,'Match History'!P:P,)),MAX(IF('Match History'!R:R=B12,'Match History'!T:T,)),MAX(IF('Match History'!V:V=B12,'Match History'!X:X,)),MAX(IF('Match History'!Z:Z=B12,'Match History'!AB:AB,)),MAX(IF('Match History'!AD:AD=B12,'Match History'!AF:AF,)),MAX(IF('Match History'!AH:AH=B12,'Match History'!AJ:AJ,)),MAX(IF('Match History'!AL:AL=B12,'Match History'!AN:AN,)),MAX(IF('Match History'!AV:AV=B12,'Match History'!AX:AX,)),MAX(IF('Match History'!AZ:AZ=B12,'Match History'!BB:BB,)),MAX(IF('Match History'!BD:BD=B12,'Match History'!BF:BF,)),MAX(IF('Match History'!BH:BH=B12,'Match History'!BJ:BJ,)))</f>
        <v>44</v>
      </c>
      <c r="Q12" s="21">
        <f t="array" ref="Q12">IF(F12=0,0,MIN(MIN(IF('Match History'!B:B=B12,'Match History'!D:D,999)),MIN(IF('Match History'!F:F=B12,'Match History'!H:H,999)),MIN(IF('Match History'!J:J=B12,'Match History'!L:L,999)),MIN(IF('Match History'!N:N=B12,'Match History'!P:P,999)),MIN(IF('Match History'!R:R=B12,'Match History'!T:T,999)),MIN(IF('Match History'!V:V=B12,'Match History'!X:X,999)),MIN(IF('Match History'!Z:Z=B12,'Match History'!AB:AB,999)),MIN(IF('Match History'!AD:AD=B12,'Match History'!AF:AF,999)),MIN(IF('Match History'!AH:AH=B12,'Match History'!AJ:AJ,999)),MIN(IF('Match History'!AL:AL=B12,'Match History'!AN:AN,999)),MIN(IF('Match History'!AV:AV=B12,'Match History'!AX:AX,999)),MIN(IF('Match History'!AZ:AZ=B12,'Match History'!BB:BB,999)),MIN(IF('Match History'!BD:BD=B12,'Match History'!BF:BF,999)),MIN(IF('Match History'!BH:BH=B12,'Match History'!BJ:BJ,999))))</f>
        <v>8</v>
      </c>
      <c r="R12" s="21">
        <f>COUNTIFS('Match History'!B:B,B12,'Match History'!A:A,"&gt;="&amp;(DATE(2022,12,31)-30))+COUNTIFS('Match History'!F:F,B12,'Match History'!A:A,"&gt;="&amp;(DATE(2022,12,31)-30))+COUNTIFS('Match History'!J:J,B12,'Match History'!A:A,"&gt;="&amp;(DATE(2022,12,31)-30))+COUNTIFS('Match History'!N:N,B12,'Match History'!A:A,"&gt;="&amp;(DATE(2022,12,31)-30))+COUNTIFS('Match History'!R:R,B12,'Match History'!A:A,"&gt;="&amp;(DATE(2022,12,31)-30))+COUNTIFS('Match History'!V:V,B12,'Match History'!A:A,"&gt;="&amp;(DATE(2022,12,31)-30))+COUNTIFS('Match History'!Z:Z,B12,'Match History'!A:A,"&gt;="&amp;(DATE(2022,12,31)-30))+COUNTIFS('Match History'!AD:AD,B12,'Match History'!A:A,"&gt;="&amp;(DATE(2022,12,31)-30))+COUNTIFS('Match History'!AH:AH,B12,'Match History'!A:A,"&gt;="&amp;(DATE(2022,12,31)-30))+COUNTIFS('Match History'!AL:AL,B12,'Match History'!A:A,"&gt;="&amp;(DATE(2022,12,31)-30))+COUNTIFS('Match History'!AV:AV,B12,'Match History'!A:A,"&gt;="&amp;(DATE(2022,12,31)-30))+COUNTIFS('Match History'!AZ:AZ,B12,'Match History'!A:A,"&gt;="&amp;(DATE(2022,12,31)-30))+COUNTIFS('Match History'!BD:BD,B12,'Match History'!A:A,"&gt;="&amp;(DATE(2022,12,31)-30))+COUNTIFS('Match History'!BH:BH,B12,'Match History'!A:A,"&gt;="&amp;(DATE(2022,12,31)-30))
</f>
        <v>15</v>
      </c>
      <c r="S12" s="21">
        <f>COUNTIFS('Match History'!B:B,B12,'Match History'!A:A,"&gt;="&amp;(DATE(2022,12,31)-365))+COUNTIFS('Match History'!F:F,B12,'Match History'!A:A,"&gt;="&amp;(DATE(2022,12,31)-365))+COUNTIFS('Match History'!J:J,B12,'Match History'!A:A,"&gt;="&amp;(DATE(2022,12,31)-365))+COUNTIFS('Match History'!N:N,B12,'Match History'!A:A,"&gt;="&amp;(DATE(2022,12,31)-365))+COUNTIFS('Match History'!R:R,B12,'Match History'!A:A,"&gt;="&amp;(DATE(2022,12,31)-365))+COUNTIFS('Match History'!V:V,B12,'Match History'!A:A,"&gt;="&amp;(DATE(2022,12,31)-365))+COUNTIFS('Match History'!Z:Z,B12,'Match History'!A:A,"&gt;="&amp;(DATE(2022,12,31)-365))+COUNTIFS('Match History'!AD:AD,B12,'Match History'!A:A,"&gt;="&amp;(DATE(2022,12,31)-365))+COUNTIFS('Match History'!AH:AH,B12,'Match History'!A:A,"&gt;="&amp;(DATE(2022,12,31)-365))+COUNTIFS('Match History'!AL:AL,B12,'Match History'!A:A,"&gt;="&amp;(DATE(2022,12,31)-365))+COUNTIFS('Match History'!AV:AV,B12,'Match History'!A:A,"&gt;="&amp;(DATE(2022,12,31)-365))+COUNTIFS('Match History'!AZ:AZ,B12,'Match History'!A:A,"&gt;="&amp;(DATE(2022,12,31)-365))+COUNTIFS('Match History'!BD:BD,B12,'Match History'!A:A,"&gt;="&amp;(DATE(2022,12,31)-365))+COUNTIFS('Match History'!BH:BH,B12,'Match History'!A:A,"&gt;="&amp;(DATE(2022,12,31)-365))
</f>
        <v>46</v>
      </c>
      <c r="T12" s="20">
        <f t="array" ref="T12">IF(F12=0,0,INDEX('Match History'!B:BK,MATCH(N12,'Match History'!A:A,0),MATCH(B12,INDEX('Match History'!B:BK,MATCH(N12,'Match History'!A:A,0),0),0)+3)-INDEX('Match History'!B:BK,MATCH(N12,'Match History'!A:A,0),MATCH(B12,INDEX('Match History'!B:BK,MATCH(N12,'Match History'!A:A,0),0),0)+1))</f>
        <v>-9.356494736</v>
      </c>
      <c r="U12" s="21">
        <f>COUNTIFS('Match History'!B:B,B12,'Match History'!A:A,"&gt;="&amp;(DATE(2022,12,31)-92))
+COUNTIFS('Match History'!F:F,B12,'Match History'!A:A,"&gt;="&amp;(DATE(2022,12,31)-92))
+COUNTIFS('Match History'!J:J,B12,'Match History'!A:A,"&gt;="&amp;(DATE(2022,12,31)-92))
+COUNTIFS('Match History'!N:N,B12,'Match History'!A:A,"&gt;="&amp;(DATE(2022,12,31)-92))
+COUNTIFS('Match History'!R:R,B12,'Match History'!A:A,"&gt;="&amp;(DATE(2022,12,31)-92))
+COUNTIFS('Match History'!V:V,B12,'Match History'!A:A,"&gt;="&amp;(DATE(2022,12,31)-92))
+COUNTIFS('Match History'!Z:Z,B12,'Match History'!A:A,"&gt;="&amp;(DATE(2022,12,31)-92))
+COUNTIFS('Match History'!AD:AD,B12,'Match History'!A:A,"&gt;="&amp;(DATE(2022,12,31)-92))
+COUNTIFS('Match History'!AH:AH,B12,'Match History'!A:A,"&gt;="&amp;(DATE(2022,12,31)-92))
+COUNTIFS('Match History'!AL:AL,B12,'Match History'!A:A,"&gt;="&amp;(DATE(2022,12,31)-92))
+COUNTIFS('Match History'!AV:AV,B12,'Match History'!A:A,"&gt;="&amp;(DATE(2022,12,31)-92))
+COUNTIFS('Match History'!AZ:AZ,B12,'Match History'!A:A,"&gt;="&amp;(DATE(2022,12,31)-92))
+COUNTIFS('Match History'!BD:BD,B12,'Match History'!A:A,"&gt;="&amp;(DATE(2022,12,31)-92))
+COUNTIFS('Match History'!BH:BH,B12,'Match History'!A:A,"&gt;="&amp;(DATE(2022,12,31)-92))
</f>
        <v>23</v>
      </c>
      <c r="V12" s="20">
        <f>IF(U12=0,0,(SUMIFS('Match History'!D:D,'Match History'!A:A,"&gt;=10/01/2022 00:00",'Match History'!A:A,"&lt;=12/31/2022 23:59",'Match History'!B:B,B12)
+SUMIFS('Match History'!H:H,'Match History'!A:A,"&gt;=10/01/2022 00:00",'Match History'!A:A,"&lt;=12/31/2022 23:59",'Match History'!F:F,B12)
+SUMIFS('Match History'!L:L,'Match History'!A:A,"&gt;=10/01/2022 00:00",'Match History'!A:A,"&lt;=12/31/2022 23:59",'Match History'!J:J,B12)
+SUMIFS('Match History'!P:P,'Match History'!A:A,"&gt;=10/01/2022 00:00",'Match History'!A:A,"&lt;=12/31/2022 23:59",'Match History'!N:N,B12)
+SUMIFS('Match History'!T:T,'Match History'!A:A,"&gt;=10/01/2022 00:00",'Match History'!A:A,"&lt;=12/31/2022 23:59",'Match History'!R:R,B12)
+SUMIFS('Match History'!X:X,'Match History'!A:A,"&gt;=10/01/2022 00:00",'Match History'!A:A,"&lt;=12/31/2022 23:59",'Match History'!V:V,B12)
+SUMIFS('Match History'!AB:AB,'Match History'!A:A,"&gt;=10/01/2022 00:00",'Match History'!A:A,"&lt;=12/31/2022 23:59",'Match History'!Z:Z,B12)
+SUMIFS('Match History'!AF:AF,'Match History'!A:A,"&gt;=10/01/2022 00:00",'Match History'!A:A,"&lt;=12/31/2022 23:59",'Match History'!AD:AD,B12)
+SUMIFS('Match History'!AJ:AJ,'Match History'!A:A,"&gt;=10/01/2022 00:00",'Match History'!A:A,"&lt;=12/31/2022 23:59",'Match History'!AH:AH,B12)
+SUMIFS('Match History'!AN:AN,'Match History'!A:A,"&gt;=10/01/2022 00:00",'Match History'!A:A,"&lt;=12/31/2022 23:59",'Match History'!AL:AL,B12)
+SUMIFS('Match History'!AX:AX,'Match History'!A:A,"&gt;=10/01/2022 00:00",'Match History'!A:A,"&lt;=12/31/2022 23:59",'Match History'!AV:AV,B12)+SUMIFS('Match History'!BB:BB,'Match History'!A:A,"&gt;=10/01/2022 00:00",'Match History'!A:A,"&lt;=12/31/2022 23:59",'Match History'!AZ:AZ,B12)
+SUMIFS('Match History'!BF:BF,'Match History'!A:A,"&gt;=10/01/2022 00:00",'Match History'!A:A,"&lt;=12/31/2022 23:59",'Match History'!BD:BD,B12)
+SUMIFS('Match History'!BJ:BJ,'Match History'!A:A,"&gt;=10/01/2022 00:00",'Match History'!A:A,"&lt;=12/31/2022 23:59",'Match History'!BH:BH,B12))/U12)
</f>
        <v>21.73913043</v>
      </c>
    </row>
    <row r="13">
      <c r="A13" s="44" t="s">
        <v>57</v>
      </c>
      <c r="B13" s="44" t="s">
        <v>58</v>
      </c>
      <c r="C13" s="45">
        <v>1019.3</v>
      </c>
      <c r="D13" s="49">
        <f>NORMDIST(C13,1000,STDEV(Players!$C$2:$C$39)+0.00001,TRUE)</f>
        <v>0.5923896474</v>
      </c>
      <c r="E13" s="46"/>
      <c r="F13" s="47">
        <f>COUNTIF('Match History'!A:BK,"l4mer")</f>
        <v>105</v>
      </c>
      <c r="G13" s="58" t="s">
        <v>24</v>
      </c>
      <c r="H13" s="43" t="s">
        <v>59</v>
      </c>
      <c r="I13" s="43" t="s">
        <v>29</v>
      </c>
      <c r="L13" s="18" t="b">
        <f t="shared" si="2"/>
        <v>1</v>
      </c>
      <c r="M13" s="17" t="b">
        <v>0</v>
      </c>
      <c r="N13" s="19">
        <f t="array" ref="N13">IF(F13=0, "no war", INDEX('Match History'!A:A, MAX(MAX(('Match History'!B:B=B13)*(ROW('Match History'!B:B))),MAX(('Match History'!F:F=B13)*(ROW('Match History'!F:F))),MAX(('Match History'!J:J=B13)*(ROW('Match History'!J:J))),MAX(('Match History'!N:N=B13)*(ROW('Match History'!N:N))),MAX(('Match History'!R:R=B13)*(ROW('Match History'!R:R))),MAX(('Match History'!V:V=B13)*(ROW('Match History'!V:V))),MAX(('Match History'!Z:Z=B13)*(ROW('Match History'!Z:Z))),MAX(('Match History'!AD:AD=B13)*(ROW('Match History'!AD:AD))),MAX(('Match History'!AH:AH=B13)*(ROW('Match History'!AH:AH))),MAX(('Match History'!AL:AL=B13)*(ROW('Match History'!AL:AL))),MAX(('Match History'!AV:AV=B13)*(ROW('Match History'!AV:AV))),MAX(('Match History'!AZ:AZ=B13)*(ROW('Match History'!AZ:AZ))),MAX(('Match History'!BD:BD=B13)*(ROW('Match History'!BD:BD))),MAX(('Match History'!BH:BH=B13)*(ROW('Match History'!BH:BH)))), 1))
</f>
        <v>44924.99817</v>
      </c>
      <c r="O13" s="20">
        <f>(SUMIF('Match History'!B:B,B13,'Match History'!D:D)+SUMIF('Match History'!F:F,B13,'Match History'!H:H)+SUMIF('Match History'!J:J,B13,'Match History'!L:L)+SUMIF('Match History'!N:N,B13,'Match History'!P:P)+SUMIF('Match History'!R:R,B13,'Match History'!T:T)+SUMIF('Match History'!V:V,B13,'Match History'!X:X)+SUMIF('Match History'!Z:Z,B13,'Match History'!AB:AB)+SUMIF('Match History'!AD:AD,B13,'Match History'!AF:AF)+SUMIF('Match History'!AH:AH,B13,'Match History'!AJ:AJ)+SUMIF('Match History'!AL:AL,B13,'Match History'!AN:AN)+SUMIF('Match History'!AV:AV,B13,'Match History'!AX:AX)+SUMIF('Match History'!AZ:AZ,B13,'Match History'!BB:BB)+SUMIF('Match History'!BD:BD,B13,'Match History'!BF:BF)+SUMIF('Match History'!BH:BH,B13,'Match History'!BJ:BJ))/IF(F13=0,1,F13)</f>
        <v>18.02857143</v>
      </c>
      <c r="P13" s="21">
        <f t="array" ref="P13">MAX(MAX(IF('Match History'!B:B=B13,'Match History'!D:D,)),MAX(IF('Match History'!F:F=B13,'Match History'!H:H,)),MAX(IF('Match History'!J:J=B13,'Match History'!L:L,)),MAX(IF('Match History'!N:N=B13,'Match History'!P:P,)),MAX(IF('Match History'!R:R=B13,'Match History'!T:T,)),MAX(IF('Match History'!V:V=B13,'Match History'!X:X,)),MAX(IF('Match History'!Z:Z=B13,'Match History'!AB:AB,)),MAX(IF('Match History'!AD:AD=B13,'Match History'!AF:AF,)),MAX(IF('Match History'!AH:AH=B13,'Match History'!AJ:AJ,)),MAX(IF('Match History'!AL:AL=B13,'Match History'!AN:AN,)),MAX(IF('Match History'!AV:AV=B13,'Match History'!AX:AX,)),MAX(IF('Match History'!AZ:AZ=B13,'Match History'!BB:BB,)),MAX(IF('Match History'!BD:BD=B13,'Match History'!BF:BF,)),MAX(IF('Match History'!BH:BH=B13,'Match History'!BJ:BJ,)))</f>
        <v>39</v>
      </c>
      <c r="Q13" s="21">
        <f t="array" ref="Q13">IF(F13=0,0,MIN(MIN(IF('Match History'!B:B=B13,'Match History'!D:D,999)),MIN(IF('Match History'!F:F=B13,'Match History'!H:H,999)),MIN(IF('Match History'!J:J=B13,'Match History'!L:L,999)),MIN(IF('Match History'!N:N=B13,'Match History'!P:P,999)),MIN(IF('Match History'!R:R=B13,'Match History'!T:T,999)),MIN(IF('Match History'!V:V=B13,'Match History'!X:X,999)),MIN(IF('Match History'!Z:Z=B13,'Match History'!AB:AB,999)),MIN(IF('Match History'!AD:AD=B13,'Match History'!AF:AF,999)),MIN(IF('Match History'!AH:AH=B13,'Match History'!AJ:AJ,999)),MIN(IF('Match History'!AL:AL=B13,'Match History'!AN:AN,999)),MIN(IF('Match History'!AV:AV=B13,'Match History'!AX:AX,999)),MIN(IF('Match History'!AZ:AZ=B13,'Match History'!BB:BB,999)),MIN(IF('Match History'!BD:BD=B13,'Match History'!BF:BF,999)),MIN(IF('Match History'!BH:BH=B13,'Match History'!BJ:BJ,999))))</f>
        <v>4</v>
      </c>
      <c r="R13" s="21">
        <f>COUNTIFS('Match History'!B:B,B13,'Match History'!A:A,"&gt;="&amp;(DATE(2022,12,31)-30))+COUNTIFS('Match History'!F:F,B13,'Match History'!A:A,"&gt;="&amp;(DATE(2022,12,31)-30))+COUNTIFS('Match History'!J:J,B13,'Match History'!A:A,"&gt;="&amp;(DATE(2022,12,31)-30))+COUNTIFS('Match History'!N:N,B13,'Match History'!A:A,"&gt;="&amp;(DATE(2022,12,31)-30))+COUNTIFS('Match History'!R:R,B13,'Match History'!A:A,"&gt;="&amp;(DATE(2022,12,31)-30))+COUNTIFS('Match History'!V:V,B13,'Match History'!A:A,"&gt;="&amp;(DATE(2022,12,31)-30))+COUNTIFS('Match History'!Z:Z,B13,'Match History'!A:A,"&gt;="&amp;(DATE(2022,12,31)-30))+COUNTIFS('Match History'!AD:AD,B13,'Match History'!A:A,"&gt;="&amp;(DATE(2022,12,31)-30))+COUNTIFS('Match History'!AH:AH,B13,'Match History'!A:A,"&gt;="&amp;(DATE(2022,12,31)-30))+COUNTIFS('Match History'!AL:AL,B13,'Match History'!A:A,"&gt;="&amp;(DATE(2022,12,31)-30))+COUNTIFS('Match History'!AV:AV,B13,'Match History'!A:A,"&gt;="&amp;(DATE(2022,12,31)-30))+COUNTIFS('Match History'!AZ:AZ,B13,'Match History'!A:A,"&gt;="&amp;(DATE(2022,12,31)-30))+COUNTIFS('Match History'!BD:BD,B13,'Match History'!A:A,"&gt;="&amp;(DATE(2022,12,31)-30))+COUNTIFS('Match History'!BH:BH,B13,'Match History'!A:A,"&gt;="&amp;(DATE(2022,12,31)-30))
</f>
        <v>7</v>
      </c>
      <c r="S13" s="21">
        <f>COUNTIFS('Match History'!B:B,B13,'Match History'!A:A,"&gt;="&amp;(DATE(2022,12,31)-365))+COUNTIFS('Match History'!F:F,B13,'Match History'!A:A,"&gt;="&amp;(DATE(2022,12,31)-365))+COUNTIFS('Match History'!J:J,B13,'Match History'!A:A,"&gt;="&amp;(DATE(2022,12,31)-365))+COUNTIFS('Match History'!N:N,B13,'Match History'!A:A,"&gt;="&amp;(DATE(2022,12,31)-365))+COUNTIFS('Match History'!R:R,B13,'Match History'!A:A,"&gt;="&amp;(DATE(2022,12,31)-365))+COUNTIFS('Match History'!V:V,B13,'Match History'!A:A,"&gt;="&amp;(DATE(2022,12,31)-365))+COUNTIFS('Match History'!Z:Z,B13,'Match History'!A:A,"&gt;="&amp;(DATE(2022,12,31)-365))+COUNTIFS('Match History'!AD:AD,B13,'Match History'!A:A,"&gt;="&amp;(DATE(2022,12,31)-365))+COUNTIFS('Match History'!AH:AH,B13,'Match History'!A:A,"&gt;="&amp;(DATE(2022,12,31)-365))+COUNTIFS('Match History'!AL:AL,B13,'Match History'!A:A,"&gt;="&amp;(DATE(2022,12,31)-365))+COUNTIFS('Match History'!AV:AV,B13,'Match History'!A:A,"&gt;="&amp;(DATE(2022,12,31)-365))+COUNTIFS('Match History'!AZ:AZ,B13,'Match History'!A:A,"&gt;="&amp;(DATE(2022,12,31)-365))+COUNTIFS('Match History'!BD:BD,B13,'Match History'!A:A,"&gt;="&amp;(DATE(2022,12,31)-365))+COUNTIFS('Match History'!BH:BH,B13,'Match History'!A:A,"&gt;="&amp;(DATE(2022,12,31)-365))
</f>
        <v>19</v>
      </c>
      <c r="T13" s="20">
        <f t="array" ref="T13">IF(F13=0,0,INDEX('Match History'!B:BK,MATCH(N13,'Match History'!A:A,0),MATCH(B13,INDEX('Match History'!B:BK,MATCH(N13,'Match History'!A:A,0),0),0)+3)-INDEX('Match History'!B:BK,MATCH(N13,'Match History'!A:A,0),MATCH(B13,INDEX('Match History'!B:BK,MATCH(N13,'Match History'!A:A,0),0),0)+1))</f>
        <v>-2.01</v>
      </c>
      <c r="U13" s="21">
        <f>COUNTIFS('Match History'!B:B,B13,'Match History'!A:A,"&gt;="&amp;(DATE(2022,12,31)-92))
+COUNTIFS('Match History'!F:F,B13,'Match History'!A:A,"&gt;="&amp;(DATE(2022,12,31)-92))
+COUNTIFS('Match History'!J:J,B13,'Match History'!A:A,"&gt;="&amp;(DATE(2022,12,31)-92))
+COUNTIFS('Match History'!N:N,B13,'Match History'!A:A,"&gt;="&amp;(DATE(2022,12,31)-92))
+COUNTIFS('Match History'!R:R,B13,'Match History'!A:A,"&gt;="&amp;(DATE(2022,12,31)-92))
+COUNTIFS('Match History'!V:V,B13,'Match History'!A:A,"&gt;="&amp;(DATE(2022,12,31)-92))
+COUNTIFS('Match History'!Z:Z,B13,'Match History'!A:A,"&gt;="&amp;(DATE(2022,12,31)-92))
+COUNTIFS('Match History'!AD:AD,B13,'Match History'!A:A,"&gt;="&amp;(DATE(2022,12,31)-92))
+COUNTIFS('Match History'!AH:AH,B13,'Match History'!A:A,"&gt;="&amp;(DATE(2022,12,31)-92))
+COUNTIFS('Match History'!AL:AL,B13,'Match History'!A:A,"&gt;="&amp;(DATE(2022,12,31)-92))
+COUNTIFS('Match History'!AV:AV,B13,'Match History'!A:A,"&gt;="&amp;(DATE(2022,12,31)-92))
+COUNTIFS('Match History'!AZ:AZ,B13,'Match History'!A:A,"&gt;="&amp;(DATE(2022,12,31)-92))
+COUNTIFS('Match History'!BD:BD,B13,'Match History'!A:A,"&gt;="&amp;(DATE(2022,12,31)-92))
+COUNTIFS('Match History'!BH:BH,B13,'Match History'!A:A,"&gt;="&amp;(DATE(2022,12,31)-92))
</f>
        <v>7</v>
      </c>
      <c r="V13" s="20">
        <f>IF(U13=0,0,(SUMIFS('Match History'!D:D,'Match History'!A:A,"&gt;=10/01/2022 00:00",'Match History'!A:A,"&lt;=12/31/2022 23:59",'Match History'!B:B,B13)
+SUMIFS('Match History'!H:H,'Match History'!A:A,"&gt;=10/01/2022 00:00",'Match History'!A:A,"&lt;=12/31/2022 23:59",'Match History'!F:F,B13)
+SUMIFS('Match History'!L:L,'Match History'!A:A,"&gt;=10/01/2022 00:00",'Match History'!A:A,"&lt;=12/31/2022 23:59",'Match History'!J:J,B13)
+SUMIFS('Match History'!P:P,'Match History'!A:A,"&gt;=10/01/2022 00:00",'Match History'!A:A,"&lt;=12/31/2022 23:59",'Match History'!N:N,B13)
+SUMIFS('Match History'!T:T,'Match History'!A:A,"&gt;=10/01/2022 00:00",'Match History'!A:A,"&lt;=12/31/2022 23:59",'Match History'!R:R,B13)
+SUMIFS('Match History'!X:X,'Match History'!A:A,"&gt;=10/01/2022 00:00",'Match History'!A:A,"&lt;=12/31/2022 23:59",'Match History'!V:V,B13)
+SUMIFS('Match History'!AB:AB,'Match History'!A:A,"&gt;=10/01/2022 00:00",'Match History'!A:A,"&lt;=12/31/2022 23:59",'Match History'!Z:Z,B13)
+SUMIFS('Match History'!AF:AF,'Match History'!A:A,"&gt;=10/01/2022 00:00",'Match History'!A:A,"&lt;=12/31/2022 23:59",'Match History'!AD:AD,B13)
+SUMIFS('Match History'!AJ:AJ,'Match History'!A:A,"&gt;=10/01/2022 00:00",'Match History'!A:A,"&lt;=12/31/2022 23:59",'Match History'!AH:AH,B13)
+SUMIFS('Match History'!AN:AN,'Match History'!A:A,"&gt;=10/01/2022 00:00",'Match History'!A:A,"&lt;=12/31/2022 23:59",'Match History'!AL:AL,B13)
+SUMIFS('Match History'!AX:AX,'Match History'!A:A,"&gt;=10/01/2022 00:00",'Match History'!A:A,"&lt;=12/31/2022 23:59",'Match History'!AV:AV,B13)+SUMIFS('Match History'!BB:BB,'Match History'!A:A,"&gt;=10/01/2022 00:00",'Match History'!A:A,"&lt;=12/31/2022 23:59",'Match History'!AZ:AZ,B13)
+SUMIFS('Match History'!BF:BF,'Match History'!A:A,"&gt;=10/01/2022 00:00",'Match History'!A:A,"&lt;=12/31/2022 23:59",'Match History'!BD:BD,B13)
+SUMIFS('Match History'!BJ:BJ,'Match History'!A:A,"&gt;=10/01/2022 00:00",'Match History'!A:A,"&lt;=12/31/2022 23:59",'Match History'!BH:BH,B13))/U13)
</f>
        <v>20.85714286</v>
      </c>
    </row>
    <row r="14" ht="21.0" customHeight="1">
      <c r="A14" s="59" t="s">
        <v>60</v>
      </c>
      <c r="B14" s="59" t="s">
        <v>61</v>
      </c>
      <c r="C14" s="39">
        <v>1016.6046235884136</v>
      </c>
      <c r="D14" s="13">
        <f>NORMDIST(C14,1000,STDEV(Players!$C$2:$C$39)+0.00001,TRUE)</f>
        <v>0.5796738116</v>
      </c>
      <c r="E14" s="14"/>
      <c r="F14" s="47">
        <f>COUNTIF('Match History'!A:BK,"wariat")</f>
        <v>546</v>
      </c>
      <c r="G14" s="60" t="s">
        <v>24</v>
      </c>
      <c r="H14" s="29" t="s">
        <v>32</v>
      </c>
      <c r="I14" s="29" t="s">
        <v>29</v>
      </c>
      <c r="J14" s="38"/>
      <c r="K14" s="43">
        <v>2.0</v>
      </c>
      <c r="L14" s="18" t="b">
        <f t="shared" si="2"/>
        <v>1</v>
      </c>
      <c r="M14" s="17" t="b">
        <v>0</v>
      </c>
      <c r="N14" s="19">
        <f t="array" ref="N14">IF(F14=0, "no war", INDEX('Match History'!A:A, MAX(MAX(('Match History'!B:B=B14)*(ROW('Match History'!B:B))),MAX(('Match History'!F:F=B14)*(ROW('Match History'!F:F))),MAX(('Match History'!J:J=B14)*(ROW('Match History'!J:J))),MAX(('Match History'!N:N=B14)*(ROW('Match History'!N:N))),MAX(('Match History'!R:R=B14)*(ROW('Match History'!R:R))),MAX(('Match History'!V:V=B14)*(ROW('Match History'!V:V))),MAX(('Match History'!Z:Z=B14)*(ROW('Match History'!Z:Z))),MAX(('Match History'!AD:AD=B14)*(ROW('Match History'!AD:AD))),MAX(('Match History'!AH:AH=B14)*(ROW('Match History'!AH:AH))),MAX(('Match History'!AL:AL=B14)*(ROW('Match History'!AL:AL))),MAX(('Match History'!AV:AV=B14)*(ROW('Match History'!AV:AV))),MAX(('Match History'!AZ:AZ=B14)*(ROW('Match History'!AZ:AZ))),MAX(('Match History'!BD:BD=B14)*(ROW('Match History'!BD:BD))),MAX(('Match History'!BH:BH=B14)*(ROW('Match History'!BH:BH)))), 1))
</f>
        <v>44919.11375</v>
      </c>
      <c r="O14" s="20">
        <f>(SUMIF('Match History'!B:B,B14,'Match History'!D:D)+SUMIF('Match History'!F:F,B14,'Match History'!H:H)+SUMIF('Match History'!J:J,B14,'Match History'!L:L)+SUMIF('Match History'!N:N,B14,'Match History'!P:P)+SUMIF('Match History'!R:R,B14,'Match History'!T:T)+SUMIF('Match History'!V:V,B14,'Match History'!X:X)+SUMIF('Match History'!Z:Z,B14,'Match History'!AB:AB)+SUMIF('Match History'!AD:AD,B14,'Match History'!AF:AF)+SUMIF('Match History'!AH:AH,B14,'Match History'!AJ:AJ)+SUMIF('Match History'!AL:AL,B14,'Match History'!AN:AN)+SUMIF('Match History'!AV:AV,B14,'Match History'!AX:AX)+SUMIF('Match History'!AZ:AZ,B14,'Match History'!BB:BB)+SUMIF('Match History'!BD:BD,B14,'Match History'!BF:BF)+SUMIF('Match History'!BH:BH,B14,'Match History'!BJ:BJ))/IF(F14=0,1,F14)</f>
        <v>20.24542125</v>
      </c>
      <c r="P14" s="21">
        <f t="array" ref="P14">MAX(MAX(IF('Match History'!B:B=B14,'Match History'!D:D,)),MAX(IF('Match History'!F:F=B14,'Match History'!H:H,)),MAX(IF('Match History'!J:J=B14,'Match History'!L:L,)),MAX(IF('Match History'!N:N=B14,'Match History'!P:P,)),MAX(IF('Match History'!R:R=B14,'Match History'!T:T,)),MAX(IF('Match History'!V:V=B14,'Match History'!X:X,)),MAX(IF('Match History'!Z:Z=B14,'Match History'!AB:AB,)),MAX(IF('Match History'!AD:AD=B14,'Match History'!AF:AF,)),MAX(IF('Match History'!AH:AH=B14,'Match History'!AJ:AJ,)),MAX(IF('Match History'!AL:AL=B14,'Match History'!AN:AN,)),MAX(IF('Match History'!AV:AV=B14,'Match History'!AX:AX,)),MAX(IF('Match History'!AZ:AZ=B14,'Match History'!BB:BB,)),MAX(IF('Match History'!BD:BD=B14,'Match History'!BF:BF,)),MAX(IF('Match History'!BH:BH=B14,'Match History'!BJ:BJ,)))</f>
        <v>60</v>
      </c>
      <c r="Q14" s="21">
        <f t="array" ref="Q14">IF(F14=0,0,MIN(MIN(IF('Match History'!B:B=B14,'Match History'!D:D,999)),MIN(IF('Match History'!F:F=B14,'Match History'!H:H,999)),MIN(IF('Match History'!J:J=B14,'Match History'!L:L,999)),MIN(IF('Match History'!N:N=B14,'Match History'!P:P,999)),MIN(IF('Match History'!R:R=B14,'Match History'!T:T,999)),MIN(IF('Match History'!V:V=B14,'Match History'!X:X,999)),MIN(IF('Match History'!Z:Z=B14,'Match History'!AB:AB,999)),MIN(IF('Match History'!AD:AD=B14,'Match History'!AF:AF,999)),MIN(IF('Match History'!AH:AH=B14,'Match History'!AJ:AJ,999)),MIN(IF('Match History'!AL:AL=B14,'Match History'!AN:AN,999)),MIN(IF('Match History'!AV:AV=B14,'Match History'!AX:AX,999)),MIN(IF('Match History'!AZ:AZ=B14,'Match History'!BB:BB,999)),MIN(IF('Match History'!BD:BD=B14,'Match History'!BF:BF,999)),MIN(IF('Match History'!BH:BH=B14,'Match History'!BJ:BJ,999))))</f>
        <v>2</v>
      </c>
      <c r="R14" s="21">
        <f>COUNTIFS('Match History'!B:B,B14,'Match History'!A:A,"&gt;="&amp;(DATE(2022,12,31)-30))+COUNTIFS('Match History'!F:F,B14,'Match History'!A:A,"&gt;="&amp;(DATE(2022,12,31)-30))+COUNTIFS('Match History'!J:J,B14,'Match History'!A:A,"&gt;="&amp;(DATE(2022,12,31)-30))+COUNTIFS('Match History'!N:N,B14,'Match History'!A:A,"&gt;="&amp;(DATE(2022,12,31)-30))+COUNTIFS('Match History'!R:R,B14,'Match History'!A:A,"&gt;="&amp;(DATE(2022,12,31)-30))+COUNTIFS('Match History'!V:V,B14,'Match History'!A:A,"&gt;="&amp;(DATE(2022,12,31)-30))+COUNTIFS('Match History'!Z:Z,B14,'Match History'!A:A,"&gt;="&amp;(DATE(2022,12,31)-30))+COUNTIFS('Match History'!AD:AD,B14,'Match History'!A:A,"&gt;="&amp;(DATE(2022,12,31)-30))+COUNTIFS('Match History'!AH:AH,B14,'Match History'!A:A,"&gt;="&amp;(DATE(2022,12,31)-30))+COUNTIFS('Match History'!AL:AL,B14,'Match History'!A:A,"&gt;="&amp;(DATE(2022,12,31)-30))+COUNTIFS('Match History'!AV:AV,B14,'Match History'!A:A,"&gt;="&amp;(DATE(2022,12,31)-30))+COUNTIFS('Match History'!AZ:AZ,B14,'Match History'!A:A,"&gt;="&amp;(DATE(2022,12,31)-30))+COUNTIFS('Match History'!BD:BD,B14,'Match History'!A:A,"&gt;="&amp;(DATE(2022,12,31)-30))+COUNTIFS('Match History'!BH:BH,B14,'Match History'!A:A,"&gt;="&amp;(DATE(2022,12,31)-30))
</f>
        <v>25</v>
      </c>
      <c r="S14" s="21">
        <f>COUNTIFS('Match History'!B:B,B14,'Match History'!A:A,"&gt;="&amp;(DATE(2022,12,31)-365))+COUNTIFS('Match History'!F:F,B14,'Match History'!A:A,"&gt;="&amp;(DATE(2022,12,31)-365))+COUNTIFS('Match History'!J:J,B14,'Match History'!A:A,"&gt;="&amp;(DATE(2022,12,31)-365))+COUNTIFS('Match History'!N:N,B14,'Match History'!A:A,"&gt;="&amp;(DATE(2022,12,31)-365))+COUNTIFS('Match History'!R:R,B14,'Match History'!A:A,"&gt;="&amp;(DATE(2022,12,31)-365))+COUNTIFS('Match History'!V:V,B14,'Match History'!A:A,"&gt;="&amp;(DATE(2022,12,31)-365))+COUNTIFS('Match History'!Z:Z,B14,'Match History'!A:A,"&gt;="&amp;(DATE(2022,12,31)-365))+COUNTIFS('Match History'!AD:AD,B14,'Match History'!A:A,"&gt;="&amp;(DATE(2022,12,31)-365))+COUNTIFS('Match History'!AH:AH,B14,'Match History'!A:A,"&gt;="&amp;(DATE(2022,12,31)-365))+COUNTIFS('Match History'!AL:AL,B14,'Match History'!A:A,"&gt;="&amp;(DATE(2022,12,31)-365))+COUNTIFS('Match History'!AV:AV,B14,'Match History'!A:A,"&gt;="&amp;(DATE(2022,12,31)-365))+COUNTIFS('Match History'!AZ:AZ,B14,'Match History'!A:A,"&gt;="&amp;(DATE(2022,12,31)-365))+COUNTIFS('Match History'!BD:BD,B14,'Match History'!A:A,"&gt;="&amp;(DATE(2022,12,31)-365))+COUNTIFS('Match History'!BH:BH,B14,'Match History'!A:A,"&gt;="&amp;(DATE(2022,12,31)-365))
</f>
        <v>184</v>
      </c>
      <c r="T14" s="20">
        <f t="array" ref="T14">IF(F14=0,0,INDEX('Match History'!B:BK,MATCH(N14,'Match History'!A:A,0),MATCH(B14,INDEX('Match History'!B:BK,MATCH(N14,'Match History'!A:A,0),0),0)+3)-INDEX('Match History'!B:BK,MATCH(N14,'Match History'!A:A,0),MATCH(B14,INDEX('Match History'!B:BK,MATCH(N14,'Match History'!A:A,0),0),0)+1))</f>
        <v>-3.647507496</v>
      </c>
      <c r="U14" s="21">
        <f>COUNTIFS('Match History'!B:B,B14,'Match History'!A:A,"&gt;="&amp;(DATE(2022,12,31)-92))
+COUNTIFS('Match History'!F:F,B14,'Match History'!A:A,"&gt;="&amp;(DATE(2022,12,31)-92))
+COUNTIFS('Match History'!J:J,B14,'Match History'!A:A,"&gt;="&amp;(DATE(2022,12,31)-92))
+COUNTIFS('Match History'!N:N,B14,'Match History'!A:A,"&gt;="&amp;(DATE(2022,12,31)-92))
+COUNTIFS('Match History'!R:R,B14,'Match History'!A:A,"&gt;="&amp;(DATE(2022,12,31)-92))
+COUNTIFS('Match History'!V:V,B14,'Match History'!A:A,"&gt;="&amp;(DATE(2022,12,31)-92))
+COUNTIFS('Match History'!Z:Z,B14,'Match History'!A:A,"&gt;="&amp;(DATE(2022,12,31)-92))
+COUNTIFS('Match History'!AD:AD,B14,'Match History'!A:A,"&gt;="&amp;(DATE(2022,12,31)-92))
+COUNTIFS('Match History'!AH:AH,B14,'Match History'!A:A,"&gt;="&amp;(DATE(2022,12,31)-92))
+COUNTIFS('Match History'!AL:AL,B14,'Match History'!A:A,"&gt;="&amp;(DATE(2022,12,31)-92))
+COUNTIFS('Match History'!AV:AV,B14,'Match History'!A:A,"&gt;="&amp;(DATE(2022,12,31)-92))
+COUNTIFS('Match History'!AZ:AZ,B14,'Match History'!A:A,"&gt;="&amp;(DATE(2022,12,31)-92))
+COUNTIFS('Match History'!BD:BD,B14,'Match History'!A:A,"&gt;="&amp;(DATE(2022,12,31)-92))
+COUNTIFS('Match History'!BH:BH,B14,'Match History'!A:A,"&gt;="&amp;(DATE(2022,12,31)-92))
</f>
        <v>39</v>
      </c>
      <c r="V14" s="20">
        <f>IF(U14=0,0,(SUMIFS('Match History'!D:D,'Match History'!A:A,"&gt;=10/01/2022 00:00",'Match History'!A:A,"&lt;=12/31/2022 23:59",'Match History'!B:B,B14)
+SUMIFS('Match History'!H:H,'Match History'!A:A,"&gt;=10/01/2022 00:00",'Match History'!A:A,"&lt;=12/31/2022 23:59",'Match History'!F:F,B14)
+SUMIFS('Match History'!L:L,'Match History'!A:A,"&gt;=10/01/2022 00:00",'Match History'!A:A,"&lt;=12/31/2022 23:59",'Match History'!J:J,B14)
+SUMIFS('Match History'!P:P,'Match History'!A:A,"&gt;=10/01/2022 00:00",'Match History'!A:A,"&lt;=12/31/2022 23:59",'Match History'!N:N,B14)
+SUMIFS('Match History'!T:T,'Match History'!A:A,"&gt;=10/01/2022 00:00",'Match History'!A:A,"&lt;=12/31/2022 23:59",'Match History'!R:R,B14)
+SUMIFS('Match History'!X:X,'Match History'!A:A,"&gt;=10/01/2022 00:00",'Match History'!A:A,"&lt;=12/31/2022 23:59",'Match History'!V:V,B14)
+SUMIFS('Match History'!AB:AB,'Match History'!A:A,"&gt;=10/01/2022 00:00",'Match History'!A:A,"&lt;=12/31/2022 23:59",'Match History'!Z:Z,B14)
+SUMIFS('Match History'!AF:AF,'Match History'!A:A,"&gt;=10/01/2022 00:00",'Match History'!A:A,"&lt;=12/31/2022 23:59",'Match History'!AD:AD,B14)
+SUMIFS('Match History'!AJ:AJ,'Match History'!A:A,"&gt;=10/01/2022 00:00",'Match History'!A:A,"&lt;=12/31/2022 23:59",'Match History'!AH:AH,B14)
+SUMIFS('Match History'!AN:AN,'Match History'!A:A,"&gt;=10/01/2022 00:00",'Match History'!A:A,"&lt;=12/31/2022 23:59",'Match History'!AL:AL,B14)
+SUMIFS('Match History'!AX:AX,'Match History'!A:A,"&gt;=10/01/2022 00:00",'Match History'!A:A,"&lt;=12/31/2022 23:59",'Match History'!AV:AV,B14)+SUMIFS('Match History'!BB:BB,'Match History'!A:A,"&gt;=10/01/2022 00:00",'Match History'!A:A,"&lt;=12/31/2022 23:59",'Match History'!AZ:AZ,B14)
+SUMIFS('Match History'!BF:BF,'Match History'!A:A,"&gt;=10/01/2022 00:00",'Match History'!A:A,"&lt;=12/31/2022 23:59",'Match History'!BD:BD,B14)
+SUMIFS('Match History'!BJ:BJ,'Match History'!A:A,"&gt;=10/01/2022 00:00",'Match History'!A:A,"&lt;=12/31/2022 23:59",'Match History'!BH:BH,B14))/U14)
</f>
        <v>20.15384615</v>
      </c>
    </row>
    <row r="15" ht="21.0" customHeight="1">
      <c r="A15" s="59" t="s">
        <v>62</v>
      </c>
      <c r="B15" s="59" t="s">
        <v>63</v>
      </c>
      <c r="C15" s="39">
        <v>1008.3514751159204</v>
      </c>
      <c r="D15" s="13">
        <f>NORMDIST(C15,1000,STDEV(Players!$C$2:$C$39)+0.00001,TRUE)</f>
        <v>0.5402743205</v>
      </c>
      <c r="E15" s="14"/>
      <c r="F15" s="47">
        <f>COUNTIF('Match History'!A:BK,"Sir-hagi")</f>
        <v>3</v>
      </c>
      <c r="G15" s="60" t="s">
        <v>41</v>
      </c>
      <c r="H15" s="29"/>
      <c r="I15" s="29"/>
      <c r="J15" s="38"/>
      <c r="K15" s="43"/>
      <c r="L15" s="18" t="b">
        <f t="shared" si="2"/>
        <v>1</v>
      </c>
      <c r="M15" s="17" t="b">
        <v>0</v>
      </c>
      <c r="N15" s="19">
        <f t="array" ref="N15">IF(F15=0, "no war", INDEX('Match History'!A:A, MAX(MAX(('Match History'!B:B=B15)*(ROW('Match History'!B:B))),MAX(('Match History'!F:F=B15)*(ROW('Match History'!F:F))),MAX(('Match History'!J:J=B15)*(ROW('Match History'!J:J))),MAX(('Match History'!N:N=B15)*(ROW('Match History'!N:N))),MAX(('Match History'!R:R=B15)*(ROW('Match History'!R:R))),MAX(('Match History'!V:V=B15)*(ROW('Match History'!V:V))),MAX(('Match History'!Z:Z=B15)*(ROW('Match History'!Z:Z))),MAX(('Match History'!AD:AD=B15)*(ROW('Match History'!AD:AD))),MAX(('Match History'!AH:AH=B15)*(ROW('Match History'!AH:AH))),MAX(('Match History'!AL:AL=B15)*(ROW('Match History'!AL:AL))),MAX(('Match History'!AV:AV=B15)*(ROW('Match History'!AV:AV))),MAX(('Match History'!AZ:AZ=B15)*(ROW('Match History'!AZ:AZ))),MAX(('Match History'!BD:BD=B15)*(ROW('Match History'!BD:BD))),MAX(('Match History'!BH:BH=B15)*(ROW('Match History'!BH:BH)))), 1))
</f>
        <v>44926.82537</v>
      </c>
      <c r="O15" s="20">
        <f>(SUMIF('Match History'!B:B,B15,'Match History'!D:D)+SUMIF('Match History'!F:F,B15,'Match History'!H:H)+SUMIF('Match History'!J:J,B15,'Match History'!L:L)+SUMIF('Match History'!N:N,B15,'Match History'!P:P)+SUMIF('Match History'!R:R,B15,'Match History'!T:T)+SUMIF('Match History'!V:V,B15,'Match History'!X:X)+SUMIF('Match History'!Z:Z,B15,'Match History'!AB:AB)+SUMIF('Match History'!AD:AD,B15,'Match History'!AF:AF)+SUMIF('Match History'!AH:AH,B15,'Match History'!AJ:AJ)+SUMIF('Match History'!AL:AL,B15,'Match History'!AN:AN)+SUMIF('Match History'!AV:AV,B15,'Match History'!AX:AX)+SUMIF('Match History'!AZ:AZ,B15,'Match History'!BB:BB)+SUMIF('Match History'!BD:BD,B15,'Match History'!BF:BF)+SUMIF('Match History'!BH:BH,B15,'Match History'!BJ:BJ))/IF(F15=0,1,F15)</f>
        <v>19.33333333</v>
      </c>
      <c r="P15" s="21">
        <f t="array" ref="P15">MAX(MAX(IF('Match History'!B:B=B15,'Match History'!D:D,)),MAX(IF('Match History'!F:F=B15,'Match History'!H:H,)),MAX(IF('Match History'!J:J=B15,'Match History'!L:L,)),MAX(IF('Match History'!N:N=B15,'Match History'!P:P,)),MAX(IF('Match History'!R:R=B15,'Match History'!T:T,)),MAX(IF('Match History'!V:V=B15,'Match History'!X:X,)),MAX(IF('Match History'!Z:Z=B15,'Match History'!AB:AB,)),MAX(IF('Match History'!AD:AD=B15,'Match History'!AF:AF,)),MAX(IF('Match History'!AH:AH=B15,'Match History'!AJ:AJ,)),MAX(IF('Match History'!AL:AL=B15,'Match History'!AN:AN,)),MAX(IF('Match History'!AV:AV=B15,'Match History'!AX:AX,)),MAX(IF('Match History'!AZ:AZ=B15,'Match History'!BB:BB,)),MAX(IF('Match History'!BD:BD=B15,'Match History'!BF:BF,)),MAX(IF('Match History'!BH:BH=B15,'Match History'!BJ:BJ,)))</f>
        <v>24</v>
      </c>
      <c r="Q15" s="21">
        <f t="array" ref="Q15">IF(F15=0,0,MIN(MIN(IF('Match History'!B:B=B15,'Match History'!D:D,999)),MIN(IF('Match History'!F:F=B15,'Match History'!H:H,999)),MIN(IF('Match History'!J:J=B15,'Match History'!L:L,999)),MIN(IF('Match History'!N:N=B15,'Match History'!P:P,999)),MIN(IF('Match History'!R:R=B15,'Match History'!T:T,999)),MIN(IF('Match History'!V:V=B15,'Match History'!X:X,999)),MIN(IF('Match History'!Z:Z=B15,'Match History'!AB:AB,999)),MIN(IF('Match History'!AD:AD=B15,'Match History'!AF:AF,999)),MIN(IF('Match History'!AH:AH=B15,'Match History'!AJ:AJ,999)),MIN(IF('Match History'!AL:AL=B15,'Match History'!AN:AN,999)),MIN(IF('Match History'!AV:AV=B15,'Match History'!AX:AX,999)),MIN(IF('Match History'!AZ:AZ=B15,'Match History'!BB:BB,999)),MIN(IF('Match History'!BD:BD=B15,'Match History'!BF:BF,999)),MIN(IF('Match History'!BH:BH=B15,'Match History'!BJ:BJ,999))))</f>
        <v>17</v>
      </c>
      <c r="R15" s="21">
        <f>COUNTIFS('Match History'!B:B,B15,'Match History'!A:A,"&gt;="&amp;(DATE(2022,12,31)-30))+COUNTIFS('Match History'!F:F,B15,'Match History'!A:A,"&gt;="&amp;(DATE(2022,12,31)-30))+COUNTIFS('Match History'!J:J,B15,'Match History'!A:A,"&gt;="&amp;(DATE(2022,12,31)-30))+COUNTIFS('Match History'!N:N,B15,'Match History'!A:A,"&gt;="&amp;(DATE(2022,12,31)-30))+COUNTIFS('Match History'!R:R,B15,'Match History'!A:A,"&gt;="&amp;(DATE(2022,12,31)-30))+COUNTIFS('Match History'!V:V,B15,'Match History'!A:A,"&gt;="&amp;(DATE(2022,12,31)-30))+COUNTIFS('Match History'!Z:Z,B15,'Match History'!A:A,"&gt;="&amp;(DATE(2022,12,31)-30))+COUNTIFS('Match History'!AD:AD,B15,'Match History'!A:A,"&gt;="&amp;(DATE(2022,12,31)-30))+COUNTIFS('Match History'!AH:AH,B15,'Match History'!A:A,"&gt;="&amp;(DATE(2022,12,31)-30))+COUNTIFS('Match History'!AL:AL,B15,'Match History'!A:A,"&gt;="&amp;(DATE(2022,12,31)-30))+COUNTIFS('Match History'!AV:AV,B15,'Match History'!A:A,"&gt;="&amp;(DATE(2022,12,31)-30))+COUNTIFS('Match History'!AZ:AZ,B15,'Match History'!A:A,"&gt;="&amp;(DATE(2022,12,31)-30))+COUNTIFS('Match History'!BD:BD,B15,'Match History'!A:A,"&gt;="&amp;(DATE(2022,12,31)-30))+COUNTIFS('Match History'!BH:BH,B15,'Match History'!A:A,"&gt;="&amp;(DATE(2022,12,31)-30))
</f>
        <v>3</v>
      </c>
      <c r="S15" s="21">
        <f>COUNTIFS('Match History'!B:B,B15,'Match History'!A:A,"&gt;="&amp;(DATE(2022,12,31)-365))+COUNTIFS('Match History'!F:F,B15,'Match History'!A:A,"&gt;="&amp;(DATE(2022,12,31)-365))+COUNTIFS('Match History'!J:J,B15,'Match History'!A:A,"&gt;="&amp;(DATE(2022,12,31)-365))+COUNTIFS('Match History'!N:N,B15,'Match History'!A:A,"&gt;="&amp;(DATE(2022,12,31)-365))+COUNTIFS('Match History'!R:R,B15,'Match History'!A:A,"&gt;="&amp;(DATE(2022,12,31)-365))+COUNTIFS('Match History'!V:V,B15,'Match History'!A:A,"&gt;="&amp;(DATE(2022,12,31)-365))+COUNTIFS('Match History'!Z:Z,B15,'Match History'!A:A,"&gt;="&amp;(DATE(2022,12,31)-365))+COUNTIFS('Match History'!AD:AD,B15,'Match History'!A:A,"&gt;="&amp;(DATE(2022,12,31)-365))+COUNTIFS('Match History'!AH:AH,B15,'Match History'!A:A,"&gt;="&amp;(DATE(2022,12,31)-365))+COUNTIFS('Match History'!AL:AL,B15,'Match History'!A:A,"&gt;="&amp;(DATE(2022,12,31)-365))+COUNTIFS('Match History'!AV:AV,B15,'Match History'!A:A,"&gt;="&amp;(DATE(2022,12,31)-365))+COUNTIFS('Match History'!AZ:AZ,B15,'Match History'!A:A,"&gt;="&amp;(DATE(2022,12,31)-365))+COUNTIFS('Match History'!BD:BD,B15,'Match History'!A:A,"&gt;="&amp;(DATE(2022,12,31)-365))+COUNTIFS('Match History'!BH:BH,B15,'Match History'!A:A,"&gt;="&amp;(DATE(2022,12,31)-365))
</f>
        <v>3</v>
      </c>
      <c r="T15" s="20">
        <f t="array" ref="T15">IF(F15=0,0,INDEX('Match History'!B:BK,MATCH(N15,'Match History'!A:A,0),MATCH(B15,INDEX('Match History'!B:BK,MATCH(N15,'Match History'!A:A,0),0),0)+3)-INDEX('Match History'!B:BK,MATCH(N15,'Match History'!A:A,0),MATCH(B15,INDEX('Match History'!B:BK,MATCH(N15,'Match History'!A:A,0),0),0)+1))</f>
        <v>0.7044684783</v>
      </c>
      <c r="U15" s="21">
        <f>COUNTIFS('Match History'!B:B,B15,'Match History'!A:A,"&gt;="&amp;(DATE(2022,12,31)-92))
+COUNTIFS('Match History'!F:F,B15,'Match History'!A:A,"&gt;="&amp;(DATE(2022,12,31)-92))
+COUNTIFS('Match History'!J:J,B15,'Match History'!A:A,"&gt;="&amp;(DATE(2022,12,31)-92))
+COUNTIFS('Match History'!N:N,B15,'Match History'!A:A,"&gt;="&amp;(DATE(2022,12,31)-92))
+COUNTIFS('Match History'!R:R,B15,'Match History'!A:A,"&gt;="&amp;(DATE(2022,12,31)-92))
+COUNTIFS('Match History'!V:V,B15,'Match History'!A:A,"&gt;="&amp;(DATE(2022,12,31)-92))
+COUNTIFS('Match History'!Z:Z,B15,'Match History'!A:A,"&gt;="&amp;(DATE(2022,12,31)-92))
+COUNTIFS('Match History'!AD:AD,B15,'Match History'!A:A,"&gt;="&amp;(DATE(2022,12,31)-92))
+COUNTIFS('Match History'!AH:AH,B15,'Match History'!A:A,"&gt;="&amp;(DATE(2022,12,31)-92))
+COUNTIFS('Match History'!AL:AL,B15,'Match History'!A:A,"&gt;="&amp;(DATE(2022,12,31)-92))
+COUNTIFS('Match History'!AV:AV,B15,'Match History'!A:A,"&gt;="&amp;(DATE(2022,12,31)-92))
+COUNTIFS('Match History'!AZ:AZ,B15,'Match History'!A:A,"&gt;="&amp;(DATE(2022,12,31)-92))
+COUNTIFS('Match History'!BD:BD,B15,'Match History'!A:A,"&gt;="&amp;(DATE(2022,12,31)-92))
+COUNTIFS('Match History'!BH:BH,B15,'Match History'!A:A,"&gt;="&amp;(DATE(2022,12,31)-92))
</f>
        <v>3</v>
      </c>
      <c r="V15" s="20">
        <f>IF(U15=0,0,(SUMIFS('Match History'!D:D,'Match History'!A:A,"&gt;=10/01/2022 00:00",'Match History'!A:A,"&lt;=12/31/2022 23:59",'Match History'!B:B,B15)
+SUMIFS('Match History'!H:H,'Match History'!A:A,"&gt;=10/01/2022 00:00",'Match History'!A:A,"&lt;=12/31/2022 23:59",'Match History'!F:F,B15)
+SUMIFS('Match History'!L:L,'Match History'!A:A,"&gt;=10/01/2022 00:00",'Match History'!A:A,"&lt;=12/31/2022 23:59",'Match History'!J:J,B15)
+SUMIFS('Match History'!P:P,'Match History'!A:A,"&gt;=10/01/2022 00:00",'Match History'!A:A,"&lt;=12/31/2022 23:59",'Match History'!N:N,B15)
+SUMIFS('Match History'!T:T,'Match History'!A:A,"&gt;=10/01/2022 00:00",'Match History'!A:A,"&lt;=12/31/2022 23:59",'Match History'!R:R,B15)
+SUMIFS('Match History'!X:X,'Match History'!A:A,"&gt;=10/01/2022 00:00",'Match History'!A:A,"&lt;=12/31/2022 23:59",'Match History'!V:V,B15)
+SUMIFS('Match History'!AB:AB,'Match History'!A:A,"&gt;=10/01/2022 00:00",'Match History'!A:A,"&lt;=12/31/2022 23:59",'Match History'!Z:Z,B15)
+SUMIFS('Match History'!AF:AF,'Match History'!A:A,"&gt;=10/01/2022 00:00",'Match History'!A:A,"&lt;=12/31/2022 23:59",'Match History'!AD:AD,B15)
+SUMIFS('Match History'!AJ:AJ,'Match History'!A:A,"&gt;=10/01/2022 00:00",'Match History'!A:A,"&lt;=12/31/2022 23:59",'Match History'!AH:AH,B15)
+SUMIFS('Match History'!AN:AN,'Match History'!A:A,"&gt;=10/01/2022 00:00",'Match History'!A:A,"&lt;=12/31/2022 23:59",'Match History'!AL:AL,B15)
+SUMIFS('Match History'!AX:AX,'Match History'!A:A,"&gt;=10/01/2022 00:00",'Match History'!A:A,"&lt;=12/31/2022 23:59",'Match History'!AV:AV,B15)+SUMIFS('Match History'!BB:BB,'Match History'!A:A,"&gt;=10/01/2022 00:00",'Match History'!A:A,"&lt;=12/31/2022 23:59",'Match History'!AZ:AZ,B15)
+SUMIFS('Match History'!BF:BF,'Match History'!A:A,"&gt;=10/01/2022 00:00",'Match History'!A:A,"&lt;=12/31/2022 23:59",'Match History'!BD:BD,B15)
+SUMIFS('Match History'!BJ:BJ,'Match History'!A:A,"&gt;=10/01/2022 00:00",'Match History'!A:A,"&lt;=12/31/2022 23:59",'Match History'!BH:BH,B15))/U15)
</f>
        <v>19.33333333</v>
      </c>
    </row>
    <row r="16" ht="21.0" customHeight="1">
      <c r="A16" s="61" t="s">
        <v>64</v>
      </c>
      <c r="B16" s="61" t="s">
        <v>64</v>
      </c>
      <c r="C16" s="62">
        <v>1004.7248990151213</v>
      </c>
      <c r="D16" s="63">
        <f>NORMDIST(C16,1000,STDEV(Players!$C$2:$C$38)+0.00001,TRUE)</f>
        <v>0.5229014606</v>
      </c>
      <c r="E16" s="64"/>
      <c r="F16" s="65">
        <v>1.0</v>
      </c>
      <c r="G16" s="66" t="s">
        <v>41</v>
      </c>
      <c r="H16" s="64"/>
      <c r="I16" s="64"/>
      <c r="J16" s="67"/>
      <c r="K16" s="68"/>
      <c r="L16" s="18" t="b">
        <f t="shared" si="2"/>
        <v>1</v>
      </c>
      <c r="M16" s="17" t="b">
        <v>0</v>
      </c>
      <c r="N16" s="19">
        <f t="array" ref="N16">IF(F16=0, "no war", INDEX('Match History'!A:A, MAX(MAX(('Match History'!B:B=B16)*(ROW('Match History'!B:B))),MAX(('Match History'!F:F=B16)*(ROW('Match History'!F:F))),MAX(('Match History'!J:J=B16)*(ROW('Match History'!J:J))),MAX(('Match History'!N:N=B16)*(ROW('Match History'!N:N))),MAX(('Match History'!R:R=B16)*(ROW('Match History'!R:R))),MAX(('Match History'!V:V=B16)*(ROW('Match History'!V:V))),MAX(('Match History'!Z:Z=B16)*(ROW('Match History'!Z:Z))),MAX(('Match History'!AD:AD=B16)*(ROW('Match History'!AD:AD))),MAX(('Match History'!AH:AH=B16)*(ROW('Match History'!AH:AH))),MAX(('Match History'!AL:AL=B16)*(ROW('Match History'!AL:AL))),MAX(('Match History'!AV:AV=B16)*(ROW('Match History'!AV:AV))),MAX(('Match History'!AZ:AZ=B16)*(ROW('Match History'!AZ:AZ))),MAX(('Match History'!BD:BD=B16)*(ROW('Match History'!BD:BD))),MAX(('Match History'!BH:BH=B16)*(ROW('Match History'!BH:BH)))), 1))
</f>
        <v>44926.82537</v>
      </c>
      <c r="O16" s="20">
        <f>(SUMIF('Match History'!B:B,B16,'Match History'!D:D)+SUMIF('Match History'!F:F,B16,'Match History'!H:H)+SUMIF('Match History'!J:J,B16,'Match History'!L:L)+SUMIF('Match History'!N:N,B16,'Match History'!P:P)+SUMIF('Match History'!R:R,B16,'Match History'!T:T)+SUMIF('Match History'!V:V,B16,'Match History'!X:X)+SUMIF('Match History'!Z:Z,B16,'Match History'!AB:AB)+SUMIF('Match History'!AD:AD,B16,'Match History'!AF:AF)+SUMIF('Match History'!AH:AH,B16,'Match History'!AJ:AJ)+SUMIF('Match History'!AL:AL,B16,'Match History'!AN:AN)+SUMIF('Match History'!AV:AV,B16,'Match History'!AX:AX)+SUMIF('Match History'!AZ:AZ,B16,'Match History'!BB:BB)+SUMIF('Match History'!BD:BD,B16,'Match History'!BF:BF)+SUMIF('Match History'!BH:BH,B16,'Match History'!BJ:BJ))/IF(F16=0,1,F16)</f>
        <v>47</v>
      </c>
      <c r="P16" s="21">
        <f t="array" ref="P16">MAX(MAX(IF('Match History'!B:B=B16,'Match History'!D:D,)),MAX(IF('Match History'!F:F=B16,'Match History'!H:H,)),MAX(IF('Match History'!J:J=B16,'Match History'!L:L,)),MAX(IF('Match History'!N:N=B16,'Match History'!P:P,)),MAX(IF('Match History'!R:R=B16,'Match History'!T:T,)),MAX(IF('Match History'!V:V=B16,'Match History'!X:X,)),MAX(IF('Match History'!Z:Z=B16,'Match History'!AB:AB,)),MAX(IF('Match History'!AD:AD=B16,'Match History'!AF:AF,)),MAX(IF('Match History'!AH:AH=B16,'Match History'!AJ:AJ,)),MAX(IF('Match History'!AL:AL=B16,'Match History'!AN:AN,)),MAX(IF('Match History'!AV:AV=B16,'Match History'!AX:AX,)),MAX(IF('Match History'!AZ:AZ=B16,'Match History'!BB:BB,)),MAX(IF('Match History'!BD:BD=B16,'Match History'!BF:BF,)),MAX(IF('Match History'!BH:BH=B16,'Match History'!BJ:BJ,)))</f>
        <v>27</v>
      </c>
      <c r="Q16" s="21">
        <f t="array" ref="Q16">IF(F16=0,0,MIN(MIN(IF('Match History'!B:B=B16,'Match History'!D:D,999)),MIN(IF('Match History'!F:F=B16,'Match History'!H:H,999)),MIN(IF('Match History'!J:J=B16,'Match History'!L:L,999)),MIN(IF('Match History'!N:N=B16,'Match History'!P:P,999)),MIN(IF('Match History'!R:R=B16,'Match History'!T:T,999)),MIN(IF('Match History'!V:V=B16,'Match History'!X:X,999)),MIN(IF('Match History'!Z:Z=B16,'Match History'!AB:AB,999)),MIN(IF('Match History'!AD:AD=B16,'Match History'!AF:AF,999)),MIN(IF('Match History'!AH:AH=B16,'Match History'!AJ:AJ,999)),MIN(IF('Match History'!AL:AL=B16,'Match History'!AN:AN,999)),MIN(IF('Match History'!AV:AV=B16,'Match History'!AX:AX,999)),MIN(IF('Match History'!AZ:AZ=B16,'Match History'!BB:BB,999)),MIN(IF('Match History'!BD:BD=B16,'Match History'!BF:BF,999)),MIN(IF('Match History'!BH:BH=B16,'Match History'!BJ:BJ,999))))</f>
        <v>20</v>
      </c>
      <c r="R16" s="21">
        <f>COUNTIFS('Match History'!B:B,B16,'Match History'!A:A,"&gt;="&amp;(DATE(2022,12,31)-30))+COUNTIFS('Match History'!F:F,B16,'Match History'!A:A,"&gt;="&amp;(DATE(2022,12,31)-30))+COUNTIFS('Match History'!J:J,B16,'Match History'!A:A,"&gt;="&amp;(DATE(2022,12,31)-30))+COUNTIFS('Match History'!N:N,B16,'Match History'!A:A,"&gt;="&amp;(DATE(2022,12,31)-30))+COUNTIFS('Match History'!R:R,B16,'Match History'!A:A,"&gt;="&amp;(DATE(2022,12,31)-30))+COUNTIFS('Match History'!V:V,B16,'Match History'!A:A,"&gt;="&amp;(DATE(2022,12,31)-30))+COUNTIFS('Match History'!Z:Z,B16,'Match History'!A:A,"&gt;="&amp;(DATE(2022,12,31)-30))+COUNTIFS('Match History'!AD:AD,B16,'Match History'!A:A,"&gt;="&amp;(DATE(2022,12,31)-30))+COUNTIFS('Match History'!AH:AH,B16,'Match History'!A:A,"&gt;="&amp;(DATE(2022,12,31)-30))+COUNTIFS('Match History'!AL:AL,B16,'Match History'!A:A,"&gt;="&amp;(DATE(2022,12,31)-30))+COUNTIFS('Match History'!AV:AV,B16,'Match History'!A:A,"&gt;="&amp;(DATE(2022,12,31)-30))+COUNTIFS('Match History'!AZ:AZ,B16,'Match History'!A:A,"&gt;="&amp;(DATE(2022,12,31)-30))+COUNTIFS('Match History'!BD:BD,B16,'Match History'!A:A,"&gt;="&amp;(DATE(2022,12,31)-30))+COUNTIFS('Match History'!BH:BH,B16,'Match History'!A:A,"&gt;="&amp;(DATE(2022,12,31)-30))
</f>
        <v>2</v>
      </c>
      <c r="S16" s="21">
        <f>COUNTIFS('Match History'!B:B,B16,'Match History'!A:A,"&gt;="&amp;(DATE(2022,12,31)-365))+COUNTIFS('Match History'!F:F,B16,'Match History'!A:A,"&gt;="&amp;(DATE(2022,12,31)-365))+COUNTIFS('Match History'!J:J,B16,'Match History'!A:A,"&gt;="&amp;(DATE(2022,12,31)-365))+COUNTIFS('Match History'!N:N,B16,'Match History'!A:A,"&gt;="&amp;(DATE(2022,12,31)-365))+COUNTIFS('Match History'!R:R,B16,'Match History'!A:A,"&gt;="&amp;(DATE(2022,12,31)-365))+COUNTIFS('Match History'!V:V,B16,'Match History'!A:A,"&gt;="&amp;(DATE(2022,12,31)-365))+COUNTIFS('Match History'!Z:Z,B16,'Match History'!A:A,"&gt;="&amp;(DATE(2022,12,31)-365))+COUNTIFS('Match History'!AD:AD,B16,'Match History'!A:A,"&gt;="&amp;(DATE(2022,12,31)-365))+COUNTIFS('Match History'!AH:AH,B16,'Match History'!A:A,"&gt;="&amp;(DATE(2022,12,31)-365))+COUNTIFS('Match History'!AL:AL,B16,'Match History'!A:A,"&gt;="&amp;(DATE(2022,12,31)-365))+COUNTIFS('Match History'!AV:AV,B16,'Match History'!A:A,"&gt;="&amp;(DATE(2022,12,31)-365))+COUNTIFS('Match History'!AZ:AZ,B16,'Match History'!A:A,"&gt;="&amp;(DATE(2022,12,31)-365))+COUNTIFS('Match History'!BD:BD,B16,'Match History'!A:A,"&gt;="&amp;(DATE(2022,12,31)-365))+COUNTIFS('Match History'!BH:BH,B16,'Match History'!A:A,"&gt;="&amp;(DATE(2022,12,31)-365))
</f>
        <v>2</v>
      </c>
      <c r="T16" s="20">
        <f t="array" ref="T16">IF(F16=0,0,INDEX('Match History'!B:BK,MATCH(N16,'Match History'!A:A,0),MATCH(B16,INDEX('Match History'!B:BK,MATCH(N16,'Match History'!A:A,0),0),0)+3)-INDEX('Match History'!B:BK,MATCH(N16,'Match History'!A:A,0),MATCH(B16,INDEX('Match History'!B:BK,MATCH(N16,'Match History'!A:A,0),0),0)+1))</f>
        <v>0.9572162906</v>
      </c>
      <c r="U16" s="21">
        <f>COUNTIFS('Match History'!B:B,B16,'Match History'!A:A,"&gt;="&amp;(DATE(2022,12,31)-92))
+COUNTIFS('Match History'!F:F,B16,'Match History'!A:A,"&gt;="&amp;(DATE(2022,12,31)-92))
+COUNTIFS('Match History'!J:J,B16,'Match History'!A:A,"&gt;="&amp;(DATE(2022,12,31)-92))
+COUNTIFS('Match History'!N:N,B16,'Match History'!A:A,"&gt;="&amp;(DATE(2022,12,31)-92))
+COUNTIFS('Match History'!R:R,B16,'Match History'!A:A,"&gt;="&amp;(DATE(2022,12,31)-92))
+COUNTIFS('Match History'!V:V,B16,'Match History'!A:A,"&gt;="&amp;(DATE(2022,12,31)-92))
+COUNTIFS('Match History'!Z:Z,B16,'Match History'!A:A,"&gt;="&amp;(DATE(2022,12,31)-92))
+COUNTIFS('Match History'!AD:AD,B16,'Match History'!A:A,"&gt;="&amp;(DATE(2022,12,31)-92))
+COUNTIFS('Match History'!AH:AH,B16,'Match History'!A:A,"&gt;="&amp;(DATE(2022,12,31)-92))
+COUNTIFS('Match History'!AL:AL,B16,'Match History'!A:A,"&gt;="&amp;(DATE(2022,12,31)-92))
+COUNTIFS('Match History'!AV:AV,B16,'Match History'!A:A,"&gt;="&amp;(DATE(2022,12,31)-92))
+COUNTIFS('Match History'!AZ:AZ,B16,'Match History'!A:A,"&gt;="&amp;(DATE(2022,12,31)-92))
+COUNTIFS('Match History'!BD:BD,B16,'Match History'!A:A,"&gt;="&amp;(DATE(2022,12,31)-92))
+COUNTIFS('Match History'!BH:BH,B16,'Match History'!A:A,"&gt;="&amp;(DATE(2022,12,31)-92))
</f>
        <v>2</v>
      </c>
      <c r="V16" s="20">
        <f>IF(U16=0,0,(SUMIFS('Match History'!D:D,'Match History'!A:A,"&gt;=10/01/2022 00:00",'Match History'!A:A,"&lt;=12/31/2022 23:59",'Match History'!B:B,B16)
+SUMIFS('Match History'!H:H,'Match History'!A:A,"&gt;=10/01/2022 00:00",'Match History'!A:A,"&lt;=12/31/2022 23:59",'Match History'!F:F,B16)
+SUMIFS('Match History'!L:L,'Match History'!A:A,"&gt;=10/01/2022 00:00",'Match History'!A:A,"&lt;=12/31/2022 23:59",'Match History'!J:J,B16)
+SUMIFS('Match History'!P:P,'Match History'!A:A,"&gt;=10/01/2022 00:00",'Match History'!A:A,"&lt;=12/31/2022 23:59",'Match History'!N:N,B16)
+SUMIFS('Match History'!T:T,'Match History'!A:A,"&gt;=10/01/2022 00:00",'Match History'!A:A,"&lt;=12/31/2022 23:59",'Match History'!R:R,B16)
+SUMIFS('Match History'!X:X,'Match History'!A:A,"&gt;=10/01/2022 00:00",'Match History'!A:A,"&lt;=12/31/2022 23:59",'Match History'!V:V,B16)
+SUMIFS('Match History'!AB:AB,'Match History'!A:A,"&gt;=10/01/2022 00:00",'Match History'!A:A,"&lt;=12/31/2022 23:59",'Match History'!Z:Z,B16)
+SUMIFS('Match History'!AF:AF,'Match History'!A:A,"&gt;=10/01/2022 00:00",'Match History'!A:A,"&lt;=12/31/2022 23:59",'Match History'!AD:AD,B16)
+SUMIFS('Match History'!AJ:AJ,'Match History'!A:A,"&gt;=10/01/2022 00:00",'Match History'!A:A,"&lt;=12/31/2022 23:59",'Match History'!AH:AH,B16)
+SUMIFS('Match History'!AN:AN,'Match History'!A:A,"&gt;=10/01/2022 00:00",'Match History'!A:A,"&lt;=12/31/2022 23:59",'Match History'!AL:AL,B16)
+SUMIFS('Match History'!AX:AX,'Match History'!A:A,"&gt;=10/01/2022 00:00",'Match History'!A:A,"&lt;=12/31/2022 23:59",'Match History'!AV:AV,B16)+SUMIFS('Match History'!BB:BB,'Match History'!A:A,"&gt;=10/01/2022 00:00",'Match History'!A:A,"&lt;=12/31/2022 23:59",'Match History'!AZ:AZ,B16)
+SUMIFS('Match History'!BF:BF,'Match History'!A:A,"&gt;=10/01/2022 00:00",'Match History'!A:A,"&lt;=12/31/2022 23:59",'Match History'!BD:BD,B16)
+SUMIFS('Match History'!BJ:BJ,'Match History'!A:A,"&gt;=10/01/2022 00:00",'Match History'!A:A,"&lt;=12/31/2022 23:59",'Match History'!BH:BH,B16))/U16)
</f>
        <v>23.5</v>
      </c>
    </row>
    <row r="17" ht="21.0" customHeight="1">
      <c r="A17" s="61" t="s">
        <v>65</v>
      </c>
      <c r="B17" s="61" t="s">
        <v>65</v>
      </c>
      <c r="C17" s="62">
        <v>998.8017752622025</v>
      </c>
      <c r="D17" s="63">
        <f>NORMDIST(C17,1000,STDEV(Players!$C$2:$C$38)+0.00001,TRUE)</f>
        <v>0.4941892484</v>
      </c>
      <c r="E17" s="64"/>
      <c r="F17" s="65">
        <v>0.0</v>
      </c>
      <c r="G17" s="69" t="s">
        <v>66</v>
      </c>
      <c r="H17" s="64"/>
      <c r="I17" s="64"/>
      <c r="J17" s="67"/>
      <c r="K17" s="68"/>
      <c r="L17" s="18" t="b">
        <f t="shared" si="2"/>
        <v>0</v>
      </c>
      <c r="M17" s="17" t="b">
        <v>0</v>
      </c>
      <c r="N17" s="70" t="str">
        <f t="array" ref="N17">IF(F17=0, "no war", INDEX('Match History'!A:A, MAX(MAX(('Match History'!B:B=B17)*(ROW('Match History'!B:B))),MAX(('Match History'!F:F=B17)*(ROW('Match History'!F:F))),MAX(('Match History'!J:J=B17)*(ROW('Match History'!J:J))),MAX(('Match History'!N:N=B17)*(ROW('Match History'!N:N))),MAX(('Match History'!R:R=B17)*(ROW('Match History'!R:R))),MAX(('Match History'!V:V=B17)*(ROW('Match History'!V:V))),MAX(('Match History'!Z:Z=B17)*(ROW('Match History'!Z:Z))),MAX(('Match History'!AD:AD=B17)*(ROW('Match History'!AD:AD))),MAX(('Match History'!AH:AH=B17)*(ROW('Match History'!AH:AH))),MAX(('Match History'!AL:AL=B17)*(ROW('Match History'!AL:AL))),MAX(('Match History'!AV:AV=B17)*(ROW('Match History'!AV:AV))),MAX(('Match History'!AZ:AZ=B17)*(ROW('Match History'!AZ:AZ))),MAX(('Match History'!BD:BD=B17)*(ROW('Match History'!BD:BD))),MAX(('Match History'!BH:BH=B17)*(ROW('Match History'!BH:BH)))), 1))
</f>
        <v>no war</v>
      </c>
      <c r="O17" s="20">
        <f>(SUMIF('Match History'!B:B,B17,'Match History'!D:D)+SUMIF('Match History'!F:F,B17,'Match History'!H:H)+SUMIF('Match History'!J:J,B17,'Match History'!L:L)+SUMIF('Match History'!N:N,B17,'Match History'!P:P)+SUMIF('Match History'!R:R,B17,'Match History'!T:T)+SUMIF('Match History'!V:V,B17,'Match History'!X:X)+SUMIF('Match History'!Z:Z,B17,'Match History'!AB:AB)+SUMIF('Match History'!AD:AD,B17,'Match History'!AF:AF)+SUMIF('Match History'!AH:AH,B17,'Match History'!AJ:AJ)+SUMIF('Match History'!AL:AL,B17,'Match History'!AN:AN)+SUMIF('Match History'!AV:AV,B17,'Match History'!AX:AX)+SUMIF('Match History'!AZ:AZ,B17,'Match History'!BB:BB)+SUMIF('Match History'!BD:BD,B17,'Match History'!BF:BF)+SUMIF('Match History'!BH:BH,B17,'Match History'!BJ:BJ))/IF(F17=0,1,F17)</f>
        <v>12</v>
      </c>
      <c r="P17" s="21">
        <f t="array" ref="P17">MAX(MAX(IF('Match History'!B:B=B17,'Match History'!D:D,)),MAX(IF('Match History'!F:F=B17,'Match History'!H:H,)),MAX(IF('Match History'!J:J=B17,'Match History'!L:L,)),MAX(IF('Match History'!N:N=B17,'Match History'!P:P,)),MAX(IF('Match History'!R:R=B17,'Match History'!T:T,)),MAX(IF('Match History'!V:V=B17,'Match History'!X:X,)),MAX(IF('Match History'!Z:Z=B17,'Match History'!AB:AB,)),MAX(IF('Match History'!AD:AD=B17,'Match History'!AF:AF,)),MAX(IF('Match History'!AH:AH=B17,'Match History'!AJ:AJ,)),MAX(IF('Match History'!AL:AL=B17,'Match History'!AN:AN,)),MAX(IF('Match History'!AV:AV=B17,'Match History'!AX:AX,)),MAX(IF('Match History'!AZ:AZ=B17,'Match History'!BB:BB,)),MAX(IF('Match History'!BD:BD=B17,'Match History'!BF:BF,)),MAX(IF('Match History'!BH:BH=B17,'Match History'!BJ:BJ,)))</f>
        <v>12</v>
      </c>
      <c r="Q17" s="21">
        <f t="array" ref="Q17">IF(F17=0,0,MIN(MIN(IF('Match History'!B:B=B17,'Match History'!D:D,999)),MIN(IF('Match History'!F:F=B17,'Match History'!H:H,999)),MIN(IF('Match History'!J:J=B17,'Match History'!L:L,999)),MIN(IF('Match History'!N:N=B17,'Match History'!P:P,999)),MIN(IF('Match History'!R:R=B17,'Match History'!T:T,999)),MIN(IF('Match History'!V:V=B17,'Match History'!X:X,999)),MIN(IF('Match History'!Z:Z=B17,'Match History'!AB:AB,999)),MIN(IF('Match History'!AD:AD=B17,'Match History'!AF:AF,999)),MIN(IF('Match History'!AH:AH=B17,'Match History'!AJ:AJ,999)),MIN(IF('Match History'!AL:AL=B17,'Match History'!AN:AN,999)),MIN(IF('Match History'!AV:AV=B17,'Match History'!AX:AX,999)),MIN(IF('Match History'!AZ:AZ=B17,'Match History'!BB:BB,999)),MIN(IF('Match History'!BD:BD=B17,'Match History'!BF:BF,999)),MIN(IF('Match History'!BH:BH=B17,'Match History'!BJ:BJ,999))))</f>
        <v>0</v>
      </c>
      <c r="R17" s="21">
        <f>COUNTIFS('Match History'!B:B,B17,'Match History'!A:A,"&gt;="&amp;(DATE(2022,12,31)-30))+COUNTIFS('Match History'!F:F,B17,'Match History'!A:A,"&gt;="&amp;(DATE(2022,12,31)-30))+COUNTIFS('Match History'!J:J,B17,'Match History'!A:A,"&gt;="&amp;(DATE(2022,12,31)-30))+COUNTIFS('Match History'!N:N,B17,'Match History'!A:A,"&gt;="&amp;(DATE(2022,12,31)-30))+COUNTIFS('Match History'!R:R,B17,'Match History'!A:A,"&gt;="&amp;(DATE(2022,12,31)-30))+COUNTIFS('Match History'!V:V,B17,'Match History'!A:A,"&gt;="&amp;(DATE(2022,12,31)-30))+COUNTIFS('Match History'!Z:Z,B17,'Match History'!A:A,"&gt;="&amp;(DATE(2022,12,31)-30))+COUNTIFS('Match History'!AD:AD,B17,'Match History'!A:A,"&gt;="&amp;(DATE(2022,12,31)-30))+COUNTIFS('Match History'!AH:AH,B17,'Match History'!A:A,"&gt;="&amp;(DATE(2022,12,31)-30))+COUNTIFS('Match History'!AL:AL,B17,'Match History'!A:A,"&gt;="&amp;(DATE(2022,12,31)-30))+COUNTIFS('Match History'!AV:AV,B17,'Match History'!A:A,"&gt;="&amp;(DATE(2022,12,31)-30))+COUNTIFS('Match History'!AZ:AZ,B17,'Match History'!A:A,"&gt;="&amp;(DATE(2022,12,31)-30))+COUNTIFS('Match History'!BD:BD,B17,'Match History'!A:A,"&gt;="&amp;(DATE(2022,12,31)-30))+COUNTIFS('Match History'!BH:BH,B17,'Match History'!A:A,"&gt;="&amp;(DATE(2022,12,31)-30))
</f>
        <v>1</v>
      </c>
      <c r="S17" s="21">
        <f>COUNTIFS('Match History'!B:B,B17,'Match History'!A:A,"&gt;="&amp;(DATE(2022,12,31)-365))+COUNTIFS('Match History'!F:F,B17,'Match History'!A:A,"&gt;="&amp;(DATE(2022,12,31)-365))+COUNTIFS('Match History'!J:J,B17,'Match History'!A:A,"&gt;="&amp;(DATE(2022,12,31)-365))+COUNTIFS('Match History'!N:N,B17,'Match History'!A:A,"&gt;="&amp;(DATE(2022,12,31)-365))+COUNTIFS('Match History'!R:R,B17,'Match History'!A:A,"&gt;="&amp;(DATE(2022,12,31)-365))+COUNTIFS('Match History'!V:V,B17,'Match History'!A:A,"&gt;="&amp;(DATE(2022,12,31)-365))+COUNTIFS('Match History'!Z:Z,B17,'Match History'!A:A,"&gt;="&amp;(DATE(2022,12,31)-365))+COUNTIFS('Match History'!AD:AD,B17,'Match History'!A:A,"&gt;="&amp;(DATE(2022,12,31)-365))+COUNTIFS('Match History'!AH:AH,B17,'Match History'!A:A,"&gt;="&amp;(DATE(2022,12,31)-365))+COUNTIFS('Match History'!AL:AL,B17,'Match History'!A:A,"&gt;="&amp;(DATE(2022,12,31)-365))+COUNTIFS('Match History'!AV:AV,B17,'Match History'!A:A,"&gt;="&amp;(DATE(2022,12,31)-365))+COUNTIFS('Match History'!AZ:AZ,B17,'Match History'!A:A,"&gt;="&amp;(DATE(2022,12,31)-365))+COUNTIFS('Match History'!BD:BD,B17,'Match History'!A:A,"&gt;="&amp;(DATE(2022,12,31)-365))+COUNTIFS('Match History'!BH:BH,B17,'Match History'!A:A,"&gt;="&amp;(DATE(2022,12,31)-365))
</f>
        <v>1</v>
      </c>
      <c r="T17" s="20">
        <f t="array" ref="T17">IF(F17=0,0,INDEX('Match History'!B:BK,MATCH(N17,'Match History'!A:A,0),MATCH(B17,INDEX('Match History'!B:BK,MATCH(N17,'Match History'!A:A,0),0),0)+3)-INDEX('Match History'!B:BK,MATCH(N17,'Match History'!A:A,0),MATCH(B17,INDEX('Match History'!B:BK,MATCH(N17,'Match History'!A:A,0),0),0)+1))</f>
        <v>0</v>
      </c>
      <c r="U17" s="21">
        <f>COUNTIFS('Match History'!B:B,B17,'Match History'!A:A,"&gt;="&amp;(DATE(2022,12,31)-92))
+COUNTIFS('Match History'!F:F,B17,'Match History'!A:A,"&gt;="&amp;(DATE(2022,12,31)-92))
+COUNTIFS('Match History'!J:J,B17,'Match History'!A:A,"&gt;="&amp;(DATE(2022,12,31)-92))
+COUNTIFS('Match History'!N:N,B17,'Match History'!A:A,"&gt;="&amp;(DATE(2022,12,31)-92))
+COUNTIFS('Match History'!R:R,B17,'Match History'!A:A,"&gt;="&amp;(DATE(2022,12,31)-92))
+COUNTIFS('Match History'!V:V,B17,'Match History'!A:A,"&gt;="&amp;(DATE(2022,12,31)-92))
+COUNTIFS('Match History'!Z:Z,B17,'Match History'!A:A,"&gt;="&amp;(DATE(2022,12,31)-92))
+COUNTIFS('Match History'!AD:AD,B17,'Match History'!A:A,"&gt;="&amp;(DATE(2022,12,31)-92))
+COUNTIFS('Match History'!AH:AH,B17,'Match History'!A:A,"&gt;="&amp;(DATE(2022,12,31)-92))
+COUNTIFS('Match History'!AL:AL,B17,'Match History'!A:A,"&gt;="&amp;(DATE(2022,12,31)-92))
+COUNTIFS('Match History'!AV:AV,B17,'Match History'!A:A,"&gt;="&amp;(DATE(2022,12,31)-92))
+COUNTIFS('Match History'!AZ:AZ,B17,'Match History'!A:A,"&gt;="&amp;(DATE(2022,12,31)-92))
+COUNTIFS('Match History'!BD:BD,B17,'Match History'!A:A,"&gt;="&amp;(DATE(2022,12,31)-92))
+COUNTIFS('Match History'!BH:BH,B17,'Match History'!A:A,"&gt;="&amp;(DATE(2022,12,31)-92))
</f>
        <v>1</v>
      </c>
      <c r="V17" s="20">
        <f>IF(U17=0,0,(SUMIFS('Match History'!D:D,'Match History'!A:A,"&gt;=10/01/2022 00:00",'Match History'!A:A,"&lt;=12/31/2022 23:59",'Match History'!B:B,B17)
+SUMIFS('Match History'!H:H,'Match History'!A:A,"&gt;=10/01/2022 00:00",'Match History'!A:A,"&lt;=12/31/2022 23:59",'Match History'!F:F,B17)
+SUMIFS('Match History'!L:L,'Match History'!A:A,"&gt;=10/01/2022 00:00",'Match History'!A:A,"&lt;=12/31/2022 23:59",'Match History'!J:J,B17)
+SUMIFS('Match History'!P:P,'Match History'!A:A,"&gt;=10/01/2022 00:00",'Match History'!A:A,"&lt;=12/31/2022 23:59",'Match History'!N:N,B17)
+SUMIFS('Match History'!T:T,'Match History'!A:A,"&gt;=10/01/2022 00:00",'Match History'!A:A,"&lt;=12/31/2022 23:59",'Match History'!R:R,B17)
+SUMIFS('Match History'!X:X,'Match History'!A:A,"&gt;=10/01/2022 00:00",'Match History'!A:A,"&lt;=12/31/2022 23:59",'Match History'!V:V,B17)
+SUMIFS('Match History'!AB:AB,'Match History'!A:A,"&gt;=10/01/2022 00:00",'Match History'!A:A,"&lt;=12/31/2022 23:59",'Match History'!Z:Z,B17)
+SUMIFS('Match History'!AF:AF,'Match History'!A:A,"&gt;=10/01/2022 00:00",'Match History'!A:A,"&lt;=12/31/2022 23:59",'Match History'!AD:AD,B17)
+SUMIFS('Match History'!AJ:AJ,'Match History'!A:A,"&gt;=10/01/2022 00:00",'Match History'!A:A,"&lt;=12/31/2022 23:59",'Match History'!AH:AH,B17)
+SUMIFS('Match History'!AN:AN,'Match History'!A:A,"&gt;=10/01/2022 00:00",'Match History'!A:A,"&lt;=12/31/2022 23:59",'Match History'!AL:AL,B17)
+SUMIFS('Match History'!AX:AX,'Match History'!A:A,"&gt;=10/01/2022 00:00",'Match History'!A:A,"&lt;=12/31/2022 23:59",'Match History'!AV:AV,B17)+SUMIFS('Match History'!BB:BB,'Match History'!A:A,"&gt;=10/01/2022 00:00",'Match History'!A:A,"&lt;=12/31/2022 23:59",'Match History'!AZ:AZ,B17)
+SUMIFS('Match History'!BF:BF,'Match History'!A:A,"&gt;=10/01/2022 00:00",'Match History'!A:A,"&lt;=12/31/2022 23:59",'Match History'!BD:BD,B17)
+SUMIFS('Match History'!BJ:BJ,'Match History'!A:A,"&gt;=10/01/2022 00:00",'Match History'!A:A,"&lt;=12/31/2022 23:59",'Match History'!BH:BH,B17))/U17)
</f>
        <v>12</v>
      </c>
    </row>
    <row r="18" ht="21.0" customHeight="1">
      <c r="A18" s="61" t="s">
        <v>67</v>
      </c>
      <c r="B18" s="61" t="s">
        <v>68</v>
      </c>
      <c r="C18" s="62">
        <v>998.9684419288692</v>
      </c>
      <c r="D18" s="63">
        <f>NORMDIST(C18,1000,STDEV(Players!$C$2:$C$37)+0.00001,TRUE)</f>
        <v>0.4949789921</v>
      </c>
      <c r="E18" s="64"/>
      <c r="F18" s="71">
        <v>0.0</v>
      </c>
      <c r="G18" s="72" t="s">
        <v>66</v>
      </c>
      <c r="H18" s="64"/>
      <c r="I18" s="64"/>
      <c r="J18" s="73"/>
      <c r="K18" s="68"/>
      <c r="L18" s="18" t="b">
        <f t="shared" si="2"/>
        <v>0</v>
      </c>
      <c r="M18" s="17" t="b">
        <v>0</v>
      </c>
      <c r="N18" s="70" t="str">
        <f t="array" ref="N18">IF(F18=0, "no war", INDEX('Match History'!A:A, MAX(MAX(('Match History'!B:B=B18)*(ROW('Match History'!B:B))),MAX(('Match History'!F:F=B18)*(ROW('Match History'!F:F))),MAX(('Match History'!J:J=B18)*(ROW('Match History'!J:J))),MAX(('Match History'!N:N=B18)*(ROW('Match History'!N:N))),MAX(('Match History'!R:R=B18)*(ROW('Match History'!R:R))),MAX(('Match History'!V:V=B18)*(ROW('Match History'!V:V))),MAX(('Match History'!Z:Z=B18)*(ROW('Match History'!Z:Z))),MAX(('Match History'!AD:AD=B18)*(ROW('Match History'!AD:AD))),MAX(('Match History'!AH:AH=B18)*(ROW('Match History'!AH:AH))),MAX(('Match History'!AL:AL=B18)*(ROW('Match History'!AL:AL))),MAX(('Match History'!AV:AV=B18)*(ROW('Match History'!AV:AV))),MAX(('Match History'!AZ:AZ=B18)*(ROW('Match History'!AZ:AZ))),MAX(('Match History'!BD:BD=B18)*(ROW('Match History'!BD:BD))),MAX(('Match History'!BH:BH=B18)*(ROW('Match History'!BH:BH)))), 1))
</f>
        <v>no war</v>
      </c>
      <c r="O18" s="20">
        <f>(SUMIF('Match History'!B:B,B18,'Match History'!D:D)+SUMIF('Match History'!F:F,B18,'Match History'!H:H)+SUMIF('Match History'!J:J,B18,'Match History'!L:L)+SUMIF('Match History'!N:N,B18,'Match History'!P:P)+SUMIF('Match History'!R:R,B18,'Match History'!T:T)+SUMIF('Match History'!V:V,B18,'Match History'!X:X)+SUMIF('Match History'!Z:Z,B18,'Match History'!AB:AB)+SUMIF('Match History'!AD:AD,B18,'Match History'!AF:AF)+SUMIF('Match History'!AH:AH,B18,'Match History'!AJ:AJ)+SUMIF('Match History'!AL:AL,B18,'Match History'!AN:AN)+SUMIF('Match History'!AV:AV,B18,'Match History'!AX:AX)+SUMIF('Match History'!AZ:AZ,B18,'Match History'!BB:BB)+SUMIF('Match History'!BD:BD,B18,'Match History'!BF:BF)+SUMIF('Match History'!BH:BH,B18,'Match History'!BJ:BJ))/IF(F18=0,1,F18)</f>
        <v>14</v>
      </c>
      <c r="P18" s="21">
        <f t="array" ref="P18">MAX(MAX(IF('Match History'!B:B=B18,'Match History'!D:D,)),MAX(IF('Match History'!F:F=B18,'Match History'!H:H,)),MAX(IF('Match History'!J:J=B18,'Match History'!L:L,)),MAX(IF('Match History'!N:N=B18,'Match History'!P:P,)),MAX(IF('Match History'!R:R=B18,'Match History'!T:T,)),MAX(IF('Match History'!V:V=B18,'Match History'!X:X,)),MAX(IF('Match History'!Z:Z=B18,'Match History'!AB:AB,)),MAX(IF('Match History'!AD:AD=B18,'Match History'!AF:AF,)),MAX(IF('Match History'!AH:AH=B18,'Match History'!AJ:AJ,)),MAX(IF('Match History'!AL:AL=B18,'Match History'!AN:AN,)),MAX(IF('Match History'!AV:AV=B18,'Match History'!AX:AX,)),MAX(IF('Match History'!AZ:AZ=B18,'Match History'!BB:BB,)),MAX(IF('Match History'!BD:BD=B18,'Match History'!BF:BF,)),MAX(IF('Match History'!BH:BH=B18,'Match History'!BJ:BJ,)))</f>
        <v>14</v>
      </c>
      <c r="Q18" s="21">
        <f t="array" ref="Q18">IF(F18=0,0,MIN(MIN(IF('Match History'!B:B=B18,'Match History'!D:D,999)),MIN(IF('Match History'!F:F=B18,'Match History'!H:H,999)),MIN(IF('Match History'!J:J=B18,'Match History'!L:L,999)),MIN(IF('Match History'!N:N=B18,'Match History'!P:P,999)),MIN(IF('Match History'!R:R=B18,'Match History'!T:T,999)),MIN(IF('Match History'!V:V=B18,'Match History'!X:X,999)),MIN(IF('Match History'!Z:Z=B18,'Match History'!AB:AB,999)),MIN(IF('Match History'!AD:AD=B18,'Match History'!AF:AF,999)),MIN(IF('Match History'!AH:AH=B18,'Match History'!AJ:AJ,999)),MIN(IF('Match History'!AL:AL=B18,'Match History'!AN:AN,999)),MIN(IF('Match History'!AV:AV=B18,'Match History'!AX:AX,999)),MIN(IF('Match History'!AZ:AZ=B18,'Match History'!BB:BB,999)),MIN(IF('Match History'!BD:BD=B18,'Match History'!BF:BF,999)),MIN(IF('Match History'!BH:BH=B18,'Match History'!BJ:BJ,999))))</f>
        <v>0</v>
      </c>
      <c r="R18" s="21">
        <f>COUNTIFS('Match History'!B:B,B18,'Match History'!A:A,"&gt;="&amp;(DATE(2022,12,31)-30))+COUNTIFS('Match History'!F:F,B18,'Match History'!A:A,"&gt;="&amp;(DATE(2022,12,31)-30))+COUNTIFS('Match History'!J:J,B18,'Match History'!A:A,"&gt;="&amp;(DATE(2022,12,31)-30))+COUNTIFS('Match History'!N:N,B18,'Match History'!A:A,"&gt;="&amp;(DATE(2022,12,31)-30))+COUNTIFS('Match History'!R:R,B18,'Match History'!A:A,"&gt;="&amp;(DATE(2022,12,31)-30))+COUNTIFS('Match History'!V:V,B18,'Match History'!A:A,"&gt;="&amp;(DATE(2022,12,31)-30))+COUNTIFS('Match History'!Z:Z,B18,'Match History'!A:A,"&gt;="&amp;(DATE(2022,12,31)-30))+COUNTIFS('Match History'!AD:AD,B18,'Match History'!A:A,"&gt;="&amp;(DATE(2022,12,31)-30))+COUNTIFS('Match History'!AH:AH,B18,'Match History'!A:A,"&gt;="&amp;(DATE(2022,12,31)-30))+COUNTIFS('Match History'!AL:AL,B18,'Match History'!A:A,"&gt;="&amp;(DATE(2022,12,31)-30))+COUNTIFS('Match History'!AV:AV,B18,'Match History'!A:A,"&gt;="&amp;(DATE(2022,12,31)-30))+COUNTIFS('Match History'!AZ:AZ,B18,'Match History'!A:A,"&gt;="&amp;(DATE(2022,12,31)-30))+COUNTIFS('Match History'!BD:BD,B18,'Match History'!A:A,"&gt;="&amp;(DATE(2022,12,31)-30))+COUNTIFS('Match History'!BH:BH,B18,'Match History'!A:A,"&gt;="&amp;(DATE(2022,12,31)-30))
</f>
        <v>1</v>
      </c>
      <c r="S18" s="21">
        <f>COUNTIFS('Match History'!B:B,B18,'Match History'!A:A,"&gt;="&amp;(DATE(2022,12,31)-365))+COUNTIFS('Match History'!F:F,B18,'Match History'!A:A,"&gt;="&amp;(DATE(2022,12,31)-365))+COUNTIFS('Match History'!J:J,B18,'Match History'!A:A,"&gt;="&amp;(DATE(2022,12,31)-365))+COUNTIFS('Match History'!N:N,B18,'Match History'!A:A,"&gt;="&amp;(DATE(2022,12,31)-365))+COUNTIFS('Match History'!R:R,B18,'Match History'!A:A,"&gt;="&amp;(DATE(2022,12,31)-365))+COUNTIFS('Match History'!V:V,B18,'Match History'!A:A,"&gt;="&amp;(DATE(2022,12,31)-365))+COUNTIFS('Match History'!Z:Z,B18,'Match History'!A:A,"&gt;="&amp;(DATE(2022,12,31)-365))+COUNTIFS('Match History'!AD:AD,B18,'Match History'!A:A,"&gt;="&amp;(DATE(2022,12,31)-365))+COUNTIFS('Match History'!AH:AH,B18,'Match History'!A:A,"&gt;="&amp;(DATE(2022,12,31)-365))+COUNTIFS('Match History'!AL:AL,B18,'Match History'!A:A,"&gt;="&amp;(DATE(2022,12,31)-365))+COUNTIFS('Match History'!AV:AV,B18,'Match History'!A:A,"&gt;="&amp;(DATE(2022,12,31)-365))+COUNTIFS('Match History'!AZ:AZ,B18,'Match History'!A:A,"&gt;="&amp;(DATE(2022,12,31)-365))+COUNTIFS('Match History'!BD:BD,B18,'Match History'!A:A,"&gt;="&amp;(DATE(2022,12,31)-365))+COUNTIFS('Match History'!BH:BH,B18,'Match History'!A:A,"&gt;="&amp;(DATE(2022,12,31)-365))
</f>
        <v>1</v>
      </c>
      <c r="T18" s="20">
        <f t="array" ref="T18">IF(F18=0,0,INDEX('Match History'!B:BK,MATCH(N18,'Match History'!A:A,0),MATCH(B18,INDEX('Match History'!B:BK,MATCH(N18,'Match History'!A:A,0),0),0)+3)-INDEX('Match History'!B:BK,MATCH(N18,'Match History'!A:A,0),MATCH(B18,INDEX('Match History'!B:BK,MATCH(N18,'Match History'!A:A,0),0),0)+1))</f>
        <v>0</v>
      </c>
      <c r="U18" s="21">
        <f>COUNTIFS('Match History'!B:B,B18,'Match History'!A:A,"&gt;="&amp;(DATE(2022,12,31)-92))
+COUNTIFS('Match History'!F:F,B18,'Match History'!A:A,"&gt;="&amp;(DATE(2022,12,31)-92))
+COUNTIFS('Match History'!J:J,B18,'Match History'!A:A,"&gt;="&amp;(DATE(2022,12,31)-92))
+COUNTIFS('Match History'!N:N,B18,'Match History'!A:A,"&gt;="&amp;(DATE(2022,12,31)-92))
+COUNTIFS('Match History'!R:R,B18,'Match History'!A:A,"&gt;="&amp;(DATE(2022,12,31)-92))
+COUNTIFS('Match History'!V:V,B18,'Match History'!A:A,"&gt;="&amp;(DATE(2022,12,31)-92))
+COUNTIFS('Match History'!Z:Z,B18,'Match History'!A:A,"&gt;="&amp;(DATE(2022,12,31)-92))
+COUNTIFS('Match History'!AD:AD,B18,'Match History'!A:A,"&gt;="&amp;(DATE(2022,12,31)-92))
+COUNTIFS('Match History'!AH:AH,B18,'Match History'!A:A,"&gt;="&amp;(DATE(2022,12,31)-92))
+COUNTIFS('Match History'!AL:AL,B18,'Match History'!A:A,"&gt;="&amp;(DATE(2022,12,31)-92))
+COUNTIFS('Match History'!AV:AV,B18,'Match History'!A:A,"&gt;="&amp;(DATE(2022,12,31)-92))
+COUNTIFS('Match History'!AZ:AZ,B18,'Match History'!A:A,"&gt;="&amp;(DATE(2022,12,31)-92))
+COUNTIFS('Match History'!BD:BD,B18,'Match History'!A:A,"&gt;="&amp;(DATE(2022,12,31)-92))
+COUNTIFS('Match History'!BH:BH,B18,'Match History'!A:A,"&gt;="&amp;(DATE(2022,12,31)-92))
</f>
        <v>1</v>
      </c>
      <c r="V18" s="20">
        <f>IF(U18=0,0,(SUMIFS('Match History'!D:D,'Match History'!A:A,"&gt;=10/01/2022 00:00",'Match History'!A:A,"&lt;=12/31/2022 23:59",'Match History'!B:B,B18)
+SUMIFS('Match History'!H:H,'Match History'!A:A,"&gt;=10/01/2022 00:00",'Match History'!A:A,"&lt;=12/31/2022 23:59",'Match History'!F:F,B18)
+SUMIFS('Match History'!L:L,'Match History'!A:A,"&gt;=10/01/2022 00:00",'Match History'!A:A,"&lt;=12/31/2022 23:59",'Match History'!J:J,B18)
+SUMIFS('Match History'!P:P,'Match History'!A:A,"&gt;=10/01/2022 00:00",'Match History'!A:A,"&lt;=12/31/2022 23:59",'Match History'!N:N,B18)
+SUMIFS('Match History'!T:T,'Match History'!A:A,"&gt;=10/01/2022 00:00",'Match History'!A:A,"&lt;=12/31/2022 23:59",'Match History'!R:R,B18)
+SUMIFS('Match History'!X:X,'Match History'!A:A,"&gt;=10/01/2022 00:00",'Match History'!A:A,"&lt;=12/31/2022 23:59",'Match History'!V:V,B18)
+SUMIFS('Match History'!AB:AB,'Match History'!A:A,"&gt;=10/01/2022 00:00",'Match History'!A:A,"&lt;=12/31/2022 23:59",'Match History'!Z:Z,B18)
+SUMIFS('Match History'!AF:AF,'Match History'!A:A,"&gt;=10/01/2022 00:00",'Match History'!A:A,"&lt;=12/31/2022 23:59",'Match History'!AD:AD,B18)
+SUMIFS('Match History'!AJ:AJ,'Match History'!A:A,"&gt;=10/01/2022 00:00",'Match History'!A:A,"&lt;=12/31/2022 23:59",'Match History'!AH:AH,B18)
+SUMIFS('Match History'!AN:AN,'Match History'!A:A,"&gt;=10/01/2022 00:00",'Match History'!A:A,"&lt;=12/31/2022 23:59",'Match History'!AL:AL,B18)
+SUMIFS('Match History'!AX:AX,'Match History'!A:A,"&gt;=10/01/2022 00:00",'Match History'!A:A,"&lt;=12/31/2022 23:59",'Match History'!AV:AV,B18)+SUMIFS('Match History'!BB:BB,'Match History'!A:A,"&gt;=10/01/2022 00:00",'Match History'!A:A,"&lt;=12/31/2022 23:59",'Match History'!AZ:AZ,B18)
+SUMIFS('Match History'!BF:BF,'Match History'!A:A,"&gt;=10/01/2022 00:00",'Match History'!A:A,"&lt;=12/31/2022 23:59",'Match History'!BD:BD,B18)
+SUMIFS('Match History'!BJ:BJ,'Match History'!A:A,"&gt;=10/01/2022 00:00",'Match History'!A:A,"&lt;=12/31/2022 23:59",'Match History'!BH:BH,B18))/U18)
</f>
        <v>14</v>
      </c>
    </row>
    <row r="19" ht="21.0" customHeight="1">
      <c r="A19" s="59" t="s">
        <v>69</v>
      </c>
      <c r="B19" s="59" t="s">
        <v>69</v>
      </c>
      <c r="C19" s="39">
        <v>999.0292975804573</v>
      </c>
      <c r="D19" s="13">
        <f>NORMDIST(C19,1000,STDEV(Players!$C$2:$C$39)+0.00001,TRUE)</f>
        <v>0.4953109935</v>
      </c>
      <c r="E19" s="14"/>
      <c r="F19" s="47">
        <f>COUNTIF('Match History'!A:BK,"behindfroko")</f>
        <v>1</v>
      </c>
      <c r="G19" s="60" t="s">
        <v>44</v>
      </c>
      <c r="H19" s="29" t="s">
        <v>70</v>
      </c>
      <c r="I19" s="29"/>
      <c r="J19" s="38"/>
      <c r="K19" s="43"/>
      <c r="L19" s="18" t="b">
        <f t="shared" si="2"/>
        <v>1</v>
      </c>
      <c r="M19" s="17" t="b">
        <v>0</v>
      </c>
      <c r="N19" s="19">
        <f t="array" ref="N19">IF(F19=0, "no war", INDEX('Match History'!A:A, MAX(MAX(('Match History'!B:B=B19)*(ROW('Match History'!B:B))),MAX(('Match History'!F:F=B19)*(ROW('Match History'!F:F))),MAX(('Match History'!J:J=B19)*(ROW('Match History'!J:J))),MAX(('Match History'!N:N=B19)*(ROW('Match History'!N:N))),MAX(('Match History'!R:R=B19)*(ROW('Match History'!R:R))),MAX(('Match History'!V:V=B19)*(ROW('Match History'!V:V))),MAX(('Match History'!Z:Z=B19)*(ROW('Match History'!Z:Z))),MAX(('Match History'!AD:AD=B19)*(ROW('Match History'!AD:AD))),MAX(('Match History'!AH:AH=B19)*(ROW('Match History'!AH:AH))),MAX(('Match History'!AL:AL=B19)*(ROW('Match History'!AL:AL))),MAX(('Match History'!AV:AV=B19)*(ROW('Match History'!AV:AV))),MAX(('Match History'!AZ:AZ=B19)*(ROW('Match History'!AZ:AZ))),MAX(('Match History'!BD:BD=B19)*(ROW('Match History'!BD:BD))),MAX(('Match History'!BH:BH=B19)*(ROW('Match History'!BH:BH)))), 1))
</f>
        <v>44924.99817</v>
      </c>
      <c r="O19" s="20">
        <f>(SUMIF('Match History'!B:B,B19,'Match History'!D:D)+SUMIF('Match History'!F:F,B19,'Match History'!H:H)+SUMIF('Match History'!J:J,B19,'Match History'!L:L)+SUMIF('Match History'!N:N,B19,'Match History'!P:P)+SUMIF('Match History'!R:R,B19,'Match History'!T:T)+SUMIF('Match History'!V:V,B19,'Match History'!X:X)+SUMIF('Match History'!Z:Z,B19,'Match History'!AB:AB)+SUMIF('Match History'!AD:AD,B19,'Match History'!AF:AF)+SUMIF('Match History'!AH:AH,B19,'Match History'!AJ:AJ)+SUMIF('Match History'!AL:AL,B19,'Match History'!AN:AN)+SUMIF('Match History'!AV:AV,B19,'Match History'!AX:AX)+SUMIF('Match History'!AZ:AZ,B19,'Match History'!BB:BB)+SUMIF('Match History'!BD:BD,B19,'Match History'!BF:BF)+SUMIF('Match History'!BH:BH,B19,'Match History'!BJ:BJ))/IF(F19=0,1,F19)</f>
        <v>25</v>
      </c>
      <c r="P19" s="21">
        <f t="array" ref="P19">MAX(MAX(IF('Match History'!B:B=B19,'Match History'!D:D,)),MAX(IF('Match History'!F:F=B19,'Match History'!H:H,)),MAX(IF('Match History'!J:J=B19,'Match History'!L:L,)),MAX(IF('Match History'!N:N=B19,'Match History'!P:P,)),MAX(IF('Match History'!R:R=B19,'Match History'!T:T,)),MAX(IF('Match History'!V:V=B19,'Match History'!X:X,)),MAX(IF('Match History'!Z:Z=B19,'Match History'!AB:AB,)),MAX(IF('Match History'!AD:AD=B19,'Match History'!AF:AF,)),MAX(IF('Match History'!AH:AH=B19,'Match History'!AJ:AJ,)),MAX(IF('Match History'!AL:AL=B19,'Match History'!AN:AN,)),MAX(IF('Match History'!AV:AV=B19,'Match History'!AX:AX,)),MAX(IF('Match History'!AZ:AZ=B19,'Match History'!BB:BB,)),MAX(IF('Match History'!BD:BD=B19,'Match History'!BF:BF,)),MAX(IF('Match History'!BH:BH=B19,'Match History'!BJ:BJ,)))</f>
        <v>25</v>
      </c>
      <c r="Q19" s="21">
        <f t="array" ref="Q19">IF(F19=0,0,MIN(MIN(IF('Match History'!B:B=B19,'Match History'!D:D,999)),MIN(IF('Match History'!F:F=B19,'Match History'!H:H,999)),MIN(IF('Match History'!J:J=B19,'Match History'!L:L,999)),MIN(IF('Match History'!N:N=B19,'Match History'!P:P,999)),MIN(IF('Match History'!R:R=B19,'Match History'!T:T,999)),MIN(IF('Match History'!V:V=B19,'Match History'!X:X,999)),MIN(IF('Match History'!Z:Z=B19,'Match History'!AB:AB,999)),MIN(IF('Match History'!AD:AD=B19,'Match History'!AF:AF,999)),MIN(IF('Match History'!AH:AH=B19,'Match History'!AJ:AJ,999)),MIN(IF('Match History'!AL:AL=B19,'Match History'!AN:AN,999)),MIN(IF('Match History'!AV:AV=B19,'Match History'!AX:AX,999)),MIN(IF('Match History'!AZ:AZ=B19,'Match History'!BB:BB,999)),MIN(IF('Match History'!BD:BD=B19,'Match History'!BF:BF,999)),MIN(IF('Match History'!BH:BH=B19,'Match History'!BJ:BJ,999))))</f>
        <v>25</v>
      </c>
      <c r="R19" s="21">
        <f>COUNTIFS('Match History'!B:B,B19,'Match History'!A:A,"&gt;="&amp;(DATE(2022,12,31)-30))+COUNTIFS('Match History'!F:F,B19,'Match History'!A:A,"&gt;="&amp;(DATE(2022,12,31)-30))+COUNTIFS('Match History'!J:J,B19,'Match History'!A:A,"&gt;="&amp;(DATE(2022,12,31)-30))+COUNTIFS('Match History'!N:N,B19,'Match History'!A:A,"&gt;="&amp;(DATE(2022,12,31)-30))+COUNTIFS('Match History'!R:R,B19,'Match History'!A:A,"&gt;="&amp;(DATE(2022,12,31)-30))+COUNTIFS('Match History'!V:V,B19,'Match History'!A:A,"&gt;="&amp;(DATE(2022,12,31)-30))+COUNTIFS('Match History'!Z:Z,B19,'Match History'!A:A,"&gt;="&amp;(DATE(2022,12,31)-30))+COUNTIFS('Match History'!AD:AD,B19,'Match History'!A:A,"&gt;="&amp;(DATE(2022,12,31)-30))+COUNTIFS('Match History'!AH:AH,B19,'Match History'!A:A,"&gt;="&amp;(DATE(2022,12,31)-30))+COUNTIFS('Match History'!AL:AL,B19,'Match History'!A:A,"&gt;="&amp;(DATE(2022,12,31)-30))+COUNTIFS('Match History'!AV:AV,B19,'Match History'!A:A,"&gt;="&amp;(DATE(2022,12,31)-30))+COUNTIFS('Match History'!AZ:AZ,B19,'Match History'!A:A,"&gt;="&amp;(DATE(2022,12,31)-30))+COUNTIFS('Match History'!BD:BD,B19,'Match History'!A:A,"&gt;="&amp;(DATE(2022,12,31)-30))+COUNTIFS('Match History'!BH:BH,B19,'Match History'!A:A,"&gt;="&amp;(DATE(2022,12,31)-30))
</f>
        <v>1</v>
      </c>
      <c r="S19" s="21">
        <f>COUNTIFS('Match History'!B:B,B19,'Match History'!A:A,"&gt;="&amp;(DATE(2022,12,31)-365))+COUNTIFS('Match History'!F:F,B19,'Match History'!A:A,"&gt;="&amp;(DATE(2022,12,31)-365))+COUNTIFS('Match History'!J:J,B19,'Match History'!A:A,"&gt;="&amp;(DATE(2022,12,31)-365))+COUNTIFS('Match History'!N:N,B19,'Match History'!A:A,"&gt;="&amp;(DATE(2022,12,31)-365))+COUNTIFS('Match History'!R:R,B19,'Match History'!A:A,"&gt;="&amp;(DATE(2022,12,31)-365))+COUNTIFS('Match History'!V:V,B19,'Match History'!A:A,"&gt;="&amp;(DATE(2022,12,31)-365))+COUNTIFS('Match History'!Z:Z,B19,'Match History'!A:A,"&gt;="&amp;(DATE(2022,12,31)-365))+COUNTIFS('Match History'!AD:AD,B19,'Match History'!A:A,"&gt;="&amp;(DATE(2022,12,31)-365))+COUNTIFS('Match History'!AH:AH,B19,'Match History'!A:A,"&gt;="&amp;(DATE(2022,12,31)-365))+COUNTIFS('Match History'!AL:AL,B19,'Match History'!A:A,"&gt;="&amp;(DATE(2022,12,31)-365))+COUNTIFS('Match History'!AV:AV,B19,'Match History'!A:A,"&gt;="&amp;(DATE(2022,12,31)-365))+COUNTIFS('Match History'!AZ:AZ,B19,'Match History'!A:A,"&gt;="&amp;(DATE(2022,12,31)-365))+COUNTIFS('Match History'!BD:BD,B19,'Match History'!A:A,"&gt;="&amp;(DATE(2022,12,31)-365))+COUNTIFS('Match History'!BH:BH,B19,'Match History'!A:A,"&gt;="&amp;(DATE(2022,12,31)-365))
</f>
        <v>1</v>
      </c>
      <c r="T19" s="20">
        <f t="array" ref="T19">IF(F19=0,0,INDEX('Match History'!B:BK,MATCH(N19,'Match History'!A:A,0),MATCH(B19,INDEX('Match History'!B:BK,MATCH(N19,'Match History'!A:A,0),0),0)+3)-INDEX('Match History'!B:BK,MATCH(N19,'Match History'!A:A,0),MATCH(B19,INDEX('Match History'!B:BK,MATCH(N19,'Match History'!A:A,0),0),0)+1))</f>
        <v>-0.9707024195</v>
      </c>
      <c r="U19" s="21">
        <f>COUNTIFS('Match History'!B:B,B19,'Match History'!A:A,"&gt;="&amp;(DATE(2022,12,31)-92))
+COUNTIFS('Match History'!F:F,B19,'Match History'!A:A,"&gt;="&amp;(DATE(2022,12,31)-92))
+COUNTIFS('Match History'!J:J,B19,'Match History'!A:A,"&gt;="&amp;(DATE(2022,12,31)-92))
+COUNTIFS('Match History'!N:N,B19,'Match History'!A:A,"&gt;="&amp;(DATE(2022,12,31)-92))
+COUNTIFS('Match History'!R:R,B19,'Match History'!A:A,"&gt;="&amp;(DATE(2022,12,31)-92))
+COUNTIFS('Match History'!V:V,B19,'Match History'!A:A,"&gt;="&amp;(DATE(2022,12,31)-92))
+COUNTIFS('Match History'!Z:Z,B19,'Match History'!A:A,"&gt;="&amp;(DATE(2022,12,31)-92))
+COUNTIFS('Match History'!AD:AD,B19,'Match History'!A:A,"&gt;="&amp;(DATE(2022,12,31)-92))
+COUNTIFS('Match History'!AH:AH,B19,'Match History'!A:A,"&gt;="&amp;(DATE(2022,12,31)-92))
+COUNTIFS('Match History'!AL:AL,B19,'Match History'!A:A,"&gt;="&amp;(DATE(2022,12,31)-92))
+COUNTIFS('Match History'!AV:AV,B19,'Match History'!A:A,"&gt;="&amp;(DATE(2022,12,31)-92))
+COUNTIFS('Match History'!AZ:AZ,B19,'Match History'!A:A,"&gt;="&amp;(DATE(2022,12,31)-92))
+COUNTIFS('Match History'!BD:BD,B19,'Match History'!A:A,"&gt;="&amp;(DATE(2022,12,31)-92))
+COUNTIFS('Match History'!BH:BH,B19,'Match History'!A:A,"&gt;="&amp;(DATE(2022,12,31)-92))
</f>
        <v>1</v>
      </c>
      <c r="V19" s="20">
        <f>IF(U19=0,0,(SUMIFS('Match History'!D:D,'Match History'!A:A,"&gt;=10/01/2022 00:00",'Match History'!A:A,"&lt;=12/31/2022 23:59",'Match History'!B:B,B19)
+SUMIFS('Match History'!H:H,'Match History'!A:A,"&gt;=10/01/2022 00:00",'Match History'!A:A,"&lt;=12/31/2022 23:59",'Match History'!F:F,B19)
+SUMIFS('Match History'!L:L,'Match History'!A:A,"&gt;=10/01/2022 00:00",'Match History'!A:A,"&lt;=12/31/2022 23:59",'Match History'!J:J,B19)
+SUMIFS('Match History'!P:P,'Match History'!A:A,"&gt;=10/01/2022 00:00",'Match History'!A:A,"&lt;=12/31/2022 23:59",'Match History'!N:N,B19)
+SUMIFS('Match History'!T:T,'Match History'!A:A,"&gt;=10/01/2022 00:00",'Match History'!A:A,"&lt;=12/31/2022 23:59",'Match History'!R:R,B19)
+SUMIFS('Match History'!X:X,'Match History'!A:A,"&gt;=10/01/2022 00:00",'Match History'!A:A,"&lt;=12/31/2022 23:59",'Match History'!V:V,B19)
+SUMIFS('Match History'!AB:AB,'Match History'!A:A,"&gt;=10/01/2022 00:00",'Match History'!A:A,"&lt;=12/31/2022 23:59",'Match History'!Z:Z,B19)
+SUMIFS('Match History'!AF:AF,'Match History'!A:A,"&gt;=10/01/2022 00:00",'Match History'!A:A,"&lt;=12/31/2022 23:59",'Match History'!AD:AD,B19)
+SUMIFS('Match History'!AJ:AJ,'Match History'!A:A,"&gt;=10/01/2022 00:00",'Match History'!A:A,"&lt;=12/31/2022 23:59",'Match History'!AH:AH,B19)
+SUMIFS('Match History'!AN:AN,'Match History'!A:A,"&gt;=10/01/2022 00:00",'Match History'!A:A,"&lt;=12/31/2022 23:59",'Match History'!AL:AL,B19)
+SUMIFS('Match History'!AX:AX,'Match History'!A:A,"&gt;=10/01/2022 00:00",'Match History'!A:A,"&lt;=12/31/2022 23:59",'Match History'!AV:AV,B19)+SUMIFS('Match History'!BB:BB,'Match History'!A:A,"&gt;=10/01/2022 00:00",'Match History'!A:A,"&lt;=12/31/2022 23:59",'Match History'!AZ:AZ,B19)
+SUMIFS('Match History'!BF:BF,'Match History'!A:A,"&gt;=10/01/2022 00:00",'Match History'!A:A,"&lt;=12/31/2022 23:59",'Match History'!BD:BD,B19)
+SUMIFS('Match History'!BJ:BJ,'Match History'!A:A,"&gt;=10/01/2022 00:00",'Match History'!A:A,"&lt;=12/31/2022 23:59",'Match History'!BH:BH,B19))/U19)
</f>
        <v>25</v>
      </c>
    </row>
    <row r="20" ht="21.0" customHeight="1">
      <c r="A20" s="51" t="s">
        <v>71</v>
      </c>
      <c r="B20" s="51" t="s">
        <v>72</v>
      </c>
      <c r="C20" s="45">
        <v>998.8796742589077</v>
      </c>
      <c r="D20" s="52">
        <f>NORMDIST(C20,1000,STDEV(Players!$C$2:$C$39)+0.00001,TRUE)</f>
        <v>0.494588275</v>
      </c>
      <c r="E20" s="46"/>
      <c r="F20" s="53">
        <f>COUNTIF('Match History'!B3:BK650,"24ej")</f>
        <v>2</v>
      </c>
      <c r="G20" s="48" t="s">
        <v>55</v>
      </c>
      <c r="H20" s="54"/>
      <c r="I20" s="74"/>
      <c r="L20" s="18" t="b">
        <f t="shared" si="2"/>
        <v>0</v>
      </c>
      <c r="M20" s="17" t="b">
        <v>0</v>
      </c>
      <c r="N20" s="19">
        <f t="array" ref="N20">IF(F20=0, "no war", INDEX('Match History'!A:A, MAX(MAX(('Match History'!B:B=B20)*(ROW('Match History'!B:B))),MAX(('Match History'!F:F=B20)*(ROW('Match History'!F:F))),MAX(('Match History'!J:J=B20)*(ROW('Match History'!J:J))),MAX(('Match History'!N:N=B20)*(ROW('Match History'!N:N))),MAX(('Match History'!R:R=B20)*(ROW('Match History'!R:R))),MAX(('Match History'!V:V=B20)*(ROW('Match History'!V:V))),MAX(('Match History'!Z:Z=B20)*(ROW('Match History'!Z:Z))),MAX(('Match History'!AD:AD=B20)*(ROW('Match History'!AD:AD))),MAX(('Match History'!AH:AH=B20)*(ROW('Match History'!AH:AH))),MAX(('Match History'!AL:AL=B20)*(ROW('Match History'!AL:AL))),MAX(('Match History'!AV:AV=B20)*(ROW('Match History'!AV:AV))),MAX(('Match History'!AZ:AZ=B20)*(ROW('Match History'!AZ:AZ))),MAX(('Match History'!BD:BD=B20)*(ROW('Match History'!BD:BD))),MAX(('Match History'!BH:BH=B20)*(ROW('Match History'!BH:BH)))), 1))
</f>
        <v>44441.95687</v>
      </c>
      <c r="O20" s="20">
        <f>(SUMIF('Match History'!B:B,B20,'Match History'!D:D)+SUMIF('Match History'!F:F,B20,'Match History'!H:H)+SUMIF('Match History'!J:J,B20,'Match History'!L:L)+SUMIF('Match History'!N:N,B20,'Match History'!P:P)+SUMIF('Match History'!R:R,B20,'Match History'!T:T)+SUMIF('Match History'!V:V,B20,'Match History'!X:X)+SUMIF('Match History'!Z:Z,B20,'Match History'!AB:AB)+SUMIF('Match History'!AD:AD,B20,'Match History'!AF:AF)+SUMIF('Match History'!AH:AH,B20,'Match History'!AJ:AJ)+SUMIF('Match History'!AL:AL,B20,'Match History'!AN:AN)+SUMIF('Match History'!AV:AV,B20,'Match History'!AX:AX)+SUMIF('Match History'!AZ:AZ,B20,'Match History'!BB:BB)+SUMIF('Match History'!BD:BD,B20,'Match History'!BF:BF)+SUMIF('Match History'!BH:BH,B20,'Match History'!BJ:BJ))/IF(F20=0,1,F20)</f>
        <v>22</v>
      </c>
      <c r="P20" s="21">
        <f t="array" ref="P20">MAX(MAX(IF('Match History'!B:B=B20,'Match History'!D:D,)),MAX(IF('Match History'!F:F=B20,'Match History'!H:H,)),MAX(IF('Match History'!J:J=B20,'Match History'!L:L,)),MAX(IF('Match History'!N:N=B20,'Match History'!P:P,)),MAX(IF('Match History'!R:R=B20,'Match History'!T:T,)),MAX(IF('Match History'!V:V=B20,'Match History'!X:X,)),MAX(IF('Match History'!Z:Z=B20,'Match History'!AB:AB,)),MAX(IF('Match History'!AD:AD=B20,'Match History'!AF:AF,)),MAX(IF('Match History'!AH:AH=B20,'Match History'!AJ:AJ,)),MAX(IF('Match History'!AL:AL=B20,'Match History'!AN:AN,)),MAX(IF('Match History'!AV:AV=B20,'Match History'!AX:AX,)),MAX(IF('Match History'!AZ:AZ=B20,'Match History'!BB:BB,)),MAX(IF('Match History'!BD:BD=B20,'Match History'!BF:BF,)),MAX(IF('Match History'!BH:BH=B20,'Match History'!BJ:BJ,)))</f>
        <v>25</v>
      </c>
      <c r="Q20" s="21">
        <f t="array" ref="Q20">IF(F20=0,0,MIN(MIN(IF('Match History'!B:B=B20,'Match History'!D:D,999)),MIN(IF('Match History'!F:F=B20,'Match History'!H:H,999)),MIN(IF('Match History'!J:J=B20,'Match History'!L:L,999)),MIN(IF('Match History'!N:N=B20,'Match History'!P:P,999)),MIN(IF('Match History'!R:R=B20,'Match History'!T:T,999)),MIN(IF('Match History'!V:V=B20,'Match History'!X:X,999)),MIN(IF('Match History'!Z:Z=B20,'Match History'!AB:AB,999)),MIN(IF('Match History'!AD:AD=B20,'Match History'!AF:AF,999)),MIN(IF('Match History'!AH:AH=B20,'Match History'!AJ:AJ,999)),MIN(IF('Match History'!AL:AL=B20,'Match History'!AN:AN,999)),MIN(IF('Match History'!AV:AV=B20,'Match History'!AX:AX,999)),MIN(IF('Match History'!AZ:AZ=B20,'Match History'!BB:BB,999)),MIN(IF('Match History'!BD:BD=B20,'Match History'!BF:BF,999)),MIN(IF('Match History'!BH:BH=B20,'Match History'!BJ:BJ,999))))</f>
        <v>19</v>
      </c>
      <c r="R20" s="21">
        <f>COUNTIFS('Match History'!B:B,B20,'Match History'!A:A,"&gt;="&amp;(DATE(2022,12,31)-30))+COUNTIFS('Match History'!F:F,B20,'Match History'!A:A,"&gt;="&amp;(DATE(2022,12,31)-30))+COUNTIFS('Match History'!J:J,B20,'Match History'!A:A,"&gt;="&amp;(DATE(2022,12,31)-30))+COUNTIFS('Match History'!N:N,B20,'Match History'!A:A,"&gt;="&amp;(DATE(2022,12,31)-30))+COUNTIFS('Match History'!R:R,B20,'Match History'!A:A,"&gt;="&amp;(DATE(2022,12,31)-30))+COUNTIFS('Match History'!V:V,B20,'Match History'!A:A,"&gt;="&amp;(DATE(2022,12,31)-30))+COUNTIFS('Match History'!Z:Z,B20,'Match History'!A:A,"&gt;="&amp;(DATE(2022,12,31)-30))+COUNTIFS('Match History'!AD:AD,B20,'Match History'!A:A,"&gt;="&amp;(DATE(2022,12,31)-30))+COUNTIFS('Match History'!AH:AH,B20,'Match History'!A:A,"&gt;="&amp;(DATE(2022,12,31)-30))+COUNTIFS('Match History'!AL:AL,B20,'Match History'!A:A,"&gt;="&amp;(DATE(2022,12,31)-30))+COUNTIFS('Match History'!AV:AV,B20,'Match History'!A:A,"&gt;="&amp;(DATE(2022,12,31)-30))+COUNTIFS('Match History'!AZ:AZ,B20,'Match History'!A:A,"&gt;="&amp;(DATE(2022,12,31)-30))+COUNTIFS('Match History'!BD:BD,B20,'Match History'!A:A,"&gt;="&amp;(DATE(2022,12,31)-30))+COUNTIFS('Match History'!BH:BH,B20,'Match History'!A:A,"&gt;="&amp;(DATE(2022,12,31)-30))
</f>
        <v>0</v>
      </c>
      <c r="S20" s="21">
        <f>COUNTIFS('Match History'!B:B,B20,'Match History'!A:A,"&gt;="&amp;(DATE(2022,12,31)-365))+COUNTIFS('Match History'!F:F,B20,'Match History'!A:A,"&gt;="&amp;(DATE(2022,12,31)-365))+COUNTIFS('Match History'!J:J,B20,'Match History'!A:A,"&gt;="&amp;(DATE(2022,12,31)-365))+COUNTIFS('Match History'!N:N,B20,'Match History'!A:A,"&gt;="&amp;(DATE(2022,12,31)-365))+COUNTIFS('Match History'!R:R,B20,'Match History'!A:A,"&gt;="&amp;(DATE(2022,12,31)-365))+COUNTIFS('Match History'!V:V,B20,'Match History'!A:A,"&gt;="&amp;(DATE(2022,12,31)-365))+COUNTIFS('Match History'!Z:Z,B20,'Match History'!A:A,"&gt;="&amp;(DATE(2022,12,31)-365))+COUNTIFS('Match History'!AD:AD,B20,'Match History'!A:A,"&gt;="&amp;(DATE(2022,12,31)-365))+COUNTIFS('Match History'!AH:AH,B20,'Match History'!A:A,"&gt;="&amp;(DATE(2022,12,31)-365))+COUNTIFS('Match History'!AL:AL,B20,'Match History'!A:A,"&gt;="&amp;(DATE(2022,12,31)-365))+COUNTIFS('Match History'!AV:AV,B20,'Match History'!A:A,"&gt;="&amp;(DATE(2022,12,31)-365))+COUNTIFS('Match History'!AZ:AZ,B20,'Match History'!A:A,"&gt;="&amp;(DATE(2022,12,31)-365))+COUNTIFS('Match History'!BD:BD,B20,'Match History'!A:A,"&gt;="&amp;(DATE(2022,12,31)-365))+COUNTIFS('Match History'!BH:BH,B20,'Match History'!A:A,"&gt;="&amp;(DATE(2022,12,31)-365))
</f>
        <v>0</v>
      </c>
      <c r="T20" s="20">
        <f t="array" ref="T20">IF(F20=0,0,INDEX('Match History'!B:BK,MATCH(N20,'Match History'!A:A,0),MATCH(B20,INDEX('Match History'!B:BK,MATCH(N20,'Match History'!A:A,0),0),0)+3)-INDEX('Match History'!B:BK,MATCH(N20,'Match History'!A:A,0),MATCH(B20,INDEX('Match History'!B:BK,MATCH(N20,'Match History'!A:A,0),0),0)+1))</f>
        <v>-4.574472527</v>
      </c>
      <c r="U20" s="21">
        <f>COUNTIFS('Match History'!B:B,B20,'Match History'!A:A,"&gt;="&amp;(DATE(2022,12,31)-92))
+COUNTIFS('Match History'!F:F,B20,'Match History'!A:A,"&gt;="&amp;(DATE(2022,12,31)-92))
+COUNTIFS('Match History'!J:J,B20,'Match History'!A:A,"&gt;="&amp;(DATE(2022,12,31)-92))
+COUNTIFS('Match History'!N:N,B20,'Match History'!A:A,"&gt;="&amp;(DATE(2022,12,31)-92))
+COUNTIFS('Match History'!R:R,B20,'Match History'!A:A,"&gt;="&amp;(DATE(2022,12,31)-92))
+COUNTIFS('Match History'!V:V,B20,'Match History'!A:A,"&gt;="&amp;(DATE(2022,12,31)-92))
+COUNTIFS('Match History'!Z:Z,B20,'Match History'!A:A,"&gt;="&amp;(DATE(2022,12,31)-92))
+COUNTIFS('Match History'!AD:AD,B20,'Match History'!A:A,"&gt;="&amp;(DATE(2022,12,31)-92))
+COUNTIFS('Match History'!AH:AH,B20,'Match History'!A:A,"&gt;="&amp;(DATE(2022,12,31)-92))
+COUNTIFS('Match History'!AL:AL,B20,'Match History'!A:A,"&gt;="&amp;(DATE(2022,12,31)-92))
+COUNTIFS('Match History'!AV:AV,B20,'Match History'!A:A,"&gt;="&amp;(DATE(2022,12,31)-92))
+COUNTIFS('Match History'!AZ:AZ,B20,'Match History'!A:A,"&gt;="&amp;(DATE(2022,12,31)-92))
+COUNTIFS('Match History'!BD:BD,B20,'Match History'!A:A,"&gt;="&amp;(DATE(2022,12,31)-92))
+COUNTIFS('Match History'!BH:BH,B20,'Match History'!A:A,"&gt;="&amp;(DATE(2022,12,31)-92))
</f>
        <v>0</v>
      </c>
      <c r="V20" s="20">
        <f>IF(U20=0,0,(SUMIFS('Match History'!D:D,'Match History'!A:A,"&gt;=10/01/2022 00:00",'Match History'!A:A,"&lt;=12/31/2022 23:59",'Match History'!B:B,B20)
+SUMIFS('Match History'!H:H,'Match History'!A:A,"&gt;=10/01/2022 00:00",'Match History'!A:A,"&lt;=12/31/2022 23:59",'Match History'!F:F,B20)
+SUMIFS('Match History'!L:L,'Match History'!A:A,"&gt;=10/01/2022 00:00",'Match History'!A:A,"&lt;=12/31/2022 23:59",'Match History'!J:J,B20)
+SUMIFS('Match History'!P:P,'Match History'!A:A,"&gt;=10/01/2022 00:00",'Match History'!A:A,"&lt;=12/31/2022 23:59",'Match History'!N:N,B20)
+SUMIFS('Match History'!T:T,'Match History'!A:A,"&gt;=10/01/2022 00:00",'Match History'!A:A,"&lt;=12/31/2022 23:59",'Match History'!R:R,B20)
+SUMIFS('Match History'!X:X,'Match History'!A:A,"&gt;=10/01/2022 00:00",'Match History'!A:A,"&lt;=12/31/2022 23:59",'Match History'!V:V,B20)
+SUMIFS('Match History'!AB:AB,'Match History'!A:A,"&gt;=10/01/2022 00:00",'Match History'!A:A,"&lt;=12/31/2022 23:59",'Match History'!Z:Z,B20)
+SUMIFS('Match History'!AF:AF,'Match History'!A:A,"&gt;=10/01/2022 00:00",'Match History'!A:A,"&lt;=12/31/2022 23:59",'Match History'!AD:AD,B20)
+SUMIFS('Match History'!AJ:AJ,'Match History'!A:A,"&gt;=10/01/2022 00:00",'Match History'!A:A,"&lt;=12/31/2022 23:59",'Match History'!AH:AH,B20)
+SUMIFS('Match History'!AN:AN,'Match History'!A:A,"&gt;=10/01/2022 00:00",'Match History'!A:A,"&lt;=12/31/2022 23:59",'Match History'!AL:AL,B20)
+SUMIFS('Match History'!AX:AX,'Match History'!A:A,"&gt;=10/01/2022 00:00",'Match History'!A:A,"&lt;=12/31/2022 23:59",'Match History'!AV:AV,B20)+SUMIFS('Match History'!BB:BB,'Match History'!A:A,"&gt;=10/01/2022 00:00",'Match History'!A:A,"&lt;=12/31/2022 23:59",'Match History'!AZ:AZ,B20)
+SUMIFS('Match History'!BF:BF,'Match History'!A:A,"&gt;=10/01/2022 00:00",'Match History'!A:A,"&lt;=12/31/2022 23:59",'Match History'!BD:BD,B20)
+SUMIFS('Match History'!BJ:BJ,'Match History'!A:A,"&gt;=10/01/2022 00:00",'Match History'!A:A,"&lt;=12/31/2022 23:59",'Match History'!BH:BH,B20))/U20)
</f>
        <v>0</v>
      </c>
    </row>
    <row r="21" ht="21.0" customHeight="1">
      <c r="A21" s="44" t="s">
        <v>73</v>
      </c>
      <c r="B21" s="44" t="s">
        <v>74</v>
      </c>
      <c r="C21" s="45">
        <v>996.7000099988677</v>
      </c>
      <c r="D21" s="13">
        <f>NORMDIST(C21,1000,STDEV(Players!$C$2:$C$39)+0.00001,TRUE)</f>
        <v>0.4840631755</v>
      </c>
      <c r="E21" s="46"/>
      <c r="F21" s="47">
        <f>COUNTIF('Match History'!A:BK,"fanxy")</f>
        <v>2</v>
      </c>
      <c r="G21" s="48" t="s">
        <v>41</v>
      </c>
      <c r="H21" s="44" t="s">
        <v>29</v>
      </c>
      <c r="L21" s="18" t="b">
        <f t="shared" si="2"/>
        <v>1</v>
      </c>
      <c r="M21" s="17" t="b">
        <v>0</v>
      </c>
      <c r="N21" s="19">
        <f t="array" ref="N21">IF(F21=0, "no war", INDEX('Match History'!A:A, MAX(MAX(('Match History'!B:B=B21)*(ROW('Match History'!B:B))),MAX(('Match History'!F:F=B21)*(ROW('Match History'!F:F))),MAX(('Match History'!J:J=B21)*(ROW('Match History'!J:J))),MAX(('Match History'!N:N=B21)*(ROW('Match History'!N:N))),MAX(('Match History'!R:R=B21)*(ROW('Match History'!R:R))),MAX(('Match History'!V:V=B21)*(ROW('Match History'!V:V))),MAX(('Match History'!Z:Z=B21)*(ROW('Match History'!Z:Z))),MAX(('Match History'!AD:AD=B21)*(ROW('Match History'!AD:AD))),MAX(('Match History'!AH:AH=B21)*(ROW('Match History'!AH:AH))),MAX(('Match History'!AL:AL=B21)*(ROW('Match History'!AL:AL))),MAX(('Match History'!AV:AV=B21)*(ROW('Match History'!AV:AV))),MAX(('Match History'!AZ:AZ=B21)*(ROW('Match History'!AZ:AZ))),MAX(('Match History'!BD:BD=B21)*(ROW('Match History'!BD:BD))),MAX(('Match History'!BH:BH=B21)*(ROW('Match History'!BH:BH)))), 1))
</f>
        <v>44912.47119</v>
      </c>
      <c r="O21" s="20">
        <f>(SUMIF('Match History'!B:B,B21,'Match History'!D:D)+SUMIF('Match History'!F:F,B21,'Match History'!H:H)+SUMIF('Match History'!J:J,B21,'Match History'!L:L)+SUMIF('Match History'!N:N,B21,'Match History'!P:P)+SUMIF('Match History'!R:R,B21,'Match History'!T:T)+SUMIF('Match History'!V:V,B21,'Match History'!X:X)+SUMIF('Match History'!Z:Z,B21,'Match History'!AB:AB)+SUMIF('Match History'!AD:AD,B21,'Match History'!AF:AF)+SUMIF('Match History'!AH:AH,B21,'Match History'!AJ:AJ)+SUMIF('Match History'!AL:AL,B21,'Match History'!AN:AN)+SUMIF('Match History'!AV:AV,B21,'Match History'!AX:AX)+SUMIF('Match History'!AZ:AZ,B21,'Match History'!BB:BB)+SUMIF('Match History'!BD:BD,B21,'Match History'!BF:BF)+SUMIF('Match History'!BH:BH,B21,'Match History'!BJ:BJ))/IF(F21=0,1,F21)</f>
        <v>15.5</v>
      </c>
      <c r="P21" s="21">
        <f t="array" ref="P21">MAX(MAX(IF('Match History'!B:B=B21,'Match History'!D:D,)),MAX(IF('Match History'!F:F=B21,'Match History'!H:H,)),MAX(IF('Match History'!J:J=B21,'Match History'!L:L,)),MAX(IF('Match History'!N:N=B21,'Match History'!P:P,)),MAX(IF('Match History'!R:R=B21,'Match History'!T:T,)),MAX(IF('Match History'!V:V=B21,'Match History'!X:X,)),MAX(IF('Match History'!Z:Z=B21,'Match History'!AB:AB,)),MAX(IF('Match History'!AD:AD=B21,'Match History'!AF:AF,)),MAX(IF('Match History'!AH:AH=B21,'Match History'!AJ:AJ,)),MAX(IF('Match History'!AL:AL=B21,'Match History'!AN:AN,)),MAX(IF('Match History'!AV:AV=B21,'Match History'!AX:AX,)),MAX(IF('Match History'!AZ:AZ=B21,'Match History'!BB:BB,)),MAX(IF('Match History'!BD:BD=B21,'Match History'!BF:BF,)),MAX(IF('Match History'!BH:BH=B21,'Match History'!BJ:BJ,)))</f>
        <v>21</v>
      </c>
      <c r="Q21" s="21">
        <f t="array" ref="Q21">IF(F21=0,0,MIN(MIN(IF('Match History'!B:B=B21,'Match History'!D:D,999)),MIN(IF('Match History'!F:F=B21,'Match History'!H:H,999)),MIN(IF('Match History'!J:J=B21,'Match History'!L:L,999)),MIN(IF('Match History'!N:N=B21,'Match History'!P:P,999)),MIN(IF('Match History'!R:R=B21,'Match History'!T:T,999)),MIN(IF('Match History'!V:V=B21,'Match History'!X:X,999)),MIN(IF('Match History'!Z:Z=B21,'Match History'!AB:AB,999)),MIN(IF('Match History'!AD:AD=B21,'Match History'!AF:AF,999)),MIN(IF('Match History'!AH:AH=B21,'Match History'!AJ:AJ,999)),MIN(IF('Match History'!AL:AL=B21,'Match History'!AN:AN,999)),MIN(IF('Match History'!AV:AV=B21,'Match History'!AX:AX,999)),MIN(IF('Match History'!AZ:AZ=B21,'Match History'!BB:BB,999)),MIN(IF('Match History'!BD:BD=B21,'Match History'!BF:BF,999)),MIN(IF('Match History'!BH:BH=B21,'Match History'!BJ:BJ,999))))</f>
        <v>10</v>
      </c>
      <c r="R21" s="21">
        <f>COUNTIFS('Match History'!B:B,B21,'Match History'!A:A,"&gt;="&amp;(DATE(2022,12,31)-30))+COUNTIFS('Match History'!F:F,B21,'Match History'!A:A,"&gt;="&amp;(DATE(2022,12,31)-30))+COUNTIFS('Match History'!J:J,B21,'Match History'!A:A,"&gt;="&amp;(DATE(2022,12,31)-30))+COUNTIFS('Match History'!N:N,B21,'Match History'!A:A,"&gt;="&amp;(DATE(2022,12,31)-30))+COUNTIFS('Match History'!R:R,B21,'Match History'!A:A,"&gt;="&amp;(DATE(2022,12,31)-30))+COUNTIFS('Match History'!V:V,B21,'Match History'!A:A,"&gt;="&amp;(DATE(2022,12,31)-30))+COUNTIFS('Match History'!Z:Z,B21,'Match History'!A:A,"&gt;="&amp;(DATE(2022,12,31)-30))+COUNTIFS('Match History'!AD:AD,B21,'Match History'!A:A,"&gt;="&amp;(DATE(2022,12,31)-30))+COUNTIFS('Match History'!AH:AH,B21,'Match History'!A:A,"&gt;="&amp;(DATE(2022,12,31)-30))+COUNTIFS('Match History'!AL:AL,B21,'Match History'!A:A,"&gt;="&amp;(DATE(2022,12,31)-30))+COUNTIFS('Match History'!AV:AV,B21,'Match History'!A:A,"&gt;="&amp;(DATE(2022,12,31)-30))+COUNTIFS('Match History'!AZ:AZ,B21,'Match History'!A:A,"&gt;="&amp;(DATE(2022,12,31)-30))+COUNTIFS('Match History'!BD:BD,B21,'Match History'!A:A,"&gt;="&amp;(DATE(2022,12,31)-30))+COUNTIFS('Match History'!BH:BH,B21,'Match History'!A:A,"&gt;="&amp;(DATE(2022,12,31)-30))
</f>
        <v>1</v>
      </c>
      <c r="S21" s="21">
        <f>COUNTIFS('Match History'!B:B,B21,'Match History'!A:A,"&gt;="&amp;(DATE(2022,12,31)-365))+COUNTIFS('Match History'!F:F,B21,'Match History'!A:A,"&gt;="&amp;(DATE(2022,12,31)-365))+COUNTIFS('Match History'!J:J,B21,'Match History'!A:A,"&gt;="&amp;(DATE(2022,12,31)-365))+COUNTIFS('Match History'!N:N,B21,'Match History'!A:A,"&gt;="&amp;(DATE(2022,12,31)-365))+COUNTIFS('Match History'!R:R,B21,'Match History'!A:A,"&gt;="&amp;(DATE(2022,12,31)-365))+COUNTIFS('Match History'!V:V,B21,'Match History'!A:A,"&gt;="&amp;(DATE(2022,12,31)-365))+COUNTIFS('Match History'!Z:Z,B21,'Match History'!A:A,"&gt;="&amp;(DATE(2022,12,31)-365))+COUNTIFS('Match History'!AD:AD,B21,'Match History'!A:A,"&gt;="&amp;(DATE(2022,12,31)-365))+COUNTIFS('Match History'!AH:AH,B21,'Match History'!A:A,"&gt;="&amp;(DATE(2022,12,31)-365))+COUNTIFS('Match History'!AL:AL,B21,'Match History'!A:A,"&gt;="&amp;(DATE(2022,12,31)-365))+COUNTIFS('Match History'!AV:AV,B21,'Match History'!A:A,"&gt;="&amp;(DATE(2022,12,31)-365))+COUNTIFS('Match History'!AZ:AZ,B21,'Match History'!A:A,"&gt;="&amp;(DATE(2022,12,31)-365))+COUNTIFS('Match History'!BD:BD,B21,'Match History'!A:A,"&gt;="&amp;(DATE(2022,12,31)-365))+COUNTIFS('Match History'!BH:BH,B21,'Match History'!A:A,"&gt;="&amp;(DATE(2022,12,31)-365))
</f>
        <v>1</v>
      </c>
      <c r="T21" s="20">
        <f t="array" ref="T21">IF(F21=0,0,INDEX('Match History'!B:BK,MATCH(N21,'Match History'!A:A,0),MATCH(B21,INDEX('Match History'!B:BK,MATCH(N21,'Match History'!A:A,0),0),0)+3)-INDEX('Match History'!B:BK,MATCH(N21,'Match History'!A:A,0),MATCH(B21,INDEX('Match History'!B:BK,MATCH(N21,'Match History'!A:A,0),0),0)+1))</f>
        <v>-7.406220985</v>
      </c>
      <c r="U21" s="21">
        <f>COUNTIFS('Match History'!B:B,B21,'Match History'!A:A,"&gt;="&amp;(DATE(2022,12,31)-92))
+COUNTIFS('Match History'!F:F,B21,'Match History'!A:A,"&gt;="&amp;(DATE(2022,12,31)-92))
+COUNTIFS('Match History'!J:J,B21,'Match History'!A:A,"&gt;="&amp;(DATE(2022,12,31)-92))
+COUNTIFS('Match History'!N:N,B21,'Match History'!A:A,"&gt;="&amp;(DATE(2022,12,31)-92))
+COUNTIFS('Match History'!R:R,B21,'Match History'!A:A,"&gt;="&amp;(DATE(2022,12,31)-92))
+COUNTIFS('Match History'!V:V,B21,'Match History'!A:A,"&gt;="&amp;(DATE(2022,12,31)-92))
+COUNTIFS('Match History'!Z:Z,B21,'Match History'!A:A,"&gt;="&amp;(DATE(2022,12,31)-92))
+COUNTIFS('Match History'!AD:AD,B21,'Match History'!A:A,"&gt;="&amp;(DATE(2022,12,31)-92))
+COUNTIFS('Match History'!AH:AH,B21,'Match History'!A:A,"&gt;="&amp;(DATE(2022,12,31)-92))
+COUNTIFS('Match History'!AL:AL,B21,'Match History'!A:A,"&gt;="&amp;(DATE(2022,12,31)-92))
+COUNTIFS('Match History'!AV:AV,B21,'Match History'!A:A,"&gt;="&amp;(DATE(2022,12,31)-92))
+COUNTIFS('Match History'!AZ:AZ,B21,'Match History'!A:A,"&gt;="&amp;(DATE(2022,12,31)-92))
+COUNTIFS('Match History'!BD:BD,B21,'Match History'!A:A,"&gt;="&amp;(DATE(2022,12,31)-92))
+COUNTIFS('Match History'!BH:BH,B21,'Match History'!A:A,"&gt;="&amp;(DATE(2022,12,31)-92))
</f>
        <v>1</v>
      </c>
      <c r="V21" s="20">
        <f>IF(U21=0,0,(SUMIFS('Match History'!D:D,'Match History'!A:A,"&gt;=10/01/2022 00:00",'Match History'!A:A,"&lt;=12/31/2022 23:59",'Match History'!B:B,B21)
+SUMIFS('Match History'!H:H,'Match History'!A:A,"&gt;=10/01/2022 00:00",'Match History'!A:A,"&lt;=12/31/2022 23:59",'Match History'!F:F,B21)
+SUMIFS('Match History'!L:L,'Match History'!A:A,"&gt;=10/01/2022 00:00",'Match History'!A:A,"&lt;=12/31/2022 23:59",'Match History'!J:J,B21)
+SUMIFS('Match History'!P:P,'Match History'!A:A,"&gt;=10/01/2022 00:00",'Match History'!A:A,"&lt;=12/31/2022 23:59",'Match History'!N:N,B21)
+SUMIFS('Match History'!T:T,'Match History'!A:A,"&gt;=10/01/2022 00:00",'Match History'!A:A,"&lt;=12/31/2022 23:59",'Match History'!R:R,B21)
+SUMIFS('Match History'!X:X,'Match History'!A:A,"&gt;=10/01/2022 00:00",'Match History'!A:A,"&lt;=12/31/2022 23:59",'Match History'!V:V,B21)
+SUMIFS('Match History'!AB:AB,'Match History'!A:A,"&gt;=10/01/2022 00:00",'Match History'!A:A,"&lt;=12/31/2022 23:59",'Match History'!Z:Z,B21)
+SUMIFS('Match History'!AF:AF,'Match History'!A:A,"&gt;=10/01/2022 00:00",'Match History'!A:A,"&lt;=12/31/2022 23:59",'Match History'!AD:AD,B21)
+SUMIFS('Match History'!AJ:AJ,'Match History'!A:A,"&gt;=10/01/2022 00:00",'Match History'!A:A,"&lt;=12/31/2022 23:59",'Match History'!AH:AH,B21)
+SUMIFS('Match History'!AN:AN,'Match History'!A:A,"&gt;=10/01/2022 00:00",'Match History'!A:A,"&lt;=12/31/2022 23:59",'Match History'!AL:AL,B21)
+SUMIFS('Match History'!AX:AX,'Match History'!A:A,"&gt;=10/01/2022 00:00",'Match History'!A:A,"&lt;=12/31/2022 23:59",'Match History'!AV:AV,B21)+SUMIFS('Match History'!BB:BB,'Match History'!A:A,"&gt;=10/01/2022 00:00",'Match History'!A:A,"&lt;=12/31/2022 23:59",'Match History'!AZ:AZ,B21)
+SUMIFS('Match History'!BF:BF,'Match History'!A:A,"&gt;=10/01/2022 00:00",'Match History'!A:A,"&lt;=12/31/2022 23:59",'Match History'!BD:BD,B21)
+SUMIFS('Match History'!BJ:BJ,'Match History'!A:A,"&gt;=10/01/2022 00:00",'Match History'!A:A,"&lt;=12/31/2022 23:59",'Match History'!BH:BH,B21))/U21)
</f>
        <v>10</v>
      </c>
    </row>
    <row r="22" ht="21.0" customHeight="1">
      <c r="A22" s="44" t="s">
        <v>75</v>
      </c>
      <c r="B22" s="44" t="s">
        <v>76</v>
      </c>
      <c r="C22" s="45">
        <v>996.6051758009963</v>
      </c>
      <c r="D22" s="13">
        <f>NORMDIST(C22,1000,STDEV(Players!$C$2:$C$39)+0.00001,TRUE)</f>
        <v>0.4836054417</v>
      </c>
      <c r="E22" s="46"/>
      <c r="F22" s="47">
        <f>COUNTIF('Match History'!A:BK,"reyalz")</f>
        <v>2</v>
      </c>
      <c r="G22" s="48" t="s">
        <v>41</v>
      </c>
      <c r="H22" s="44" t="s">
        <v>29</v>
      </c>
      <c r="L22" s="18" t="b">
        <f t="shared" si="2"/>
        <v>1</v>
      </c>
      <c r="M22" s="17" t="b">
        <v>0</v>
      </c>
      <c r="N22" s="19">
        <f t="array" ref="N22">IF(F22=0, "no war", INDEX('Match History'!A:A, MAX(MAX(('Match History'!B:B=B22)*(ROW('Match History'!B:B))),MAX(('Match History'!F:F=B22)*(ROW('Match History'!F:F))),MAX(('Match History'!J:J=B22)*(ROW('Match History'!J:J))),MAX(('Match History'!N:N=B22)*(ROW('Match History'!N:N))),MAX(('Match History'!R:R=B22)*(ROW('Match History'!R:R))),MAX(('Match History'!V:V=B22)*(ROW('Match History'!V:V))),MAX(('Match History'!Z:Z=B22)*(ROW('Match History'!Z:Z))),MAX(('Match History'!AD:AD=B22)*(ROW('Match History'!AD:AD))),MAX(('Match History'!AH:AH=B22)*(ROW('Match History'!AH:AH))),MAX(('Match History'!AL:AL=B22)*(ROW('Match History'!AL:AL))),MAX(('Match History'!AV:AV=B22)*(ROW('Match History'!AV:AV))),MAX(('Match History'!AZ:AZ=B22)*(ROW('Match History'!AZ:AZ))),MAX(('Match History'!BD:BD=B22)*(ROW('Match History'!BD:BD))),MAX(('Match History'!BH:BH=B22)*(ROW('Match History'!BH:BH)))), 1))
</f>
        <v>44925.71932</v>
      </c>
      <c r="O22" s="20">
        <f>(SUMIF('Match History'!B:B,B22,'Match History'!D:D)+SUMIF('Match History'!F:F,B22,'Match History'!H:H)+SUMIF('Match History'!J:J,B22,'Match History'!L:L)+SUMIF('Match History'!N:N,B22,'Match History'!P:P)+SUMIF('Match History'!R:R,B22,'Match History'!T:T)+SUMIF('Match History'!V:V,B22,'Match History'!X:X)+SUMIF('Match History'!Z:Z,B22,'Match History'!AB:AB)+SUMIF('Match History'!AD:AD,B22,'Match History'!AF:AF)+SUMIF('Match History'!AH:AH,B22,'Match History'!AJ:AJ)+SUMIF('Match History'!AL:AL,B22,'Match History'!AN:AN)+SUMIF('Match History'!AV:AV,B22,'Match History'!AX:AX)+SUMIF('Match History'!AZ:AZ,B22,'Match History'!BB:BB)+SUMIF('Match History'!BD:BD,B22,'Match History'!BF:BF)+SUMIF('Match History'!BH:BH,B22,'Match History'!BJ:BJ))/IF(F22=0,1,F22)</f>
        <v>18</v>
      </c>
      <c r="P22" s="21">
        <f t="array" ref="P22">MAX(MAX(IF('Match History'!B:B=B22,'Match History'!D:D,)),MAX(IF('Match History'!F:F=B22,'Match History'!H:H,)),MAX(IF('Match History'!J:J=B22,'Match History'!L:L,)),MAX(IF('Match History'!N:N=B22,'Match History'!P:P,)),MAX(IF('Match History'!R:R=B22,'Match History'!T:T,)),MAX(IF('Match History'!V:V=B22,'Match History'!X:X,)),MAX(IF('Match History'!Z:Z=B22,'Match History'!AB:AB,)),MAX(IF('Match History'!AD:AD=B22,'Match History'!AF:AF,)),MAX(IF('Match History'!AH:AH=B22,'Match History'!AJ:AJ,)),MAX(IF('Match History'!AL:AL=B22,'Match History'!AN:AN,)),MAX(IF('Match History'!AV:AV=B22,'Match History'!AX:AX,)),MAX(IF('Match History'!AZ:AZ=B22,'Match History'!BB:BB,)),MAX(IF('Match History'!BD:BD=B22,'Match History'!BF:BF,)),MAX(IF('Match History'!BH:BH=B22,'Match History'!BJ:BJ,)))</f>
        <v>23</v>
      </c>
      <c r="Q22" s="21">
        <f t="array" ref="Q22">IF(F22=0,0,MIN(MIN(IF('Match History'!B:B=B22,'Match History'!D:D,999)),MIN(IF('Match History'!F:F=B22,'Match History'!H:H,999)),MIN(IF('Match History'!J:J=B22,'Match History'!L:L,999)),MIN(IF('Match History'!N:N=B22,'Match History'!P:P,999)),MIN(IF('Match History'!R:R=B22,'Match History'!T:T,999)),MIN(IF('Match History'!V:V=B22,'Match History'!X:X,999)),MIN(IF('Match History'!Z:Z=B22,'Match History'!AB:AB,999)),MIN(IF('Match History'!AD:AD=B22,'Match History'!AF:AF,999)),MIN(IF('Match History'!AH:AH=B22,'Match History'!AJ:AJ,999)),MIN(IF('Match History'!AL:AL=B22,'Match History'!AN:AN,999)),MIN(IF('Match History'!AV:AV=B22,'Match History'!AX:AX,999)),MIN(IF('Match History'!AZ:AZ=B22,'Match History'!BB:BB,999)),MIN(IF('Match History'!BD:BD=B22,'Match History'!BF:BF,999)),MIN(IF('Match History'!BH:BH=B22,'Match History'!BJ:BJ,999))))</f>
        <v>13</v>
      </c>
      <c r="R22" s="21">
        <f>COUNTIFS('Match History'!B:B,B22,'Match History'!A:A,"&gt;="&amp;(DATE(2022,12,31)-30))+COUNTIFS('Match History'!F:F,B22,'Match History'!A:A,"&gt;="&amp;(DATE(2022,12,31)-30))+COUNTIFS('Match History'!J:J,B22,'Match History'!A:A,"&gt;="&amp;(DATE(2022,12,31)-30))+COUNTIFS('Match History'!N:N,B22,'Match History'!A:A,"&gt;="&amp;(DATE(2022,12,31)-30))+COUNTIFS('Match History'!R:R,B22,'Match History'!A:A,"&gt;="&amp;(DATE(2022,12,31)-30))+COUNTIFS('Match History'!V:V,B22,'Match History'!A:A,"&gt;="&amp;(DATE(2022,12,31)-30))+COUNTIFS('Match History'!Z:Z,B22,'Match History'!A:A,"&gt;="&amp;(DATE(2022,12,31)-30))+COUNTIFS('Match History'!AD:AD,B22,'Match History'!A:A,"&gt;="&amp;(DATE(2022,12,31)-30))+COUNTIFS('Match History'!AH:AH,B22,'Match History'!A:A,"&gt;="&amp;(DATE(2022,12,31)-30))+COUNTIFS('Match History'!AL:AL,B22,'Match History'!A:A,"&gt;="&amp;(DATE(2022,12,31)-30))+COUNTIFS('Match History'!AV:AV,B22,'Match History'!A:A,"&gt;="&amp;(DATE(2022,12,31)-30))+COUNTIFS('Match History'!AZ:AZ,B22,'Match History'!A:A,"&gt;="&amp;(DATE(2022,12,31)-30))+COUNTIFS('Match History'!BD:BD,B22,'Match History'!A:A,"&gt;="&amp;(DATE(2022,12,31)-30))+COUNTIFS('Match History'!BH:BH,B22,'Match History'!A:A,"&gt;="&amp;(DATE(2022,12,31)-30))
</f>
        <v>2</v>
      </c>
      <c r="S22" s="21">
        <f>COUNTIFS('Match History'!B:B,B22,'Match History'!A:A,"&gt;="&amp;(DATE(2022,12,31)-365))+COUNTIFS('Match History'!F:F,B22,'Match History'!A:A,"&gt;="&amp;(DATE(2022,12,31)-365))+COUNTIFS('Match History'!J:J,B22,'Match History'!A:A,"&gt;="&amp;(DATE(2022,12,31)-365))+COUNTIFS('Match History'!N:N,B22,'Match History'!A:A,"&gt;="&amp;(DATE(2022,12,31)-365))+COUNTIFS('Match History'!R:R,B22,'Match History'!A:A,"&gt;="&amp;(DATE(2022,12,31)-365))+COUNTIFS('Match History'!V:V,B22,'Match History'!A:A,"&gt;="&amp;(DATE(2022,12,31)-365))+COUNTIFS('Match History'!Z:Z,B22,'Match History'!A:A,"&gt;="&amp;(DATE(2022,12,31)-365))+COUNTIFS('Match History'!AD:AD,B22,'Match History'!A:A,"&gt;="&amp;(DATE(2022,12,31)-365))+COUNTIFS('Match History'!AH:AH,B22,'Match History'!A:A,"&gt;="&amp;(DATE(2022,12,31)-365))+COUNTIFS('Match History'!AL:AL,B22,'Match History'!A:A,"&gt;="&amp;(DATE(2022,12,31)-365))+COUNTIFS('Match History'!AV:AV,B22,'Match History'!A:A,"&gt;="&amp;(DATE(2022,12,31)-365))+COUNTIFS('Match History'!AZ:AZ,B22,'Match History'!A:A,"&gt;="&amp;(DATE(2022,12,31)-365))+COUNTIFS('Match History'!BD:BD,B22,'Match History'!A:A,"&gt;="&amp;(DATE(2022,12,31)-365))+COUNTIFS('Match History'!BH:BH,B22,'Match History'!A:A,"&gt;="&amp;(DATE(2022,12,31)-365))
</f>
        <v>2</v>
      </c>
      <c r="T22" s="20">
        <f t="array" ref="T22">IF(F22=0,0,INDEX('Match History'!B:BK,MATCH(N22,'Match History'!A:A,0),MATCH(B22,INDEX('Match History'!B:BK,MATCH(N22,'Match History'!A:A,0),0),0)+3)-INDEX('Match History'!B:BK,MATCH(N22,'Match History'!A:A,0),MATCH(B22,INDEX('Match History'!B:BK,MATCH(N22,'Match History'!A:A,0),0),0)+1))</f>
        <v>2.849151598</v>
      </c>
      <c r="U22" s="21">
        <f>COUNTIFS('Match History'!B:B,B22,'Match History'!A:A,"&gt;="&amp;(DATE(2022,12,31)-92))
+COUNTIFS('Match History'!F:F,B22,'Match History'!A:A,"&gt;="&amp;(DATE(2022,12,31)-92))
+COUNTIFS('Match History'!J:J,B22,'Match History'!A:A,"&gt;="&amp;(DATE(2022,12,31)-92))
+COUNTIFS('Match History'!N:N,B22,'Match History'!A:A,"&gt;="&amp;(DATE(2022,12,31)-92))
+COUNTIFS('Match History'!R:R,B22,'Match History'!A:A,"&gt;="&amp;(DATE(2022,12,31)-92))
+COUNTIFS('Match History'!V:V,B22,'Match History'!A:A,"&gt;="&amp;(DATE(2022,12,31)-92))
+COUNTIFS('Match History'!Z:Z,B22,'Match History'!A:A,"&gt;="&amp;(DATE(2022,12,31)-92))
+COUNTIFS('Match History'!AD:AD,B22,'Match History'!A:A,"&gt;="&amp;(DATE(2022,12,31)-92))
+COUNTIFS('Match History'!AH:AH,B22,'Match History'!A:A,"&gt;="&amp;(DATE(2022,12,31)-92))
+COUNTIFS('Match History'!AL:AL,B22,'Match History'!A:A,"&gt;="&amp;(DATE(2022,12,31)-92))
+COUNTIFS('Match History'!AV:AV,B22,'Match History'!A:A,"&gt;="&amp;(DATE(2022,12,31)-92))
+COUNTIFS('Match History'!AZ:AZ,B22,'Match History'!A:A,"&gt;="&amp;(DATE(2022,12,31)-92))
+COUNTIFS('Match History'!BD:BD,B22,'Match History'!A:A,"&gt;="&amp;(DATE(2022,12,31)-92))
+COUNTIFS('Match History'!BH:BH,B22,'Match History'!A:A,"&gt;="&amp;(DATE(2022,12,31)-92))
</f>
        <v>2</v>
      </c>
      <c r="V22" s="20">
        <f>IF(U22=0,0,(SUMIFS('Match History'!D:D,'Match History'!A:A,"&gt;=10/01/2022 00:00",'Match History'!A:A,"&lt;=12/31/2022 23:59",'Match History'!B:B,B22)
+SUMIFS('Match History'!H:H,'Match History'!A:A,"&gt;=10/01/2022 00:00",'Match History'!A:A,"&lt;=12/31/2022 23:59",'Match History'!F:F,B22)
+SUMIFS('Match History'!L:L,'Match History'!A:A,"&gt;=10/01/2022 00:00",'Match History'!A:A,"&lt;=12/31/2022 23:59",'Match History'!J:J,B22)
+SUMIFS('Match History'!P:P,'Match History'!A:A,"&gt;=10/01/2022 00:00",'Match History'!A:A,"&lt;=12/31/2022 23:59",'Match History'!N:N,B22)
+SUMIFS('Match History'!T:T,'Match History'!A:A,"&gt;=10/01/2022 00:00",'Match History'!A:A,"&lt;=12/31/2022 23:59",'Match History'!R:R,B22)
+SUMIFS('Match History'!X:X,'Match History'!A:A,"&gt;=10/01/2022 00:00",'Match History'!A:A,"&lt;=12/31/2022 23:59",'Match History'!V:V,B22)
+SUMIFS('Match History'!AB:AB,'Match History'!A:A,"&gt;=10/01/2022 00:00",'Match History'!A:A,"&lt;=12/31/2022 23:59",'Match History'!Z:Z,B22)
+SUMIFS('Match History'!AF:AF,'Match History'!A:A,"&gt;=10/01/2022 00:00",'Match History'!A:A,"&lt;=12/31/2022 23:59",'Match History'!AD:AD,B22)
+SUMIFS('Match History'!AJ:AJ,'Match History'!A:A,"&gt;=10/01/2022 00:00",'Match History'!A:A,"&lt;=12/31/2022 23:59",'Match History'!AH:AH,B22)
+SUMIFS('Match History'!AN:AN,'Match History'!A:A,"&gt;=10/01/2022 00:00",'Match History'!A:A,"&lt;=12/31/2022 23:59",'Match History'!AL:AL,B22)
+SUMIFS('Match History'!AX:AX,'Match History'!A:A,"&gt;=10/01/2022 00:00",'Match History'!A:A,"&lt;=12/31/2022 23:59",'Match History'!AV:AV,B22)+SUMIFS('Match History'!BB:BB,'Match History'!A:A,"&gt;=10/01/2022 00:00",'Match History'!A:A,"&lt;=12/31/2022 23:59",'Match History'!AZ:AZ,B22)
+SUMIFS('Match History'!BF:BF,'Match History'!A:A,"&gt;=10/01/2022 00:00",'Match History'!A:A,"&lt;=12/31/2022 23:59",'Match History'!BD:BD,B22)
+SUMIFS('Match History'!BJ:BJ,'Match History'!A:A,"&gt;=10/01/2022 00:00",'Match History'!A:A,"&lt;=12/31/2022 23:59",'Match History'!BH:BH,B22))/U22)
</f>
        <v>18</v>
      </c>
    </row>
    <row r="23">
      <c r="A23" s="44" t="s">
        <v>77</v>
      </c>
      <c r="B23" s="44" t="s">
        <v>78</v>
      </c>
      <c r="C23" s="45">
        <v>995.1824373839869</v>
      </c>
      <c r="D23" s="49">
        <f>NORMDIST(C23,1000,STDEV(Players!$C$2:$C$39)+0.00001,TRUE)</f>
        <v>0.4767412783</v>
      </c>
      <c r="F23" s="75">
        <f>COUNTIF('Match History'!A:BK,"snake")</f>
        <v>52</v>
      </c>
      <c r="G23" s="48" t="s">
        <v>24</v>
      </c>
      <c r="L23" s="18" t="b">
        <f t="shared" si="2"/>
        <v>1</v>
      </c>
      <c r="M23" s="17" t="b">
        <v>0</v>
      </c>
      <c r="N23" s="19">
        <f t="array" ref="N23">IF(F23=0, "no war", INDEX('Match History'!A:A, MAX(MAX(('Match History'!B:B=B23)*(ROW('Match History'!B:B))),MAX(('Match History'!F:F=B23)*(ROW('Match History'!F:F))),MAX(('Match History'!J:J=B23)*(ROW('Match History'!J:J))),MAX(('Match History'!N:N=B23)*(ROW('Match History'!N:N))),MAX(('Match History'!R:R=B23)*(ROW('Match History'!R:R))),MAX(('Match History'!V:V=B23)*(ROW('Match History'!V:V))),MAX(('Match History'!Z:Z=B23)*(ROW('Match History'!Z:Z))),MAX(('Match History'!AD:AD=B23)*(ROW('Match History'!AD:AD))),MAX(('Match History'!AH:AH=B23)*(ROW('Match History'!AH:AH))),MAX(('Match History'!AL:AL=B23)*(ROW('Match History'!AL:AL))),MAX(('Match History'!AV:AV=B23)*(ROW('Match History'!AV:AV))),MAX(('Match History'!AZ:AZ=B23)*(ROW('Match History'!AZ:AZ))),MAX(('Match History'!BD:BD=B23)*(ROW('Match History'!BD:BD))),MAX(('Match History'!BH:BH=B23)*(ROW('Match History'!BH:BH)))), 1))
</f>
        <v>44923.94562</v>
      </c>
      <c r="O23" s="20">
        <f>(SUMIF('Match History'!B:B,B23,'Match History'!D:D)+SUMIF('Match History'!F:F,B23,'Match History'!H:H)+SUMIF('Match History'!J:J,B23,'Match History'!L:L)+SUMIF('Match History'!N:N,B23,'Match History'!P:P)+SUMIF('Match History'!R:R,B23,'Match History'!T:T)+SUMIF('Match History'!V:V,B23,'Match History'!X:X)+SUMIF('Match History'!Z:Z,B23,'Match History'!AB:AB)+SUMIF('Match History'!AD:AD,B23,'Match History'!AF:AF)+SUMIF('Match History'!AH:AH,B23,'Match History'!AJ:AJ)+SUMIF('Match History'!AL:AL,B23,'Match History'!AN:AN)+SUMIF('Match History'!AV:AV,B23,'Match History'!AX:AX)+SUMIF('Match History'!AZ:AZ,B23,'Match History'!BB:BB)+SUMIF('Match History'!BD:BD,B23,'Match History'!BF:BF)+SUMIF('Match History'!BH:BH,B23,'Match History'!BJ:BJ))/IF(F23=0,1,F23)</f>
        <v>16.40384615</v>
      </c>
      <c r="P23" s="21">
        <f t="array" ref="P23">MAX(MAX(IF('Match History'!B:B=B23,'Match History'!D:D,)),MAX(IF('Match History'!F:F=B23,'Match History'!H:H,)),MAX(IF('Match History'!J:J=B23,'Match History'!L:L,)),MAX(IF('Match History'!N:N=B23,'Match History'!P:P,)),MAX(IF('Match History'!R:R=B23,'Match History'!T:T,)),MAX(IF('Match History'!V:V=B23,'Match History'!X:X,)),MAX(IF('Match History'!Z:Z=B23,'Match History'!AB:AB,)),MAX(IF('Match History'!AD:AD=B23,'Match History'!AF:AF,)),MAX(IF('Match History'!AH:AH=B23,'Match History'!AJ:AJ,)),MAX(IF('Match History'!AL:AL=B23,'Match History'!AN:AN,)),MAX(IF('Match History'!AV:AV=B23,'Match History'!AX:AX,)),MAX(IF('Match History'!AZ:AZ=B23,'Match History'!BB:BB,)),MAX(IF('Match History'!BD:BD=B23,'Match History'!BF:BF,)),MAX(IF('Match History'!BH:BH=B23,'Match History'!BJ:BJ,)))</f>
        <v>30</v>
      </c>
      <c r="Q23" s="21">
        <f t="array" ref="Q23">IF(F23=0,0,MIN(MIN(IF('Match History'!B:B=B23,'Match History'!D:D,999)),MIN(IF('Match History'!F:F=B23,'Match History'!H:H,999)),MIN(IF('Match History'!J:J=B23,'Match History'!L:L,999)),MIN(IF('Match History'!N:N=B23,'Match History'!P:P,999)),MIN(IF('Match History'!R:R=B23,'Match History'!T:T,999)),MIN(IF('Match History'!V:V=B23,'Match History'!X:X,999)),MIN(IF('Match History'!Z:Z=B23,'Match History'!AB:AB,999)),MIN(IF('Match History'!AD:AD=B23,'Match History'!AF:AF,999)),MIN(IF('Match History'!AH:AH=B23,'Match History'!AJ:AJ,999)),MIN(IF('Match History'!AL:AL=B23,'Match History'!AN:AN,999)),MIN(IF('Match History'!AV:AV=B23,'Match History'!AX:AX,999)),MIN(IF('Match History'!AZ:AZ=B23,'Match History'!BB:BB,999)),MIN(IF('Match History'!BD:BD=B23,'Match History'!BF:BF,999)),MIN(IF('Match History'!BH:BH=B23,'Match History'!BJ:BJ,999))))</f>
        <v>6</v>
      </c>
      <c r="R23" s="21">
        <f>COUNTIFS('Match History'!B:B,B23,'Match History'!A:A,"&gt;="&amp;(DATE(2022,12,31)-30))+COUNTIFS('Match History'!F:F,B23,'Match History'!A:A,"&gt;="&amp;(DATE(2022,12,31)-30))+COUNTIFS('Match History'!J:J,B23,'Match History'!A:A,"&gt;="&amp;(DATE(2022,12,31)-30))+COUNTIFS('Match History'!N:N,B23,'Match History'!A:A,"&gt;="&amp;(DATE(2022,12,31)-30))+COUNTIFS('Match History'!R:R,B23,'Match History'!A:A,"&gt;="&amp;(DATE(2022,12,31)-30))+COUNTIFS('Match History'!V:V,B23,'Match History'!A:A,"&gt;="&amp;(DATE(2022,12,31)-30))+COUNTIFS('Match History'!Z:Z,B23,'Match History'!A:A,"&gt;="&amp;(DATE(2022,12,31)-30))+COUNTIFS('Match History'!AD:AD,B23,'Match History'!A:A,"&gt;="&amp;(DATE(2022,12,31)-30))+COUNTIFS('Match History'!AH:AH,B23,'Match History'!A:A,"&gt;="&amp;(DATE(2022,12,31)-30))+COUNTIFS('Match History'!AL:AL,B23,'Match History'!A:A,"&gt;="&amp;(DATE(2022,12,31)-30))+COUNTIFS('Match History'!AV:AV,B23,'Match History'!A:A,"&gt;="&amp;(DATE(2022,12,31)-30))+COUNTIFS('Match History'!AZ:AZ,B23,'Match History'!A:A,"&gt;="&amp;(DATE(2022,12,31)-30))+COUNTIFS('Match History'!BD:BD,B23,'Match History'!A:A,"&gt;="&amp;(DATE(2022,12,31)-30))+COUNTIFS('Match History'!BH:BH,B23,'Match History'!A:A,"&gt;="&amp;(DATE(2022,12,31)-30))
</f>
        <v>1</v>
      </c>
      <c r="S23" s="21">
        <f>COUNTIFS('Match History'!B:B,B23,'Match History'!A:A,"&gt;="&amp;(DATE(2022,12,31)-365))+COUNTIFS('Match History'!F:F,B23,'Match History'!A:A,"&gt;="&amp;(DATE(2022,12,31)-365))+COUNTIFS('Match History'!J:J,B23,'Match History'!A:A,"&gt;="&amp;(DATE(2022,12,31)-365))+COUNTIFS('Match History'!N:N,B23,'Match History'!A:A,"&gt;="&amp;(DATE(2022,12,31)-365))+COUNTIFS('Match History'!R:R,B23,'Match History'!A:A,"&gt;="&amp;(DATE(2022,12,31)-365))+COUNTIFS('Match History'!V:V,B23,'Match History'!A:A,"&gt;="&amp;(DATE(2022,12,31)-365))+COUNTIFS('Match History'!Z:Z,B23,'Match History'!A:A,"&gt;="&amp;(DATE(2022,12,31)-365))+COUNTIFS('Match History'!AD:AD,B23,'Match History'!A:A,"&gt;="&amp;(DATE(2022,12,31)-365))+COUNTIFS('Match History'!AH:AH,B23,'Match History'!A:A,"&gt;="&amp;(DATE(2022,12,31)-365))+COUNTIFS('Match History'!AL:AL,B23,'Match History'!A:A,"&gt;="&amp;(DATE(2022,12,31)-365))+COUNTIFS('Match History'!AV:AV,B23,'Match History'!A:A,"&gt;="&amp;(DATE(2022,12,31)-365))+COUNTIFS('Match History'!AZ:AZ,B23,'Match History'!A:A,"&gt;="&amp;(DATE(2022,12,31)-365))+COUNTIFS('Match History'!BD:BD,B23,'Match History'!A:A,"&gt;="&amp;(DATE(2022,12,31)-365))+COUNTIFS('Match History'!BH:BH,B23,'Match History'!A:A,"&gt;="&amp;(DATE(2022,12,31)-365))
</f>
        <v>1</v>
      </c>
      <c r="T23" s="20">
        <f t="array" ref="T23">IF(F23=0,0,INDEX('Match History'!B:BK,MATCH(N23,'Match History'!A:A,0),MATCH(B23,INDEX('Match History'!B:BK,MATCH(N23,'Match History'!A:A,0),0),0)+3)-INDEX('Match History'!B:BK,MATCH(N23,'Match History'!A:A,0),MATCH(B23,INDEX('Match History'!B:BK,MATCH(N23,'Match History'!A:A,0),0),0)+1))</f>
        <v>-3.39751827</v>
      </c>
      <c r="U23" s="21">
        <f>COUNTIFS('Match History'!B:B,B23,'Match History'!A:A,"&gt;="&amp;(DATE(2022,12,31)-92))
+COUNTIFS('Match History'!F:F,B23,'Match History'!A:A,"&gt;="&amp;(DATE(2022,12,31)-92))
+COUNTIFS('Match History'!J:J,B23,'Match History'!A:A,"&gt;="&amp;(DATE(2022,12,31)-92))
+COUNTIFS('Match History'!N:N,B23,'Match History'!A:A,"&gt;="&amp;(DATE(2022,12,31)-92))
+COUNTIFS('Match History'!R:R,B23,'Match History'!A:A,"&gt;="&amp;(DATE(2022,12,31)-92))
+COUNTIFS('Match History'!V:V,B23,'Match History'!A:A,"&gt;="&amp;(DATE(2022,12,31)-92))
+COUNTIFS('Match History'!Z:Z,B23,'Match History'!A:A,"&gt;="&amp;(DATE(2022,12,31)-92))
+COUNTIFS('Match History'!AD:AD,B23,'Match History'!A:A,"&gt;="&amp;(DATE(2022,12,31)-92))
+COUNTIFS('Match History'!AH:AH,B23,'Match History'!A:A,"&gt;="&amp;(DATE(2022,12,31)-92))
+COUNTIFS('Match History'!AL:AL,B23,'Match History'!A:A,"&gt;="&amp;(DATE(2022,12,31)-92))
+COUNTIFS('Match History'!AV:AV,B23,'Match History'!A:A,"&gt;="&amp;(DATE(2022,12,31)-92))
+COUNTIFS('Match History'!AZ:AZ,B23,'Match History'!A:A,"&gt;="&amp;(DATE(2022,12,31)-92))
+COUNTIFS('Match History'!BD:BD,B23,'Match History'!A:A,"&gt;="&amp;(DATE(2022,12,31)-92))
+COUNTIFS('Match History'!BH:BH,B23,'Match History'!A:A,"&gt;="&amp;(DATE(2022,12,31)-92))
</f>
        <v>1</v>
      </c>
      <c r="V23" s="20">
        <f>IF(U23=0,0,(SUMIFS('Match History'!D:D,'Match History'!A:A,"&gt;=10/01/2022 00:00",'Match History'!A:A,"&lt;=12/31/2022 23:59",'Match History'!B:B,B23)
+SUMIFS('Match History'!H:H,'Match History'!A:A,"&gt;=10/01/2022 00:00",'Match History'!A:A,"&lt;=12/31/2022 23:59",'Match History'!F:F,B23)
+SUMIFS('Match History'!L:L,'Match History'!A:A,"&gt;=10/01/2022 00:00",'Match History'!A:A,"&lt;=12/31/2022 23:59",'Match History'!J:J,B23)
+SUMIFS('Match History'!P:P,'Match History'!A:A,"&gt;=10/01/2022 00:00",'Match History'!A:A,"&lt;=12/31/2022 23:59",'Match History'!N:N,B23)
+SUMIFS('Match History'!T:T,'Match History'!A:A,"&gt;=10/01/2022 00:00",'Match History'!A:A,"&lt;=12/31/2022 23:59",'Match History'!R:R,B23)
+SUMIFS('Match History'!X:X,'Match History'!A:A,"&gt;=10/01/2022 00:00",'Match History'!A:A,"&lt;=12/31/2022 23:59",'Match History'!V:V,B23)
+SUMIFS('Match History'!AB:AB,'Match History'!A:A,"&gt;=10/01/2022 00:00",'Match History'!A:A,"&lt;=12/31/2022 23:59",'Match History'!Z:Z,B23)
+SUMIFS('Match History'!AF:AF,'Match History'!A:A,"&gt;=10/01/2022 00:00",'Match History'!A:A,"&lt;=12/31/2022 23:59",'Match History'!AD:AD,B23)
+SUMIFS('Match History'!AJ:AJ,'Match History'!A:A,"&gt;=10/01/2022 00:00",'Match History'!A:A,"&lt;=12/31/2022 23:59",'Match History'!AH:AH,B23)
+SUMIFS('Match History'!AN:AN,'Match History'!A:A,"&gt;=10/01/2022 00:00",'Match History'!A:A,"&lt;=12/31/2022 23:59",'Match History'!AL:AL,B23)
+SUMIFS('Match History'!AX:AX,'Match History'!A:A,"&gt;=10/01/2022 00:00",'Match History'!A:A,"&lt;=12/31/2022 23:59",'Match History'!AV:AV,B23)+SUMIFS('Match History'!BB:BB,'Match History'!A:A,"&gt;=10/01/2022 00:00",'Match History'!A:A,"&lt;=12/31/2022 23:59",'Match History'!AZ:AZ,B23)
+SUMIFS('Match History'!BF:BF,'Match History'!A:A,"&gt;=10/01/2022 00:00",'Match History'!A:A,"&lt;=12/31/2022 23:59",'Match History'!BD:BD,B23)
+SUMIFS('Match History'!BJ:BJ,'Match History'!A:A,"&gt;=10/01/2022 00:00",'Match History'!A:A,"&lt;=12/31/2022 23:59",'Match History'!BH:BH,B23))/U23)
</f>
        <v>6</v>
      </c>
    </row>
    <row r="24">
      <c r="A24" s="59" t="s">
        <v>79</v>
      </c>
      <c r="B24" s="59" t="s">
        <v>80</v>
      </c>
      <c r="C24" s="39">
        <v>994.8362903661724</v>
      </c>
      <c r="D24" s="63">
        <f>NORMDIST(C24,1000,STDEV(Players!$C$2:$C$38)+0.00001,TRUE)</f>
        <v>0.4749743093</v>
      </c>
      <c r="E24" s="14"/>
      <c r="F24" s="54">
        <v>1.0</v>
      </c>
      <c r="G24" s="60" t="s">
        <v>36</v>
      </c>
      <c r="H24" s="29"/>
      <c r="I24" s="29"/>
      <c r="J24" s="38"/>
      <c r="K24" s="43"/>
      <c r="L24" s="18" t="b">
        <f t="shared" si="2"/>
        <v>1</v>
      </c>
      <c r="M24" s="17" t="b">
        <v>0</v>
      </c>
      <c r="N24" s="19">
        <f t="array" ref="N24">IF(F24=0, "no war", INDEX('Match History'!A:A, MAX(MAX(('Match History'!B:B=B24)*(ROW('Match History'!B:B))),MAX(('Match History'!F:F=B24)*(ROW('Match History'!F:F))),MAX(('Match History'!J:J=B24)*(ROW('Match History'!J:J))),MAX(('Match History'!N:N=B24)*(ROW('Match History'!N:N))),MAX(('Match History'!R:R=B24)*(ROW('Match History'!R:R))),MAX(('Match History'!V:V=B24)*(ROW('Match History'!V:V))),MAX(('Match History'!Z:Z=B24)*(ROW('Match History'!Z:Z))),MAX(('Match History'!AD:AD=B24)*(ROW('Match History'!AD:AD))),MAX(('Match History'!AH:AH=B24)*(ROW('Match History'!AH:AH))),MAX(('Match History'!AL:AL=B24)*(ROW('Match History'!AL:AL))),MAX(('Match History'!AV:AV=B24)*(ROW('Match History'!AV:AV))),MAX(('Match History'!AZ:AZ=B24)*(ROW('Match History'!AZ:AZ))),MAX(('Match History'!BD:BD=B24)*(ROW('Match History'!BD:BD))),MAX(('Match History'!BH:BH=B24)*(ROW('Match History'!BH:BH)))), 1))
</f>
        <v>44925.85419</v>
      </c>
      <c r="O24" s="20">
        <f>(SUMIF('Match History'!B:B,B24,'Match History'!D:D)+SUMIF('Match History'!F:F,B24,'Match History'!H:H)+SUMIF('Match History'!J:J,B24,'Match History'!L:L)+SUMIF('Match History'!N:N,B24,'Match History'!P:P)+SUMIF('Match History'!R:R,B24,'Match History'!T:T)+SUMIF('Match History'!V:V,B24,'Match History'!X:X)+SUMIF('Match History'!Z:Z,B24,'Match History'!AB:AB)+SUMIF('Match History'!AD:AD,B24,'Match History'!AF:AF)+SUMIF('Match History'!AH:AH,B24,'Match History'!AJ:AJ)+SUMIF('Match History'!AL:AL,B24,'Match History'!AN:AN)+SUMIF('Match History'!AV:AV,B24,'Match History'!AX:AX)+SUMIF('Match History'!AZ:AZ,B24,'Match History'!BB:BB)+SUMIF('Match History'!BD:BD,B24,'Match History'!BF:BF)+SUMIF('Match History'!BH:BH,B24,'Match History'!BJ:BJ))/IF(F24=0,1,F24)</f>
        <v>13</v>
      </c>
      <c r="P24" s="21">
        <f t="array" ref="P24">MAX(MAX(IF('Match History'!B:B=B24,'Match History'!D:D,)),MAX(IF('Match History'!F:F=B24,'Match History'!H:H,)),MAX(IF('Match History'!J:J=B24,'Match History'!L:L,)),MAX(IF('Match History'!N:N=B24,'Match History'!P:P,)),MAX(IF('Match History'!R:R=B24,'Match History'!T:T,)),MAX(IF('Match History'!V:V=B24,'Match History'!X:X,)),MAX(IF('Match History'!Z:Z=B24,'Match History'!AB:AB,)),MAX(IF('Match History'!AD:AD=B24,'Match History'!AF:AF,)),MAX(IF('Match History'!AH:AH=B24,'Match History'!AJ:AJ,)),MAX(IF('Match History'!AL:AL=B24,'Match History'!AN:AN,)),MAX(IF('Match History'!AV:AV=B24,'Match History'!AX:AX,)),MAX(IF('Match History'!AZ:AZ=B24,'Match History'!BB:BB,)),MAX(IF('Match History'!BD:BD=B24,'Match History'!BF:BF,)),MAX(IF('Match History'!BH:BH=B24,'Match History'!BJ:BJ,)))</f>
        <v>13</v>
      </c>
      <c r="Q24" s="21">
        <f t="array" ref="Q24">IF(F24=0,0,MIN(MIN(IF('Match History'!B:B=B24,'Match History'!D:D,999)),MIN(IF('Match History'!F:F=B24,'Match History'!H:H,999)),MIN(IF('Match History'!J:J=B24,'Match History'!L:L,999)),MIN(IF('Match History'!N:N=B24,'Match History'!P:P,999)),MIN(IF('Match History'!R:R=B24,'Match History'!T:T,999)),MIN(IF('Match History'!V:V=B24,'Match History'!X:X,999)),MIN(IF('Match History'!Z:Z=B24,'Match History'!AB:AB,999)),MIN(IF('Match History'!AD:AD=B24,'Match History'!AF:AF,999)),MIN(IF('Match History'!AH:AH=B24,'Match History'!AJ:AJ,999)),MIN(IF('Match History'!AL:AL=B24,'Match History'!AN:AN,999)),MIN(IF('Match History'!AV:AV=B24,'Match History'!AX:AX,999)),MIN(IF('Match History'!AZ:AZ=B24,'Match History'!BB:BB,999)),MIN(IF('Match History'!BD:BD=B24,'Match History'!BF:BF,999)),MIN(IF('Match History'!BH:BH=B24,'Match History'!BJ:BJ,999))))</f>
        <v>13</v>
      </c>
      <c r="R24" s="21">
        <f>COUNTIFS('Match History'!B:B,B24,'Match History'!A:A,"&gt;="&amp;(DATE(2022,12,31)-30))+COUNTIFS('Match History'!F:F,B24,'Match History'!A:A,"&gt;="&amp;(DATE(2022,12,31)-30))+COUNTIFS('Match History'!J:J,B24,'Match History'!A:A,"&gt;="&amp;(DATE(2022,12,31)-30))+COUNTIFS('Match History'!N:N,B24,'Match History'!A:A,"&gt;="&amp;(DATE(2022,12,31)-30))+COUNTIFS('Match History'!R:R,B24,'Match History'!A:A,"&gt;="&amp;(DATE(2022,12,31)-30))+COUNTIFS('Match History'!V:V,B24,'Match History'!A:A,"&gt;="&amp;(DATE(2022,12,31)-30))+COUNTIFS('Match History'!Z:Z,B24,'Match History'!A:A,"&gt;="&amp;(DATE(2022,12,31)-30))+COUNTIFS('Match History'!AD:AD,B24,'Match History'!A:A,"&gt;="&amp;(DATE(2022,12,31)-30))+COUNTIFS('Match History'!AH:AH,B24,'Match History'!A:A,"&gt;="&amp;(DATE(2022,12,31)-30))+COUNTIFS('Match History'!AL:AL,B24,'Match History'!A:A,"&gt;="&amp;(DATE(2022,12,31)-30))+COUNTIFS('Match History'!AV:AV,B24,'Match History'!A:A,"&gt;="&amp;(DATE(2022,12,31)-30))+COUNTIFS('Match History'!AZ:AZ,B24,'Match History'!A:A,"&gt;="&amp;(DATE(2022,12,31)-30))+COUNTIFS('Match History'!BD:BD,B24,'Match History'!A:A,"&gt;="&amp;(DATE(2022,12,31)-30))+COUNTIFS('Match History'!BH:BH,B24,'Match History'!A:A,"&gt;="&amp;(DATE(2022,12,31)-30))
</f>
        <v>1</v>
      </c>
      <c r="S24" s="21">
        <f>COUNTIFS('Match History'!B:B,B24,'Match History'!A:A,"&gt;="&amp;(DATE(2022,12,31)-365))+COUNTIFS('Match History'!F:F,B24,'Match History'!A:A,"&gt;="&amp;(DATE(2022,12,31)-365))+COUNTIFS('Match History'!J:J,B24,'Match History'!A:A,"&gt;="&amp;(DATE(2022,12,31)-365))+COUNTIFS('Match History'!N:N,B24,'Match History'!A:A,"&gt;="&amp;(DATE(2022,12,31)-365))+COUNTIFS('Match History'!R:R,B24,'Match History'!A:A,"&gt;="&amp;(DATE(2022,12,31)-365))+COUNTIFS('Match History'!V:V,B24,'Match History'!A:A,"&gt;="&amp;(DATE(2022,12,31)-365))+COUNTIFS('Match History'!Z:Z,B24,'Match History'!A:A,"&gt;="&amp;(DATE(2022,12,31)-365))+COUNTIFS('Match History'!AD:AD,B24,'Match History'!A:A,"&gt;="&amp;(DATE(2022,12,31)-365))+COUNTIFS('Match History'!AH:AH,B24,'Match History'!A:A,"&gt;="&amp;(DATE(2022,12,31)-365))+COUNTIFS('Match History'!AL:AL,B24,'Match History'!A:A,"&gt;="&amp;(DATE(2022,12,31)-365))+COUNTIFS('Match History'!AV:AV,B24,'Match History'!A:A,"&gt;="&amp;(DATE(2022,12,31)-365))+COUNTIFS('Match History'!AZ:AZ,B24,'Match History'!A:A,"&gt;="&amp;(DATE(2022,12,31)-365))+COUNTIFS('Match History'!BD:BD,B24,'Match History'!A:A,"&gt;="&amp;(DATE(2022,12,31)-365))+COUNTIFS('Match History'!BH:BH,B24,'Match History'!A:A,"&gt;="&amp;(DATE(2022,12,31)-365))
</f>
        <v>1</v>
      </c>
      <c r="T24" s="20">
        <f t="array" ref="T24">IF(F24=0,0,INDEX('Match History'!B:BK,MATCH(N24,'Match History'!A:A,0),MATCH(B24,INDEX('Match History'!B:BK,MATCH(N24,'Match History'!A:A,0),0),0)+3)-INDEX('Match History'!B:BK,MATCH(N24,'Match History'!A:A,0),MATCH(B24,INDEX('Match History'!B:BK,MATCH(N24,'Match History'!A:A,0),0),0)+1))</f>
        <v>-5.163709634</v>
      </c>
      <c r="U24" s="21">
        <f>COUNTIFS('Match History'!B:B,B24,'Match History'!A:A,"&gt;="&amp;(DATE(2022,12,31)-92))
+COUNTIFS('Match History'!F:F,B24,'Match History'!A:A,"&gt;="&amp;(DATE(2022,12,31)-92))
+COUNTIFS('Match History'!J:J,B24,'Match History'!A:A,"&gt;="&amp;(DATE(2022,12,31)-92))
+COUNTIFS('Match History'!N:N,B24,'Match History'!A:A,"&gt;="&amp;(DATE(2022,12,31)-92))
+COUNTIFS('Match History'!R:R,B24,'Match History'!A:A,"&gt;="&amp;(DATE(2022,12,31)-92))
+COUNTIFS('Match History'!V:V,B24,'Match History'!A:A,"&gt;="&amp;(DATE(2022,12,31)-92))
+COUNTIFS('Match History'!Z:Z,B24,'Match History'!A:A,"&gt;="&amp;(DATE(2022,12,31)-92))
+COUNTIFS('Match History'!AD:AD,B24,'Match History'!A:A,"&gt;="&amp;(DATE(2022,12,31)-92))
+COUNTIFS('Match History'!AH:AH,B24,'Match History'!A:A,"&gt;="&amp;(DATE(2022,12,31)-92))
+COUNTIFS('Match History'!AL:AL,B24,'Match History'!A:A,"&gt;="&amp;(DATE(2022,12,31)-92))
+COUNTIFS('Match History'!AV:AV,B24,'Match History'!A:A,"&gt;="&amp;(DATE(2022,12,31)-92))
+COUNTIFS('Match History'!AZ:AZ,B24,'Match History'!A:A,"&gt;="&amp;(DATE(2022,12,31)-92))
+COUNTIFS('Match History'!BD:BD,B24,'Match History'!A:A,"&gt;="&amp;(DATE(2022,12,31)-92))
+COUNTIFS('Match History'!BH:BH,B24,'Match History'!A:A,"&gt;="&amp;(DATE(2022,12,31)-92))
</f>
        <v>1</v>
      </c>
      <c r="V24" s="20">
        <f>IF(U24=0,0,(SUMIFS('Match History'!D:D,'Match History'!A:A,"&gt;=10/01/2022 00:00",'Match History'!A:A,"&lt;=12/31/2022 23:59",'Match History'!B:B,B24)
+SUMIFS('Match History'!H:H,'Match History'!A:A,"&gt;=10/01/2022 00:00",'Match History'!A:A,"&lt;=12/31/2022 23:59",'Match History'!F:F,B24)
+SUMIFS('Match History'!L:L,'Match History'!A:A,"&gt;=10/01/2022 00:00",'Match History'!A:A,"&lt;=12/31/2022 23:59",'Match History'!J:J,B24)
+SUMIFS('Match History'!P:P,'Match History'!A:A,"&gt;=10/01/2022 00:00",'Match History'!A:A,"&lt;=12/31/2022 23:59",'Match History'!N:N,B24)
+SUMIFS('Match History'!T:T,'Match History'!A:A,"&gt;=10/01/2022 00:00",'Match History'!A:A,"&lt;=12/31/2022 23:59",'Match History'!R:R,B24)
+SUMIFS('Match History'!X:X,'Match History'!A:A,"&gt;=10/01/2022 00:00",'Match History'!A:A,"&lt;=12/31/2022 23:59",'Match History'!V:V,B24)
+SUMIFS('Match History'!AB:AB,'Match History'!A:A,"&gt;=10/01/2022 00:00",'Match History'!A:A,"&lt;=12/31/2022 23:59",'Match History'!Z:Z,B24)
+SUMIFS('Match History'!AF:AF,'Match History'!A:A,"&gt;=10/01/2022 00:00",'Match History'!A:A,"&lt;=12/31/2022 23:59",'Match History'!AD:AD,B24)
+SUMIFS('Match History'!AJ:AJ,'Match History'!A:A,"&gt;=10/01/2022 00:00",'Match History'!A:A,"&lt;=12/31/2022 23:59",'Match History'!AH:AH,B24)
+SUMIFS('Match History'!AN:AN,'Match History'!A:A,"&gt;=10/01/2022 00:00",'Match History'!A:A,"&lt;=12/31/2022 23:59",'Match History'!AL:AL,B24)
+SUMIFS('Match History'!AX:AX,'Match History'!A:A,"&gt;=10/01/2022 00:00",'Match History'!A:A,"&lt;=12/31/2022 23:59",'Match History'!AV:AV,B24)+SUMIFS('Match History'!BB:BB,'Match History'!A:A,"&gt;=10/01/2022 00:00",'Match History'!A:A,"&lt;=12/31/2022 23:59",'Match History'!AZ:AZ,B24)
+SUMIFS('Match History'!BF:BF,'Match History'!A:A,"&gt;=10/01/2022 00:00",'Match History'!A:A,"&lt;=12/31/2022 23:59",'Match History'!BD:BD,B24)
+SUMIFS('Match History'!BJ:BJ,'Match History'!A:A,"&gt;=10/01/2022 00:00",'Match History'!A:A,"&lt;=12/31/2022 23:59",'Match History'!BH:BH,B24))/U24)
</f>
        <v>13</v>
      </c>
    </row>
    <row r="25">
      <c r="A25" s="68" t="s">
        <v>81</v>
      </c>
      <c r="B25" s="68" t="s">
        <v>82</v>
      </c>
      <c r="C25" s="76">
        <v>992.7357466353907</v>
      </c>
      <c r="D25" s="77">
        <f>NORMDIST(C25,1000,STDEV(Players!$C$2:$C$38)+0.00001,TRUE)</f>
        <v>0.4648167277</v>
      </c>
      <c r="E25" s="68"/>
      <c r="F25" s="75">
        <f>COUNTIF('Match History'!A:BK,"Pray3r")</f>
        <v>30</v>
      </c>
      <c r="G25" s="78" t="s">
        <v>83</v>
      </c>
      <c r="H25" s="75" t="s">
        <v>29</v>
      </c>
      <c r="I25" s="79" t="s">
        <v>29</v>
      </c>
      <c r="J25" s="68"/>
      <c r="K25" s="68"/>
      <c r="L25" s="18" t="b">
        <f t="shared" si="2"/>
        <v>1</v>
      </c>
      <c r="M25" s="17" t="b">
        <v>0</v>
      </c>
      <c r="N25" s="19">
        <f t="array" ref="N25">IF(F25=0, "no war", INDEX('Match History'!A:A, MAX(MAX(('Match History'!B:B=B25)*(ROW('Match History'!B:B))),MAX(('Match History'!F:F=B25)*(ROW('Match History'!F:F))),MAX(('Match History'!J:J=B25)*(ROW('Match History'!J:J))),MAX(('Match History'!N:N=B25)*(ROW('Match History'!N:N))),MAX(('Match History'!R:R=B25)*(ROW('Match History'!R:R))),MAX(('Match History'!V:V=B25)*(ROW('Match History'!V:V))),MAX(('Match History'!Z:Z=B25)*(ROW('Match History'!Z:Z))),MAX(('Match History'!AD:AD=B25)*(ROW('Match History'!AD:AD))),MAX(('Match History'!AH:AH=B25)*(ROW('Match History'!AH:AH))),MAX(('Match History'!AL:AL=B25)*(ROW('Match History'!AL:AL))),MAX(('Match History'!AV:AV=B25)*(ROW('Match History'!AV:AV))),MAX(('Match History'!AZ:AZ=B25)*(ROW('Match History'!AZ:AZ))),MAX(('Match History'!BD:BD=B25)*(ROW('Match History'!BD:BD))),MAX(('Match History'!BH:BH=B25)*(ROW('Match History'!BH:BH)))), 1))
</f>
        <v>44925.92524</v>
      </c>
      <c r="O25" s="20">
        <f>(SUMIF('Match History'!B:B,B25,'Match History'!D:D)+SUMIF('Match History'!F:F,B25,'Match History'!H:H)+SUMIF('Match History'!J:J,B25,'Match History'!L:L)+SUMIF('Match History'!N:N,B25,'Match History'!P:P)+SUMIF('Match History'!R:R,B25,'Match History'!T:T)+SUMIF('Match History'!V:V,B25,'Match History'!X:X)+SUMIF('Match History'!Z:Z,B25,'Match History'!AB:AB)+SUMIF('Match History'!AD:AD,B25,'Match History'!AF:AF)+SUMIF('Match History'!AH:AH,B25,'Match History'!AJ:AJ)+SUMIF('Match History'!AL:AL,B25,'Match History'!AN:AN)+SUMIF('Match History'!AV:AV,B25,'Match History'!AX:AX)+SUMIF('Match History'!AZ:AZ,B25,'Match History'!BB:BB)+SUMIF('Match History'!BD:BD,B25,'Match History'!BF:BF)+SUMIF('Match History'!BH:BH,B25,'Match History'!BJ:BJ))/IF(F25=0,1,F25)</f>
        <v>15.43333333</v>
      </c>
      <c r="P25" s="21">
        <f t="array" ref="P25">MAX(MAX(IF('Match History'!B:B=B25,'Match History'!D:D,)),MAX(IF('Match History'!F:F=B25,'Match History'!H:H,)),MAX(IF('Match History'!J:J=B25,'Match History'!L:L,)),MAX(IF('Match History'!N:N=B25,'Match History'!P:P,)),MAX(IF('Match History'!R:R=B25,'Match History'!T:T,)),MAX(IF('Match History'!V:V=B25,'Match History'!X:X,)),MAX(IF('Match History'!Z:Z=B25,'Match History'!AB:AB,)),MAX(IF('Match History'!AD:AD=B25,'Match History'!AF:AF,)),MAX(IF('Match History'!AH:AH=B25,'Match History'!AJ:AJ,)),MAX(IF('Match History'!AL:AL=B25,'Match History'!AN:AN,)),MAX(IF('Match History'!AV:AV=B25,'Match History'!AX:AX,)),MAX(IF('Match History'!AZ:AZ=B25,'Match History'!BB:BB,)),MAX(IF('Match History'!BD:BD=B25,'Match History'!BF:BF,)),MAX(IF('Match History'!BH:BH=B25,'Match History'!BJ:BJ,)))</f>
        <v>31</v>
      </c>
      <c r="Q25" s="21">
        <f t="array" ref="Q25">IF(F25=0,0,MIN(MIN(IF('Match History'!B:B=B25,'Match History'!D:D,999)),MIN(IF('Match History'!F:F=B25,'Match History'!H:H,999)),MIN(IF('Match History'!J:J=B25,'Match History'!L:L,999)),MIN(IF('Match History'!N:N=B25,'Match History'!P:P,999)),MIN(IF('Match History'!R:R=B25,'Match History'!T:T,999)),MIN(IF('Match History'!V:V=B25,'Match History'!X:X,999)),MIN(IF('Match History'!Z:Z=B25,'Match History'!AB:AB,999)),MIN(IF('Match History'!AD:AD=B25,'Match History'!AF:AF,999)),MIN(IF('Match History'!AH:AH=B25,'Match History'!AJ:AJ,999)),MIN(IF('Match History'!AL:AL=B25,'Match History'!AN:AN,999)),MIN(IF('Match History'!AV:AV=B25,'Match History'!AX:AX,999)),MIN(IF('Match History'!AZ:AZ=B25,'Match History'!BB:BB,999)),MIN(IF('Match History'!BD:BD=B25,'Match History'!BF:BF,999)),MIN(IF('Match History'!BH:BH=B25,'Match History'!BJ:BJ,999))))</f>
        <v>9</v>
      </c>
      <c r="R25" s="21">
        <f>COUNTIFS('Match History'!B:B,B25,'Match History'!A:A,"&gt;="&amp;(DATE(2022,12,31)-30))+COUNTIFS('Match History'!F:F,B25,'Match History'!A:A,"&gt;="&amp;(DATE(2022,12,31)-30))+COUNTIFS('Match History'!J:J,B25,'Match History'!A:A,"&gt;="&amp;(DATE(2022,12,31)-30))+COUNTIFS('Match History'!N:N,B25,'Match History'!A:A,"&gt;="&amp;(DATE(2022,12,31)-30))+COUNTIFS('Match History'!R:R,B25,'Match History'!A:A,"&gt;="&amp;(DATE(2022,12,31)-30))+COUNTIFS('Match History'!V:V,B25,'Match History'!A:A,"&gt;="&amp;(DATE(2022,12,31)-30))+COUNTIFS('Match History'!Z:Z,B25,'Match History'!A:A,"&gt;="&amp;(DATE(2022,12,31)-30))+COUNTIFS('Match History'!AD:AD,B25,'Match History'!A:A,"&gt;="&amp;(DATE(2022,12,31)-30))+COUNTIFS('Match History'!AH:AH,B25,'Match History'!A:A,"&gt;="&amp;(DATE(2022,12,31)-30))+COUNTIFS('Match History'!AL:AL,B25,'Match History'!A:A,"&gt;="&amp;(DATE(2022,12,31)-30))+COUNTIFS('Match History'!AV:AV,B25,'Match History'!A:A,"&gt;="&amp;(DATE(2022,12,31)-30))+COUNTIFS('Match History'!AZ:AZ,B25,'Match History'!A:A,"&gt;="&amp;(DATE(2022,12,31)-30))+COUNTIFS('Match History'!BD:BD,B25,'Match History'!A:A,"&gt;="&amp;(DATE(2022,12,31)-30))+COUNTIFS('Match History'!BH:BH,B25,'Match History'!A:A,"&gt;="&amp;(DATE(2022,12,31)-30))
</f>
        <v>1</v>
      </c>
      <c r="S25" s="21">
        <f>COUNTIFS('Match History'!B:B,B25,'Match History'!A:A,"&gt;="&amp;(DATE(2022,12,31)-365))+COUNTIFS('Match History'!F:F,B25,'Match History'!A:A,"&gt;="&amp;(DATE(2022,12,31)-365))+COUNTIFS('Match History'!J:J,B25,'Match History'!A:A,"&gt;="&amp;(DATE(2022,12,31)-365))+COUNTIFS('Match History'!N:N,B25,'Match History'!A:A,"&gt;="&amp;(DATE(2022,12,31)-365))+COUNTIFS('Match History'!R:R,B25,'Match History'!A:A,"&gt;="&amp;(DATE(2022,12,31)-365))+COUNTIFS('Match History'!V:V,B25,'Match History'!A:A,"&gt;="&amp;(DATE(2022,12,31)-365))+COUNTIFS('Match History'!Z:Z,B25,'Match History'!A:A,"&gt;="&amp;(DATE(2022,12,31)-365))+COUNTIFS('Match History'!AD:AD,B25,'Match History'!A:A,"&gt;="&amp;(DATE(2022,12,31)-365))+COUNTIFS('Match History'!AH:AH,B25,'Match History'!A:A,"&gt;="&amp;(DATE(2022,12,31)-365))+COUNTIFS('Match History'!AL:AL,B25,'Match History'!A:A,"&gt;="&amp;(DATE(2022,12,31)-365))+COUNTIFS('Match History'!AV:AV,B25,'Match History'!A:A,"&gt;="&amp;(DATE(2022,12,31)-365))+COUNTIFS('Match History'!AZ:AZ,B25,'Match History'!A:A,"&gt;="&amp;(DATE(2022,12,31)-365))+COUNTIFS('Match History'!BD:BD,B25,'Match History'!A:A,"&gt;="&amp;(DATE(2022,12,31)-365))+COUNTIFS('Match History'!BH:BH,B25,'Match History'!A:A,"&gt;="&amp;(DATE(2022,12,31)-365))
</f>
        <v>30</v>
      </c>
      <c r="T25" s="20">
        <f t="array" ref="T25">IF(F25=0,0,INDEX('Match History'!B:BK,MATCH(N25,'Match History'!A:A,0),MATCH(B25,INDEX('Match History'!B:BK,MATCH(N25,'Match History'!A:A,0),0),0)+3)-INDEX('Match History'!B:BK,MATCH(N25,'Match History'!A:A,0),MATCH(B25,INDEX('Match History'!B:BK,MATCH(N25,'Match History'!A:A,0),0),0)+1))</f>
        <v>1.496098774</v>
      </c>
      <c r="U25" s="21">
        <f>COUNTIFS('Match History'!B:B,B25,'Match History'!A:A,"&gt;="&amp;(DATE(2022,12,31)-92))
+COUNTIFS('Match History'!F:F,B25,'Match History'!A:A,"&gt;="&amp;(DATE(2022,12,31)-92))
+COUNTIFS('Match History'!J:J,B25,'Match History'!A:A,"&gt;="&amp;(DATE(2022,12,31)-92))
+COUNTIFS('Match History'!N:N,B25,'Match History'!A:A,"&gt;="&amp;(DATE(2022,12,31)-92))
+COUNTIFS('Match History'!R:R,B25,'Match History'!A:A,"&gt;="&amp;(DATE(2022,12,31)-92))
+COUNTIFS('Match History'!V:V,B25,'Match History'!A:A,"&gt;="&amp;(DATE(2022,12,31)-92))
+COUNTIFS('Match History'!Z:Z,B25,'Match History'!A:A,"&gt;="&amp;(DATE(2022,12,31)-92))
+COUNTIFS('Match History'!AD:AD,B25,'Match History'!A:A,"&gt;="&amp;(DATE(2022,12,31)-92))
+COUNTIFS('Match History'!AH:AH,B25,'Match History'!A:A,"&gt;="&amp;(DATE(2022,12,31)-92))
+COUNTIFS('Match History'!AL:AL,B25,'Match History'!A:A,"&gt;="&amp;(DATE(2022,12,31)-92))
+COUNTIFS('Match History'!AV:AV,B25,'Match History'!A:A,"&gt;="&amp;(DATE(2022,12,31)-92))
+COUNTIFS('Match History'!AZ:AZ,B25,'Match History'!A:A,"&gt;="&amp;(DATE(2022,12,31)-92))
+COUNTIFS('Match History'!BD:BD,B25,'Match History'!A:A,"&gt;="&amp;(DATE(2022,12,31)-92))
+COUNTIFS('Match History'!BH:BH,B25,'Match History'!A:A,"&gt;="&amp;(DATE(2022,12,31)-92))
</f>
        <v>2</v>
      </c>
      <c r="V25" s="20">
        <f>IF(U25=0,0,(SUMIFS('Match History'!D:D,'Match History'!A:A,"&gt;=10/01/2022 00:00",'Match History'!A:A,"&lt;=12/31/2022 23:59",'Match History'!B:B,B25)
+SUMIFS('Match History'!H:H,'Match History'!A:A,"&gt;=10/01/2022 00:00",'Match History'!A:A,"&lt;=12/31/2022 23:59",'Match History'!F:F,B25)
+SUMIFS('Match History'!L:L,'Match History'!A:A,"&gt;=10/01/2022 00:00",'Match History'!A:A,"&lt;=12/31/2022 23:59",'Match History'!J:J,B25)
+SUMIFS('Match History'!P:P,'Match History'!A:A,"&gt;=10/01/2022 00:00",'Match History'!A:A,"&lt;=12/31/2022 23:59",'Match History'!N:N,B25)
+SUMIFS('Match History'!T:T,'Match History'!A:A,"&gt;=10/01/2022 00:00",'Match History'!A:A,"&lt;=12/31/2022 23:59",'Match History'!R:R,B25)
+SUMIFS('Match History'!X:X,'Match History'!A:A,"&gt;=10/01/2022 00:00",'Match History'!A:A,"&lt;=12/31/2022 23:59",'Match History'!V:V,B25)
+SUMIFS('Match History'!AB:AB,'Match History'!A:A,"&gt;=10/01/2022 00:00",'Match History'!A:A,"&lt;=12/31/2022 23:59",'Match History'!Z:Z,B25)
+SUMIFS('Match History'!AF:AF,'Match History'!A:A,"&gt;=10/01/2022 00:00",'Match History'!A:A,"&lt;=12/31/2022 23:59",'Match History'!AD:AD,B25)
+SUMIFS('Match History'!AJ:AJ,'Match History'!A:A,"&gt;=10/01/2022 00:00",'Match History'!A:A,"&lt;=12/31/2022 23:59",'Match History'!AH:AH,B25)
+SUMIFS('Match History'!AN:AN,'Match History'!A:A,"&gt;=10/01/2022 00:00",'Match History'!A:A,"&lt;=12/31/2022 23:59",'Match History'!AL:AL,B25)
+SUMIFS('Match History'!AX:AX,'Match History'!A:A,"&gt;=10/01/2022 00:00",'Match History'!A:A,"&lt;=12/31/2022 23:59",'Match History'!AV:AV,B25)+SUMIFS('Match History'!BB:BB,'Match History'!A:A,"&gt;=10/01/2022 00:00",'Match History'!A:A,"&lt;=12/31/2022 23:59",'Match History'!AZ:AZ,B25)
+SUMIFS('Match History'!BF:BF,'Match History'!A:A,"&gt;=10/01/2022 00:00",'Match History'!A:A,"&lt;=12/31/2022 23:59",'Match History'!BD:BD,B25)
+SUMIFS('Match History'!BJ:BJ,'Match History'!A:A,"&gt;=10/01/2022 00:00",'Match History'!A:A,"&lt;=12/31/2022 23:59",'Match History'!BH:BH,B25))/U25)
</f>
        <v>7</v>
      </c>
    </row>
    <row r="26" ht="21.0" customHeight="1">
      <c r="A26" s="44" t="s">
        <v>84</v>
      </c>
      <c r="B26" s="44" t="s">
        <v>85</v>
      </c>
      <c r="C26" s="45">
        <v>988.150901628444</v>
      </c>
      <c r="D26" s="49">
        <f>NORMDIST(C26,1000,STDEV(Players!$C$2:$C$39)+0.00001,TRUE)</f>
        <v>0.4429570403</v>
      </c>
      <c r="E26" s="46"/>
      <c r="F26" s="50">
        <f>COUNTIF('Match History'!A:BK,"manike")</f>
        <v>2</v>
      </c>
      <c r="G26" s="48" t="s">
        <v>51</v>
      </c>
      <c r="H26" s="43" t="s">
        <v>29</v>
      </c>
      <c r="K26" s="80"/>
      <c r="L26" s="18" t="b">
        <f t="shared" si="2"/>
        <v>1</v>
      </c>
      <c r="M26" s="17" t="b">
        <v>0</v>
      </c>
      <c r="N26" s="19">
        <f t="array" ref="N26">IF(F26=0, "no war", INDEX('Match History'!A:A, MAX(MAX(('Match History'!B:B=B26)*(ROW('Match History'!B:B))),MAX(('Match History'!F:F=B26)*(ROW('Match History'!F:F))),MAX(('Match History'!J:J=B26)*(ROW('Match History'!J:J))),MAX(('Match History'!N:N=B26)*(ROW('Match History'!N:N))),MAX(('Match History'!R:R=B26)*(ROW('Match History'!R:R))),MAX(('Match History'!V:V=B26)*(ROW('Match History'!V:V))),MAX(('Match History'!Z:Z=B26)*(ROW('Match History'!Z:Z))),MAX(('Match History'!AD:AD=B26)*(ROW('Match History'!AD:AD))),MAX(('Match History'!AH:AH=B26)*(ROW('Match History'!AH:AH))),MAX(('Match History'!AL:AL=B26)*(ROW('Match History'!AL:AL))),MAX(('Match History'!AV:AV=B26)*(ROW('Match History'!AV:AV))),MAX(('Match History'!AZ:AZ=B26)*(ROW('Match History'!AZ:AZ))),MAX(('Match History'!BD:BD=B26)*(ROW('Match History'!BD:BD))),MAX(('Match History'!BH:BH=B26)*(ROW('Match History'!BH:BH)))), 1))
</f>
        <v>44903.03261</v>
      </c>
      <c r="O26" s="20">
        <f>(SUMIF('Match History'!B:B,B26,'Match History'!D:D)+SUMIF('Match History'!F:F,B26,'Match History'!H:H)+SUMIF('Match History'!J:J,B26,'Match History'!L:L)+SUMIF('Match History'!N:N,B26,'Match History'!P:P)+SUMIF('Match History'!R:R,B26,'Match History'!T:T)+SUMIF('Match History'!V:V,B26,'Match History'!X:X)+SUMIF('Match History'!Z:Z,B26,'Match History'!AB:AB)+SUMIF('Match History'!AD:AD,B26,'Match History'!AF:AF)+SUMIF('Match History'!AH:AH,B26,'Match History'!AJ:AJ)+SUMIF('Match History'!AL:AL,B26,'Match History'!AN:AN)+SUMIF('Match History'!AV:AV,B26,'Match History'!AX:AX)+SUMIF('Match History'!AZ:AZ,B26,'Match History'!BB:BB)+SUMIF('Match History'!BD:BD,B26,'Match History'!BF:BF)+SUMIF('Match History'!BH:BH,B26,'Match History'!BJ:BJ))/IF(F26=0,1,F26)</f>
        <v>15</v>
      </c>
      <c r="P26" s="21">
        <f t="array" ref="P26">MAX(MAX(IF('Match History'!B:B=B26,'Match History'!D:D,)),MAX(IF('Match History'!F:F=B26,'Match History'!H:H,)),MAX(IF('Match History'!J:J=B26,'Match History'!L:L,)),MAX(IF('Match History'!N:N=B26,'Match History'!P:P,)),MAX(IF('Match History'!R:R=B26,'Match History'!T:T,)),MAX(IF('Match History'!V:V=B26,'Match History'!X:X,)),MAX(IF('Match History'!Z:Z=B26,'Match History'!AB:AB,)),MAX(IF('Match History'!AD:AD=B26,'Match History'!AF:AF,)),MAX(IF('Match History'!AH:AH=B26,'Match History'!AJ:AJ,)),MAX(IF('Match History'!AL:AL=B26,'Match History'!AN:AN,)),MAX(IF('Match History'!AV:AV=B26,'Match History'!AX:AX,)),MAX(IF('Match History'!AZ:AZ=B26,'Match History'!BB:BB,)),MAX(IF('Match History'!BD:BD=B26,'Match History'!BF:BF,)),MAX(IF('Match History'!BH:BH=B26,'Match History'!BJ:BJ,)))</f>
        <v>23</v>
      </c>
      <c r="Q26" s="21">
        <f t="array" ref="Q26">IF(F26=0,0,MIN(MIN(IF('Match History'!B:B=B26,'Match History'!D:D,999)),MIN(IF('Match History'!F:F=B26,'Match History'!H:H,999)),MIN(IF('Match History'!J:J=B26,'Match History'!L:L,999)),MIN(IF('Match History'!N:N=B26,'Match History'!P:P,999)),MIN(IF('Match History'!R:R=B26,'Match History'!T:T,999)),MIN(IF('Match History'!V:V=B26,'Match History'!X:X,999)),MIN(IF('Match History'!Z:Z=B26,'Match History'!AB:AB,999)),MIN(IF('Match History'!AD:AD=B26,'Match History'!AF:AF,999)),MIN(IF('Match History'!AH:AH=B26,'Match History'!AJ:AJ,999)),MIN(IF('Match History'!AL:AL=B26,'Match History'!AN:AN,999)),MIN(IF('Match History'!AV:AV=B26,'Match History'!AX:AX,999)),MIN(IF('Match History'!AZ:AZ=B26,'Match History'!BB:BB,999)),MIN(IF('Match History'!BD:BD=B26,'Match History'!BF:BF,999)),MIN(IF('Match History'!BH:BH=B26,'Match History'!BJ:BJ,999))))</f>
        <v>7</v>
      </c>
      <c r="R26" s="21">
        <f>COUNTIFS('Match History'!B:B,B26,'Match History'!A:A,"&gt;="&amp;(DATE(2022,12,31)-30))+COUNTIFS('Match History'!F:F,B26,'Match History'!A:A,"&gt;="&amp;(DATE(2022,12,31)-30))+COUNTIFS('Match History'!J:J,B26,'Match History'!A:A,"&gt;="&amp;(DATE(2022,12,31)-30))+COUNTIFS('Match History'!N:N,B26,'Match History'!A:A,"&gt;="&amp;(DATE(2022,12,31)-30))+COUNTIFS('Match History'!R:R,B26,'Match History'!A:A,"&gt;="&amp;(DATE(2022,12,31)-30))+COUNTIFS('Match History'!V:V,B26,'Match History'!A:A,"&gt;="&amp;(DATE(2022,12,31)-30))+COUNTIFS('Match History'!Z:Z,B26,'Match History'!A:A,"&gt;="&amp;(DATE(2022,12,31)-30))+COUNTIFS('Match History'!AD:AD,B26,'Match History'!A:A,"&gt;="&amp;(DATE(2022,12,31)-30))+COUNTIFS('Match History'!AH:AH,B26,'Match History'!A:A,"&gt;="&amp;(DATE(2022,12,31)-30))+COUNTIFS('Match History'!AL:AL,B26,'Match History'!A:A,"&gt;="&amp;(DATE(2022,12,31)-30))+COUNTIFS('Match History'!AV:AV,B26,'Match History'!A:A,"&gt;="&amp;(DATE(2022,12,31)-30))+COUNTIFS('Match History'!AZ:AZ,B26,'Match History'!A:A,"&gt;="&amp;(DATE(2022,12,31)-30))+COUNTIFS('Match History'!BD:BD,B26,'Match History'!A:A,"&gt;="&amp;(DATE(2022,12,31)-30))+COUNTIFS('Match History'!BH:BH,B26,'Match History'!A:A,"&gt;="&amp;(DATE(2022,12,31)-30))
</f>
        <v>1</v>
      </c>
      <c r="S26" s="21">
        <f>COUNTIFS('Match History'!B:B,B26,'Match History'!A:A,"&gt;="&amp;(DATE(2022,12,31)-365))+COUNTIFS('Match History'!F:F,B26,'Match History'!A:A,"&gt;="&amp;(DATE(2022,12,31)-365))+COUNTIFS('Match History'!J:J,B26,'Match History'!A:A,"&gt;="&amp;(DATE(2022,12,31)-365))+COUNTIFS('Match History'!N:N,B26,'Match History'!A:A,"&gt;="&amp;(DATE(2022,12,31)-365))+COUNTIFS('Match History'!R:R,B26,'Match History'!A:A,"&gt;="&amp;(DATE(2022,12,31)-365))+COUNTIFS('Match History'!V:V,B26,'Match History'!A:A,"&gt;="&amp;(DATE(2022,12,31)-365))+COUNTIFS('Match History'!Z:Z,B26,'Match History'!A:A,"&gt;="&amp;(DATE(2022,12,31)-365))+COUNTIFS('Match History'!AD:AD,B26,'Match History'!A:A,"&gt;="&amp;(DATE(2022,12,31)-365))+COUNTIFS('Match History'!AH:AH,B26,'Match History'!A:A,"&gt;="&amp;(DATE(2022,12,31)-365))+COUNTIFS('Match History'!AL:AL,B26,'Match History'!A:A,"&gt;="&amp;(DATE(2022,12,31)-365))+COUNTIFS('Match History'!AV:AV,B26,'Match History'!A:A,"&gt;="&amp;(DATE(2022,12,31)-365))+COUNTIFS('Match History'!AZ:AZ,B26,'Match History'!A:A,"&gt;="&amp;(DATE(2022,12,31)-365))+COUNTIFS('Match History'!BD:BD,B26,'Match History'!A:A,"&gt;="&amp;(DATE(2022,12,31)-365))+COUNTIFS('Match History'!BH:BH,B26,'Match History'!A:A,"&gt;="&amp;(DATE(2022,12,31)-365))
</f>
        <v>2</v>
      </c>
      <c r="T26" s="20">
        <f t="array" ref="T26">IF(F26=0,0,INDEX('Match History'!B:BK,MATCH(N26,'Match History'!A:A,0),MATCH(B26,INDEX('Match History'!B:BK,MATCH(N26,'Match History'!A:A,0),0),0)+3)-INDEX('Match History'!B:BK,MATCH(N26,'Match History'!A:A,0),MATCH(B26,INDEX('Match History'!B:BK,MATCH(N26,'Match History'!A:A,0),0),0)+1))</f>
        <v>-6.811750877</v>
      </c>
      <c r="U26" s="21">
        <f>COUNTIFS('Match History'!B:B,B26,'Match History'!A:A,"&gt;="&amp;(DATE(2022,12,31)-92))
+COUNTIFS('Match History'!F:F,B26,'Match History'!A:A,"&gt;="&amp;(DATE(2022,12,31)-92))
+COUNTIFS('Match History'!J:J,B26,'Match History'!A:A,"&gt;="&amp;(DATE(2022,12,31)-92))
+COUNTIFS('Match History'!N:N,B26,'Match History'!A:A,"&gt;="&amp;(DATE(2022,12,31)-92))
+COUNTIFS('Match History'!R:R,B26,'Match History'!A:A,"&gt;="&amp;(DATE(2022,12,31)-92))
+COUNTIFS('Match History'!V:V,B26,'Match History'!A:A,"&gt;="&amp;(DATE(2022,12,31)-92))
+COUNTIFS('Match History'!Z:Z,B26,'Match History'!A:A,"&gt;="&amp;(DATE(2022,12,31)-92))
+COUNTIFS('Match History'!AD:AD,B26,'Match History'!A:A,"&gt;="&amp;(DATE(2022,12,31)-92))
+COUNTIFS('Match History'!AH:AH,B26,'Match History'!A:A,"&gt;="&amp;(DATE(2022,12,31)-92))
+COUNTIFS('Match History'!AL:AL,B26,'Match History'!A:A,"&gt;="&amp;(DATE(2022,12,31)-92))
+COUNTIFS('Match History'!AV:AV,B26,'Match History'!A:A,"&gt;="&amp;(DATE(2022,12,31)-92))
+COUNTIFS('Match History'!AZ:AZ,B26,'Match History'!A:A,"&gt;="&amp;(DATE(2022,12,31)-92))
+COUNTIFS('Match History'!BD:BD,B26,'Match History'!A:A,"&gt;="&amp;(DATE(2022,12,31)-92))
+COUNTIFS('Match History'!BH:BH,B26,'Match History'!A:A,"&gt;="&amp;(DATE(2022,12,31)-92))
</f>
        <v>2</v>
      </c>
      <c r="V26" s="20">
        <f>IF(U26=0,0,(SUMIFS('Match History'!D:D,'Match History'!A:A,"&gt;=10/01/2022 00:00",'Match History'!A:A,"&lt;=12/31/2022 23:59",'Match History'!B:B,B26)
+SUMIFS('Match History'!H:H,'Match History'!A:A,"&gt;=10/01/2022 00:00",'Match History'!A:A,"&lt;=12/31/2022 23:59",'Match History'!F:F,B26)
+SUMIFS('Match History'!L:L,'Match History'!A:A,"&gt;=10/01/2022 00:00",'Match History'!A:A,"&lt;=12/31/2022 23:59",'Match History'!J:J,B26)
+SUMIFS('Match History'!P:P,'Match History'!A:A,"&gt;=10/01/2022 00:00",'Match History'!A:A,"&lt;=12/31/2022 23:59",'Match History'!N:N,B26)
+SUMIFS('Match History'!T:T,'Match History'!A:A,"&gt;=10/01/2022 00:00",'Match History'!A:A,"&lt;=12/31/2022 23:59",'Match History'!R:R,B26)
+SUMIFS('Match History'!X:X,'Match History'!A:A,"&gt;=10/01/2022 00:00",'Match History'!A:A,"&lt;=12/31/2022 23:59",'Match History'!V:V,B26)
+SUMIFS('Match History'!AB:AB,'Match History'!A:A,"&gt;=10/01/2022 00:00",'Match History'!A:A,"&lt;=12/31/2022 23:59",'Match History'!Z:Z,B26)
+SUMIFS('Match History'!AF:AF,'Match History'!A:A,"&gt;=10/01/2022 00:00",'Match History'!A:A,"&lt;=12/31/2022 23:59",'Match History'!AD:AD,B26)
+SUMIFS('Match History'!AJ:AJ,'Match History'!A:A,"&gt;=10/01/2022 00:00",'Match History'!A:A,"&lt;=12/31/2022 23:59",'Match History'!AH:AH,B26)
+SUMIFS('Match History'!AN:AN,'Match History'!A:A,"&gt;=10/01/2022 00:00",'Match History'!A:A,"&lt;=12/31/2022 23:59",'Match History'!AL:AL,B26)
+SUMIFS('Match History'!AX:AX,'Match History'!A:A,"&gt;=10/01/2022 00:00",'Match History'!A:A,"&lt;=12/31/2022 23:59",'Match History'!AV:AV,B26)+SUMIFS('Match History'!BB:BB,'Match History'!A:A,"&gt;=10/01/2022 00:00",'Match History'!A:A,"&lt;=12/31/2022 23:59",'Match History'!AZ:AZ,B26)
+SUMIFS('Match History'!BF:BF,'Match History'!A:A,"&gt;=10/01/2022 00:00",'Match History'!A:A,"&lt;=12/31/2022 23:59",'Match History'!BD:BD,B26)
+SUMIFS('Match History'!BJ:BJ,'Match History'!A:A,"&gt;=10/01/2022 00:00",'Match History'!A:A,"&lt;=12/31/2022 23:59",'Match History'!BH:BH,B26))/U26)
</f>
        <v>15</v>
      </c>
    </row>
    <row r="27" ht="21.0" customHeight="1">
      <c r="A27" s="44" t="s">
        <v>86</v>
      </c>
      <c r="B27" s="44" t="s">
        <v>86</v>
      </c>
      <c r="C27" s="45">
        <v>986.611140259788</v>
      </c>
      <c r="D27" s="13">
        <f>NORMDIST(C27,1000,STDEV(Players!$C$2:$C$39)+0.00001,TRUE)</f>
        <v>0.4356054349</v>
      </c>
      <c r="E27" s="46"/>
      <c r="F27" s="47">
        <f>COUNTIF('Match History'!A:BK,"spud")</f>
        <v>5</v>
      </c>
      <c r="G27" s="48" t="s">
        <v>41</v>
      </c>
      <c r="H27" s="44" t="s">
        <v>29</v>
      </c>
      <c r="L27" s="18" t="b">
        <f t="shared" si="2"/>
        <v>1</v>
      </c>
      <c r="M27" s="17" t="b">
        <v>0</v>
      </c>
      <c r="N27" s="19">
        <f t="array" ref="N27">IF(F27=0, "no war", INDEX('Match History'!A:A, MAX(MAX(('Match History'!B:B=B27)*(ROW('Match History'!B:B))),MAX(('Match History'!F:F=B27)*(ROW('Match History'!F:F))),MAX(('Match History'!J:J=B27)*(ROW('Match History'!J:J))),MAX(('Match History'!N:N=B27)*(ROW('Match History'!N:N))),MAX(('Match History'!R:R=B27)*(ROW('Match History'!R:R))),MAX(('Match History'!V:V=B27)*(ROW('Match History'!V:V))),MAX(('Match History'!Z:Z=B27)*(ROW('Match History'!Z:Z))),MAX(('Match History'!AD:AD=B27)*(ROW('Match History'!AD:AD))),MAX(('Match History'!AH:AH=B27)*(ROW('Match History'!AH:AH))),MAX(('Match History'!AL:AL=B27)*(ROW('Match History'!AL:AL))),MAX(('Match History'!AV:AV=B27)*(ROW('Match History'!AV:AV))),MAX(('Match History'!AZ:AZ=B27)*(ROW('Match History'!AZ:AZ))),MAX(('Match History'!BD:BD=B27)*(ROW('Match History'!BD:BD))),MAX(('Match History'!BH:BH=B27)*(ROW('Match History'!BH:BH)))), 1))
</f>
        <v>44918.04464</v>
      </c>
      <c r="O27" s="20">
        <f>(SUMIF('Match History'!B:B,B27,'Match History'!D:D)+SUMIF('Match History'!F:F,B27,'Match History'!H:H)+SUMIF('Match History'!J:J,B27,'Match History'!L:L)+SUMIF('Match History'!N:N,B27,'Match History'!P:P)+SUMIF('Match History'!R:R,B27,'Match History'!T:T)+SUMIF('Match History'!V:V,B27,'Match History'!X:X)+SUMIF('Match History'!Z:Z,B27,'Match History'!AB:AB)+SUMIF('Match History'!AD:AD,B27,'Match History'!AF:AF)+SUMIF('Match History'!AH:AH,B27,'Match History'!AJ:AJ)+SUMIF('Match History'!AL:AL,B27,'Match History'!AN:AN)+SUMIF('Match History'!AV:AV,B27,'Match History'!AX:AX)+SUMIF('Match History'!AZ:AZ,B27,'Match History'!BB:BB)+SUMIF('Match History'!BD:BD,B27,'Match History'!BF:BF)+SUMIF('Match History'!BH:BH,B27,'Match History'!BJ:BJ))/IF(F27=0,1,F27)</f>
        <v>18.2</v>
      </c>
      <c r="P27" s="21">
        <f t="array" ref="P27">MAX(MAX(IF('Match History'!B:B=B27,'Match History'!D:D,)),MAX(IF('Match History'!F:F=B27,'Match History'!H:H,)),MAX(IF('Match History'!J:J=B27,'Match History'!L:L,)),MAX(IF('Match History'!N:N=B27,'Match History'!P:P,)),MAX(IF('Match History'!R:R=B27,'Match History'!T:T,)),MAX(IF('Match History'!V:V=B27,'Match History'!X:X,)),MAX(IF('Match History'!Z:Z=B27,'Match History'!AB:AB,)),MAX(IF('Match History'!AD:AD=B27,'Match History'!AF:AF,)),MAX(IF('Match History'!AH:AH=B27,'Match History'!AJ:AJ,)),MAX(IF('Match History'!AL:AL=B27,'Match History'!AN:AN,)),MAX(IF('Match History'!AV:AV=B27,'Match History'!AX:AX,)),MAX(IF('Match History'!AZ:AZ=B27,'Match History'!BB:BB,)),MAX(IF('Match History'!BD:BD=B27,'Match History'!BF:BF,)),MAX(IF('Match History'!BH:BH=B27,'Match History'!BJ:BJ,)))</f>
        <v>26</v>
      </c>
      <c r="Q27" s="21">
        <f t="array" ref="Q27">IF(F27=0,0,MIN(MIN(IF('Match History'!B:B=B27,'Match History'!D:D,999)),MIN(IF('Match History'!F:F=B27,'Match History'!H:H,999)),MIN(IF('Match History'!J:J=B27,'Match History'!L:L,999)),MIN(IF('Match History'!N:N=B27,'Match History'!P:P,999)),MIN(IF('Match History'!R:R=B27,'Match History'!T:T,999)),MIN(IF('Match History'!V:V=B27,'Match History'!X:X,999)),MIN(IF('Match History'!Z:Z=B27,'Match History'!AB:AB,999)),MIN(IF('Match History'!AD:AD=B27,'Match History'!AF:AF,999)),MIN(IF('Match History'!AH:AH=B27,'Match History'!AJ:AJ,999)),MIN(IF('Match History'!AL:AL=B27,'Match History'!AN:AN,999)),MIN(IF('Match History'!AV:AV=B27,'Match History'!AX:AX,999)),MIN(IF('Match History'!AZ:AZ=B27,'Match History'!BB:BB,999)),MIN(IF('Match History'!BD:BD=B27,'Match History'!BF:BF,999)),MIN(IF('Match History'!BH:BH=B27,'Match History'!BJ:BJ,999))))</f>
        <v>10</v>
      </c>
      <c r="R27" s="21">
        <f>COUNTIFS('Match History'!B:B,B27,'Match History'!A:A,"&gt;="&amp;(DATE(2022,12,31)-30))+COUNTIFS('Match History'!F:F,B27,'Match History'!A:A,"&gt;="&amp;(DATE(2022,12,31)-30))+COUNTIFS('Match History'!J:J,B27,'Match History'!A:A,"&gt;="&amp;(DATE(2022,12,31)-30))+COUNTIFS('Match History'!N:N,B27,'Match History'!A:A,"&gt;="&amp;(DATE(2022,12,31)-30))+COUNTIFS('Match History'!R:R,B27,'Match History'!A:A,"&gt;="&amp;(DATE(2022,12,31)-30))+COUNTIFS('Match History'!V:V,B27,'Match History'!A:A,"&gt;="&amp;(DATE(2022,12,31)-30))+COUNTIFS('Match History'!Z:Z,B27,'Match History'!A:A,"&gt;="&amp;(DATE(2022,12,31)-30))+COUNTIFS('Match History'!AD:AD,B27,'Match History'!A:A,"&gt;="&amp;(DATE(2022,12,31)-30))+COUNTIFS('Match History'!AH:AH,B27,'Match History'!A:A,"&gt;="&amp;(DATE(2022,12,31)-30))+COUNTIFS('Match History'!AL:AL,B27,'Match History'!A:A,"&gt;="&amp;(DATE(2022,12,31)-30))+COUNTIFS('Match History'!AV:AV,B27,'Match History'!A:A,"&gt;="&amp;(DATE(2022,12,31)-30))+COUNTIFS('Match History'!AZ:AZ,B27,'Match History'!A:A,"&gt;="&amp;(DATE(2022,12,31)-30))+COUNTIFS('Match History'!BD:BD,B27,'Match History'!A:A,"&gt;="&amp;(DATE(2022,12,31)-30))+COUNTIFS('Match History'!BH:BH,B27,'Match History'!A:A,"&gt;="&amp;(DATE(2022,12,31)-30))
</f>
        <v>5</v>
      </c>
      <c r="S27" s="21">
        <f>COUNTIFS('Match History'!B:B,B27,'Match History'!A:A,"&gt;="&amp;(DATE(2022,12,31)-365))+COUNTIFS('Match History'!F:F,B27,'Match History'!A:A,"&gt;="&amp;(DATE(2022,12,31)-365))+COUNTIFS('Match History'!J:J,B27,'Match History'!A:A,"&gt;="&amp;(DATE(2022,12,31)-365))+COUNTIFS('Match History'!N:N,B27,'Match History'!A:A,"&gt;="&amp;(DATE(2022,12,31)-365))+COUNTIFS('Match History'!R:R,B27,'Match History'!A:A,"&gt;="&amp;(DATE(2022,12,31)-365))+COUNTIFS('Match History'!V:V,B27,'Match History'!A:A,"&gt;="&amp;(DATE(2022,12,31)-365))+COUNTIFS('Match History'!Z:Z,B27,'Match History'!A:A,"&gt;="&amp;(DATE(2022,12,31)-365))+COUNTIFS('Match History'!AD:AD,B27,'Match History'!A:A,"&gt;="&amp;(DATE(2022,12,31)-365))+COUNTIFS('Match History'!AH:AH,B27,'Match History'!A:A,"&gt;="&amp;(DATE(2022,12,31)-365))+COUNTIFS('Match History'!AL:AL,B27,'Match History'!A:A,"&gt;="&amp;(DATE(2022,12,31)-365))+COUNTIFS('Match History'!AV:AV,B27,'Match History'!A:A,"&gt;="&amp;(DATE(2022,12,31)-365))+COUNTIFS('Match History'!AZ:AZ,B27,'Match History'!A:A,"&gt;="&amp;(DATE(2022,12,31)-365))+COUNTIFS('Match History'!BD:BD,B27,'Match History'!A:A,"&gt;="&amp;(DATE(2022,12,31)-365))+COUNTIFS('Match History'!BH:BH,B27,'Match History'!A:A,"&gt;="&amp;(DATE(2022,12,31)-365))
</f>
        <v>5</v>
      </c>
      <c r="T27" s="20">
        <f t="array" ref="T27">IF(F27=0,0,INDEX('Match History'!B:BK,MATCH(N27,'Match History'!A:A,0),MATCH(B27,INDEX('Match History'!B:BK,MATCH(N27,'Match History'!A:A,0),0),0)+3)-INDEX('Match History'!B:BK,MATCH(N27,'Match History'!A:A,0),MATCH(B27,INDEX('Match History'!B:BK,MATCH(N27,'Match History'!A:A,0),0),0)+1))</f>
        <v>-4.532987202</v>
      </c>
      <c r="U27" s="21">
        <f>COUNTIFS('Match History'!B:B,B27,'Match History'!A:A,"&gt;="&amp;(DATE(2022,12,31)-92))
+COUNTIFS('Match History'!F:F,B27,'Match History'!A:A,"&gt;="&amp;(DATE(2022,12,31)-92))
+COUNTIFS('Match History'!J:J,B27,'Match History'!A:A,"&gt;="&amp;(DATE(2022,12,31)-92))
+COUNTIFS('Match History'!N:N,B27,'Match History'!A:A,"&gt;="&amp;(DATE(2022,12,31)-92))
+COUNTIFS('Match History'!R:R,B27,'Match History'!A:A,"&gt;="&amp;(DATE(2022,12,31)-92))
+COUNTIFS('Match History'!V:V,B27,'Match History'!A:A,"&gt;="&amp;(DATE(2022,12,31)-92))
+COUNTIFS('Match History'!Z:Z,B27,'Match History'!A:A,"&gt;="&amp;(DATE(2022,12,31)-92))
+COUNTIFS('Match History'!AD:AD,B27,'Match History'!A:A,"&gt;="&amp;(DATE(2022,12,31)-92))
+COUNTIFS('Match History'!AH:AH,B27,'Match History'!A:A,"&gt;="&amp;(DATE(2022,12,31)-92))
+COUNTIFS('Match History'!AL:AL,B27,'Match History'!A:A,"&gt;="&amp;(DATE(2022,12,31)-92))
+COUNTIFS('Match History'!AV:AV,B27,'Match History'!A:A,"&gt;="&amp;(DATE(2022,12,31)-92))
+COUNTIFS('Match History'!AZ:AZ,B27,'Match History'!A:A,"&gt;="&amp;(DATE(2022,12,31)-92))
+COUNTIFS('Match History'!BD:BD,B27,'Match History'!A:A,"&gt;="&amp;(DATE(2022,12,31)-92))
+COUNTIFS('Match History'!BH:BH,B27,'Match History'!A:A,"&gt;="&amp;(DATE(2022,12,31)-92))
</f>
        <v>5</v>
      </c>
      <c r="V27" s="20">
        <f>IF(U27=0,0,(SUMIFS('Match History'!D:D,'Match History'!A:A,"&gt;=10/01/2022 00:00",'Match History'!A:A,"&lt;=12/31/2022 23:59",'Match History'!B:B,B27)
+SUMIFS('Match History'!H:H,'Match History'!A:A,"&gt;=10/01/2022 00:00",'Match History'!A:A,"&lt;=12/31/2022 23:59",'Match History'!F:F,B27)
+SUMIFS('Match History'!L:L,'Match History'!A:A,"&gt;=10/01/2022 00:00",'Match History'!A:A,"&lt;=12/31/2022 23:59",'Match History'!J:J,B27)
+SUMIFS('Match History'!P:P,'Match History'!A:A,"&gt;=10/01/2022 00:00",'Match History'!A:A,"&lt;=12/31/2022 23:59",'Match History'!N:N,B27)
+SUMIFS('Match History'!T:T,'Match History'!A:A,"&gt;=10/01/2022 00:00",'Match History'!A:A,"&lt;=12/31/2022 23:59",'Match History'!R:R,B27)
+SUMIFS('Match History'!X:X,'Match History'!A:A,"&gt;=10/01/2022 00:00",'Match History'!A:A,"&lt;=12/31/2022 23:59",'Match History'!V:V,B27)
+SUMIFS('Match History'!AB:AB,'Match History'!A:A,"&gt;=10/01/2022 00:00",'Match History'!A:A,"&lt;=12/31/2022 23:59",'Match History'!Z:Z,B27)
+SUMIFS('Match History'!AF:AF,'Match History'!A:A,"&gt;=10/01/2022 00:00",'Match History'!A:A,"&lt;=12/31/2022 23:59",'Match History'!AD:AD,B27)
+SUMIFS('Match History'!AJ:AJ,'Match History'!A:A,"&gt;=10/01/2022 00:00",'Match History'!A:A,"&lt;=12/31/2022 23:59",'Match History'!AH:AH,B27)
+SUMIFS('Match History'!AN:AN,'Match History'!A:A,"&gt;=10/01/2022 00:00",'Match History'!A:A,"&lt;=12/31/2022 23:59",'Match History'!AL:AL,B27)
+SUMIFS('Match History'!AX:AX,'Match History'!A:A,"&gt;=10/01/2022 00:00",'Match History'!A:A,"&lt;=12/31/2022 23:59",'Match History'!AV:AV,B27)+SUMIFS('Match History'!BB:BB,'Match History'!A:A,"&gt;=10/01/2022 00:00",'Match History'!A:A,"&lt;=12/31/2022 23:59",'Match History'!AZ:AZ,B27)
+SUMIFS('Match History'!BF:BF,'Match History'!A:A,"&gt;=10/01/2022 00:00",'Match History'!A:A,"&lt;=12/31/2022 23:59",'Match History'!BD:BD,B27)
+SUMIFS('Match History'!BJ:BJ,'Match History'!A:A,"&gt;=10/01/2022 00:00",'Match History'!A:A,"&lt;=12/31/2022 23:59",'Match History'!BH:BH,B27))/U27)
</f>
        <v>18.2</v>
      </c>
    </row>
    <row r="28" ht="21.0" customHeight="1">
      <c r="A28" s="44" t="s">
        <v>87</v>
      </c>
      <c r="B28" s="44" t="s">
        <v>88</v>
      </c>
      <c r="C28" s="45">
        <v>985.7964761799375</v>
      </c>
      <c r="D28" s="52">
        <f>NORMDIST(C28,1000,STDEV(Players!$C$2:$C$39)+0.00001,TRUE)</f>
        <v>0.4317246308</v>
      </c>
      <c r="F28" s="75">
        <f>COUNTIF('Match History'!A:BK,"blady")</f>
        <v>594</v>
      </c>
      <c r="G28" s="48" t="s">
        <v>24</v>
      </c>
      <c r="H28" s="43" t="s">
        <v>32</v>
      </c>
      <c r="I28" s="81" t="s">
        <v>29</v>
      </c>
      <c r="K28" s="43">
        <v>2.0</v>
      </c>
      <c r="L28" s="18" t="b">
        <f t="shared" si="2"/>
        <v>1</v>
      </c>
      <c r="M28" s="17" t="b">
        <v>0</v>
      </c>
      <c r="N28" s="19">
        <f t="array" ref="N28">IF(F28=0, "no war", INDEX('Match History'!A:A, MAX(MAX(('Match History'!B:B=B28)*(ROW('Match History'!B:B))),MAX(('Match History'!F:F=B28)*(ROW('Match History'!F:F))),MAX(('Match History'!J:J=B28)*(ROW('Match History'!J:J))),MAX(('Match History'!N:N=B28)*(ROW('Match History'!N:N))),MAX(('Match History'!R:R=B28)*(ROW('Match History'!R:R))),MAX(('Match History'!V:V=B28)*(ROW('Match History'!V:V))),MAX(('Match History'!Z:Z=B28)*(ROW('Match History'!Z:Z))),MAX(('Match History'!AD:AD=B28)*(ROW('Match History'!AD:AD))),MAX(('Match History'!AH:AH=B28)*(ROW('Match History'!AH:AH))),MAX(('Match History'!AL:AL=B28)*(ROW('Match History'!AL:AL))),MAX(('Match History'!AV:AV=B28)*(ROW('Match History'!AV:AV))),MAX(('Match History'!AZ:AZ=B28)*(ROW('Match History'!AZ:AZ))),MAX(('Match History'!BD:BD=B28)*(ROW('Match History'!BD:BD))),MAX(('Match History'!BH:BH=B28)*(ROW('Match History'!BH:BH)))), 1))
</f>
        <v>44926.11415</v>
      </c>
      <c r="O28" s="20">
        <f>(SUMIF('Match History'!B:B,B28,'Match History'!D:D)+SUMIF('Match History'!F:F,B28,'Match History'!H:H)+SUMIF('Match History'!J:J,B28,'Match History'!L:L)+SUMIF('Match History'!N:N,B28,'Match History'!P:P)+SUMIF('Match History'!R:R,B28,'Match History'!T:T)+SUMIF('Match History'!V:V,B28,'Match History'!X:X)+SUMIF('Match History'!Z:Z,B28,'Match History'!AB:AB)+SUMIF('Match History'!AD:AD,B28,'Match History'!AF:AF)+SUMIF('Match History'!AH:AH,B28,'Match History'!AJ:AJ)+SUMIF('Match History'!AL:AL,B28,'Match History'!AN:AN)+SUMIF('Match History'!AV:AV,B28,'Match History'!AX:AX)+SUMIF('Match History'!AZ:AZ,B28,'Match History'!BB:BB)+SUMIF('Match History'!BD:BD,B28,'Match History'!BF:BF)+SUMIF('Match History'!BH:BH,B28,'Match History'!BJ:BJ))/IF(F28=0,1,F28)</f>
        <v>17.04882155</v>
      </c>
      <c r="P28" s="21">
        <f t="array" ref="P28">MAX(MAX(IF('Match History'!B:B=B28,'Match History'!D:D,)),MAX(IF('Match History'!F:F=B28,'Match History'!H:H,)),MAX(IF('Match History'!J:J=B28,'Match History'!L:L,)),MAX(IF('Match History'!N:N=B28,'Match History'!P:P,)),MAX(IF('Match History'!R:R=B28,'Match History'!T:T,)),MAX(IF('Match History'!V:V=B28,'Match History'!X:X,)),MAX(IF('Match History'!Z:Z=B28,'Match History'!AB:AB,)),MAX(IF('Match History'!AD:AD=B28,'Match History'!AF:AF,)),MAX(IF('Match History'!AH:AH=B28,'Match History'!AJ:AJ,)),MAX(IF('Match History'!AL:AL=B28,'Match History'!AN:AN,)),MAX(IF('Match History'!AV:AV=B28,'Match History'!AX:AX,)),MAX(IF('Match History'!AZ:AZ=B28,'Match History'!BB:BB,)),MAX(IF('Match History'!BD:BD=B28,'Match History'!BF:BF,)),MAX(IF('Match History'!BH:BH=B28,'Match History'!BJ:BJ,)))</f>
        <v>41</v>
      </c>
      <c r="Q28" s="21">
        <f t="array" ref="Q28">IF(F28=0,0,MIN(MIN(IF('Match History'!B:B=B28,'Match History'!D:D,999)),MIN(IF('Match History'!F:F=B28,'Match History'!H:H,999)),MIN(IF('Match History'!J:J=B28,'Match History'!L:L,999)),MIN(IF('Match History'!N:N=B28,'Match History'!P:P,999)),MIN(IF('Match History'!R:R=B28,'Match History'!T:T,999)),MIN(IF('Match History'!V:V=B28,'Match History'!X:X,999)),MIN(IF('Match History'!Z:Z=B28,'Match History'!AB:AB,999)),MIN(IF('Match History'!AD:AD=B28,'Match History'!AF:AF,999)),MIN(IF('Match History'!AH:AH=B28,'Match History'!AJ:AJ,999)),MIN(IF('Match History'!AL:AL=B28,'Match History'!AN:AN,999)),MIN(IF('Match History'!AV:AV=B28,'Match History'!AX:AX,999)),MIN(IF('Match History'!AZ:AZ=B28,'Match History'!BB:BB,999)),MIN(IF('Match History'!BD:BD=B28,'Match History'!BF:BF,999)),MIN(IF('Match History'!BH:BH=B28,'Match History'!BJ:BJ,999))))</f>
        <v>4</v>
      </c>
      <c r="R28" s="21">
        <f>COUNTIFS('Match History'!B:B,B28,'Match History'!A:A,"&gt;="&amp;(DATE(2022,12,31)-30))+COUNTIFS('Match History'!F:F,B28,'Match History'!A:A,"&gt;="&amp;(DATE(2022,12,31)-30))+COUNTIFS('Match History'!J:J,B28,'Match History'!A:A,"&gt;="&amp;(DATE(2022,12,31)-30))+COUNTIFS('Match History'!N:N,B28,'Match History'!A:A,"&gt;="&amp;(DATE(2022,12,31)-30))+COUNTIFS('Match History'!R:R,B28,'Match History'!A:A,"&gt;="&amp;(DATE(2022,12,31)-30))+COUNTIFS('Match History'!V:V,B28,'Match History'!A:A,"&gt;="&amp;(DATE(2022,12,31)-30))+COUNTIFS('Match History'!Z:Z,B28,'Match History'!A:A,"&gt;="&amp;(DATE(2022,12,31)-30))+COUNTIFS('Match History'!AD:AD,B28,'Match History'!A:A,"&gt;="&amp;(DATE(2022,12,31)-30))+COUNTIFS('Match History'!AH:AH,B28,'Match History'!A:A,"&gt;="&amp;(DATE(2022,12,31)-30))+COUNTIFS('Match History'!AL:AL,B28,'Match History'!A:A,"&gt;="&amp;(DATE(2022,12,31)-30))+COUNTIFS('Match History'!AV:AV,B28,'Match History'!A:A,"&gt;="&amp;(DATE(2022,12,31)-30))+COUNTIFS('Match History'!AZ:AZ,B28,'Match History'!A:A,"&gt;="&amp;(DATE(2022,12,31)-30))+COUNTIFS('Match History'!BD:BD,B28,'Match History'!A:A,"&gt;="&amp;(DATE(2022,12,31)-30))+COUNTIFS('Match History'!BH:BH,B28,'Match History'!A:A,"&gt;="&amp;(DATE(2022,12,31)-30))
</f>
        <v>52</v>
      </c>
      <c r="S28" s="21">
        <f>COUNTIFS('Match History'!B:B,B28,'Match History'!A:A,"&gt;="&amp;(DATE(2022,12,31)-365))+COUNTIFS('Match History'!F:F,B28,'Match History'!A:A,"&gt;="&amp;(DATE(2022,12,31)-365))+COUNTIFS('Match History'!J:J,B28,'Match History'!A:A,"&gt;="&amp;(DATE(2022,12,31)-365))+COUNTIFS('Match History'!N:N,B28,'Match History'!A:A,"&gt;="&amp;(DATE(2022,12,31)-365))+COUNTIFS('Match History'!R:R,B28,'Match History'!A:A,"&gt;="&amp;(DATE(2022,12,31)-365))+COUNTIFS('Match History'!V:V,B28,'Match History'!A:A,"&gt;="&amp;(DATE(2022,12,31)-365))+COUNTIFS('Match History'!Z:Z,B28,'Match History'!A:A,"&gt;="&amp;(DATE(2022,12,31)-365))+COUNTIFS('Match History'!AD:AD,B28,'Match History'!A:A,"&gt;="&amp;(DATE(2022,12,31)-365))+COUNTIFS('Match History'!AH:AH,B28,'Match History'!A:A,"&gt;="&amp;(DATE(2022,12,31)-365))+COUNTIFS('Match History'!AL:AL,B28,'Match History'!A:A,"&gt;="&amp;(DATE(2022,12,31)-365))+COUNTIFS('Match History'!AV:AV,B28,'Match History'!A:A,"&gt;="&amp;(DATE(2022,12,31)-365))+COUNTIFS('Match History'!AZ:AZ,B28,'Match History'!A:A,"&gt;="&amp;(DATE(2022,12,31)-365))+COUNTIFS('Match History'!BD:BD,B28,'Match History'!A:A,"&gt;="&amp;(DATE(2022,12,31)-365))+COUNTIFS('Match History'!BH:BH,B28,'Match History'!A:A,"&gt;="&amp;(DATE(2022,12,31)-365))
</f>
        <v>252</v>
      </c>
      <c r="T28" s="20">
        <f t="array" ref="T28">IF(F28=0,0,INDEX('Match History'!B:BK,MATCH(N28,'Match History'!A:A,0),MATCH(B28,INDEX('Match History'!B:BK,MATCH(N28,'Match History'!A:A,0),0),0)+3)-INDEX('Match History'!B:BK,MATCH(N28,'Match History'!A:A,0),MATCH(B28,INDEX('Match History'!B:BK,MATCH(N28,'Match History'!A:A,0),0),0)+1))</f>
        <v>7.872986404</v>
      </c>
      <c r="U28" s="21">
        <f>COUNTIFS('Match History'!B:B,B28,'Match History'!A:A,"&gt;="&amp;(DATE(2022,12,31)-92))
+COUNTIFS('Match History'!F:F,B28,'Match History'!A:A,"&gt;="&amp;(DATE(2022,12,31)-92))
+COUNTIFS('Match History'!J:J,B28,'Match History'!A:A,"&gt;="&amp;(DATE(2022,12,31)-92))
+COUNTIFS('Match History'!N:N,B28,'Match History'!A:A,"&gt;="&amp;(DATE(2022,12,31)-92))
+COUNTIFS('Match History'!R:R,B28,'Match History'!A:A,"&gt;="&amp;(DATE(2022,12,31)-92))
+COUNTIFS('Match History'!V:V,B28,'Match History'!A:A,"&gt;="&amp;(DATE(2022,12,31)-92))
+COUNTIFS('Match History'!Z:Z,B28,'Match History'!A:A,"&gt;="&amp;(DATE(2022,12,31)-92))
+COUNTIFS('Match History'!AD:AD,B28,'Match History'!A:A,"&gt;="&amp;(DATE(2022,12,31)-92))
+COUNTIFS('Match History'!AH:AH,B28,'Match History'!A:A,"&gt;="&amp;(DATE(2022,12,31)-92))
+COUNTIFS('Match History'!AL:AL,B28,'Match History'!A:A,"&gt;="&amp;(DATE(2022,12,31)-92))
+COUNTIFS('Match History'!AV:AV,B28,'Match History'!A:A,"&gt;="&amp;(DATE(2022,12,31)-92))
+COUNTIFS('Match History'!AZ:AZ,B28,'Match History'!A:A,"&gt;="&amp;(DATE(2022,12,31)-92))
+COUNTIFS('Match History'!BD:BD,B28,'Match History'!A:A,"&gt;="&amp;(DATE(2022,12,31)-92))
+COUNTIFS('Match History'!BH:BH,B28,'Match History'!A:A,"&gt;="&amp;(DATE(2022,12,31)-92))
</f>
        <v>84</v>
      </c>
      <c r="V28" s="20">
        <f>IF(U28=0,0,(SUMIFS('Match History'!D:D,'Match History'!A:A,"&gt;=10/01/2022 00:00",'Match History'!A:A,"&lt;=12/31/2022 23:59",'Match History'!B:B,B28)
+SUMIFS('Match History'!H:H,'Match History'!A:A,"&gt;=10/01/2022 00:00",'Match History'!A:A,"&lt;=12/31/2022 23:59",'Match History'!F:F,B28)
+SUMIFS('Match History'!L:L,'Match History'!A:A,"&gt;=10/01/2022 00:00",'Match History'!A:A,"&lt;=12/31/2022 23:59",'Match History'!J:J,B28)
+SUMIFS('Match History'!P:P,'Match History'!A:A,"&gt;=10/01/2022 00:00",'Match History'!A:A,"&lt;=12/31/2022 23:59",'Match History'!N:N,B28)
+SUMIFS('Match History'!T:T,'Match History'!A:A,"&gt;=10/01/2022 00:00",'Match History'!A:A,"&lt;=12/31/2022 23:59",'Match History'!R:R,B28)
+SUMIFS('Match History'!X:X,'Match History'!A:A,"&gt;=10/01/2022 00:00",'Match History'!A:A,"&lt;=12/31/2022 23:59",'Match History'!V:V,B28)
+SUMIFS('Match History'!AB:AB,'Match History'!A:A,"&gt;=10/01/2022 00:00",'Match History'!A:A,"&lt;=12/31/2022 23:59",'Match History'!Z:Z,B28)
+SUMIFS('Match History'!AF:AF,'Match History'!A:A,"&gt;=10/01/2022 00:00",'Match History'!A:A,"&lt;=12/31/2022 23:59",'Match History'!AD:AD,B28)
+SUMIFS('Match History'!AJ:AJ,'Match History'!A:A,"&gt;=10/01/2022 00:00",'Match History'!A:A,"&lt;=12/31/2022 23:59",'Match History'!AH:AH,B28)
+SUMIFS('Match History'!AN:AN,'Match History'!A:A,"&gt;=10/01/2022 00:00",'Match History'!A:A,"&lt;=12/31/2022 23:59",'Match History'!AL:AL,B28)
+SUMIFS('Match History'!AX:AX,'Match History'!A:A,"&gt;=10/01/2022 00:00",'Match History'!A:A,"&lt;=12/31/2022 23:59",'Match History'!AV:AV,B28)+SUMIFS('Match History'!BB:BB,'Match History'!A:A,"&gt;=10/01/2022 00:00",'Match History'!A:A,"&lt;=12/31/2022 23:59",'Match History'!AZ:AZ,B28)
+SUMIFS('Match History'!BF:BF,'Match History'!A:A,"&gt;=10/01/2022 00:00",'Match History'!A:A,"&lt;=12/31/2022 23:59",'Match History'!BD:BD,B28)
+SUMIFS('Match History'!BJ:BJ,'Match History'!A:A,"&gt;=10/01/2022 00:00",'Match History'!A:A,"&lt;=12/31/2022 23:59",'Match History'!BH:BH,B28))/U28)
</f>
        <v>18.28571429</v>
      </c>
    </row>
    <row r="29" ht="21.0" customHeight="1">
      <c r="A29" s="51" t="s">
        <v>89</v>
      </c>
      <c r="B29" s="51" t="s">
        <v>90</v>
      </c>
      <c r="C29" s="45">
        <v>972.3247729430008</v>
      </c>
      <c r="D29" s="82">
        <f>NORMDIST(C29,1000,STDEV(Players!$C$2:$C$39)+0.00001,TRUE)</f>
        <v>0.3687715017</v>
      </c>
      <c r="E29" s="46"/>
      <c r="F29" s="83">
        <f>COUNTIF('Match History'!A:BK,"your-problem")</f>
        <v>270</v>
      </c>
      <c r="G29" s="43" t="s">
        <v>24</v>
      </c>
      <c r="H29" s="43" t="s">
        <v>28</v>
      </c>
      <c r="I29" s="43" t="s">
        <v>29</v>
      </c>
      <c r="L29" s="18" t="b">
        <f t="shared" si="2"/>
        <v>1</v>
      </c>
      <c r="M29" s="17" t="b">
        <v>0</v>
      </c>
      <c r="N29" s="19">
        <f t="array" ref="N29">IF(F29=0, "no war", INDEX('Match History'!A:A, MAX(MAX(('Match History'!B:B=B29)*(ROW('Match History'!B:B))),MAX(('Match History'!F:F=B29)*(ROW('Match History'!F:F))),MAX(('Match History'!J:J=B29)*(ROW('Match History'!J:J))),MAX(('Match History'!N:N=B29)*(ROW('Match History'!N:N))),MAX(('Match History'!R:R=B29)*(ROW('Match History'!R:R))),MAX(('Match History'!V:V=B29)*(ROW('Match History'!V:V))),MAX(('Match History'!Z:Z=B29)*(ROW('Match History'!Z:Z))),MAX(('Match History'!AD:AD=B29)*(ROW('Match History'!AD:AD))),MAX(('Match History'!AH:AH=B29)*(ROW('Match History'!AH:AH))),MAX(('Match History'!AL:AL=B29)*(ROW('Match History'!AL:AL))),MAX(('Match History'!AV:AV=B29)*(ROW('Match History'!AV:AV))),MAX(('Match History'!AZ:AZ=B29)*(ROW('Match History'!AZ:AZ))),MAX(('Match History'!BD:BD=B29)*(ROW('Match History'!BD:BD))),MAX(('Match History'!BH:BH=B29)*(ROW('Match History'!BH:BH)))), 1))
</f>
        <v>44924.99817</v>
      </c>
      <c r="O29" s="20">
        <f>(SUMIF('Match History'!B:B,B29,'Match History'!D:D)+SUMIF('Match History'!F:F,B29,'Match History'!H:H)+SUMIF('Match History'!J:J,B29,'Match History'!L:L)+SUMIF('Match History'!N:N,B29,'Match History'!P:P)+SUMIF('Match History'!R:R,B29,'Match History'!T:T)+SUMIF('Match History'!V:V,B29,'Match History'!X:X)+SUMIF('Match History'!Z:Z,B29,'Match History'!AB:AB)+SUMIF('Match History'!AD:AD,B29,'Match History'!AF:AF)+SUMIF('Match History'!AH:AH,B29,'Match History'!AJ:AJ)+SUMIF('Match History'!AL:AL,B29,'Match History'!AN:AN)+SUMIF('Match History'!AV:AV,B29,'Match History'!AX:AX)+SUMIF('Match History'!AZ:AZ,B29,'Match History'!BB:BB)+SUMIF('Match History'!BD:BD,B29,'Match History'!BF:BF)+SUMIF('Match History'!BH:BH,B29,'Match History'!BJ:BJ))/IF(F29=0,1,F29)</f>
        <v>17.56666667</v>
      </c>
      <c r="P29" s="21">
        <f t="array" ref="P29">MAX(MAX(IF('Match History'!B:B=B29,'Match History'!D:D,)),MAX(IF('Match History'!F:F=B29,'Match History'!H:H,)),MAX(IF('Match History'!J:J=B29,'Match History'!L:L,)),MAX(IF('Match History'!N:N=B29,'Match History'!P:P,)),MAX(IF('Match History'!R:R=B29,'Match History'!T:T,)),MAX(IF('Match History'!V:V=B29,'Match History'!X:X,)),MAX(IF('Match History'!Z:Z=B29,'Match History'!AB:AB,)),MAX(IF('Match History'!AD:AD=B29,'Match History'!AF:AF,)),MAX(IF('Match History'!AH:AH=B29,'Match History'!AJ:AJ,)),MAX(IF('Match History'!AL:AL=B29,'Match History'!AN:AN,)),MAX(IF('Match History'!AV:AV=B29,'Match History'!AX:AX,)),MAX(IF('Match History'!AZ:AZ=B29,'Match History'!BB:BB,)),MAX(IF('Match History'!BD:BD=B29,'Match History'!BF:BF,)),MAX(IF('Match History'!BH:BH=B29,'Match History'!BJ:BJ,)))</f>
        <v>34</v>
      </c>
      <c r="Q29" s="21">
        <f t="array" ref="Q29">IF(F29=0,0,MIN(MIN(IF('Match History'!B:B=B29,'Match History'!D:D,999)),MIN(IF('Match History'!F:F=B29,'Match History'!H:H,999)),MIN(IF('Match History'!J:J=B29,'Match History'!L:L,999)),MIN(IF('Match History'!N:N=B29,'Match History'!P:P,999)),MIN(IF('Match History'!R:R=B29,'Match History'!T:T,999)),MIN(IF('Match History'!V:V=B29,'Match History'!X:X,999)),MIN(IF('Match History'!Z:Z=B29,'Match History'!AB:AB,999)),MIN(IF('Match History'!AD:AD=B29,'Match History'!AF:AF,999)),MIN(IF('Match History'!AH:AH=B29,'Match History'!AJ:AJ,999)),MIN(IF('Match History'!AL:AL=B29,'Match History'!AN:AN,999)),MIN(IF('Match History'!AV:AV=B29,'Match History'!AX:AX,999)),MIN(IF('Match History'!AZ:AZ=B29,'Match History'!BB:BB,999)),MIN(IF('Match History'!BD:BD=B29,'Match History'!BF:BF,999)),MIN(IF('Match History'!BH:BH=B29,'Match History'!BJ:BJ,999))))</f>
        <v>7</v>
      </c>
      <c r="R29" s="21">
        <f>COUNTIFS('Match History'!B:B,B29,'Match History'!A:A,"&gt;="&amp;(DATE(2022,12,31)-30))+COUNTIFS('Match History'!F:F,B29,'Match History'!A:A,"&gt;="&amp;(DATE(2022,12,31)-30))+COUNTIFS('Match History'!J:J,B29,'Match History'!A:A,"&gt;="&amp;(DATE(2022,12,31)-30))+COUNTIFS('Match History'!N:N,B29,'Match History'!A:A,"&gt;="&amp;(DATE(2022,12,31)-30))+COUNTIFS('Match History'!R:R,B29,'Match History'!A:A,"&gt;="&amp;(DATE(2022,12,31)-30))+COUNTIFS('Match History'!V:V,B29,'Match History'!A:A,"&gt;="&amp;(DATE(2022,12,31)-30))+COUNTIFS('Match History'!Z:Z,B29,'Match History'!A:A,"&gt;="&amp;(DATE(2022,12,31)-30))+COUNTIFS('Match History'!AD:AD,B29,'Match History'!A:A,"&gt;="&amp;(DATE(2022,12,31)-30))+COUNTIFS('Match History'!AH:AH,B29,'Match History'!A:A,"&gt;="&amp;(DATE(2022,12,31)-30))+COUNTIFS('Match History'!AL:AL,B29,'Match History'!A:A,"&gt;="&amp;(DATE(2022,12,31)-30))+COUNTIFS('Match History'!AV:AV,B29,'Match History'!A:A,"&gt;="&amp;(DATE(2022,12,31)-30))+COUNTIFS('Match History'!AZ:AZ,B29,'Match History'!A:A,"&gt;="&amp;(DATE(2022,12,31)-30))+COUNTIFS('Match History'!BD:BD,B29,'Match History'!A:A,"&gt;="&amp;(DATE(2022,12,31)-30))+COUNTIFS('Match History'!BH:BH,B29,'Match History'!A:A,"&gt;="&amp;(DATE(2022,12,31)-30))
</f>
        <v>1</v>
      </c>
      <c r="S29" s="21">
        <f>COUNTIFS('Match History'!B:B,B29,'Match History'!A:A,"&gt;="&amp;(DATE(2022,12,31)-365))+COUNTIFS('Match History'!F:F,B29,'Match History'!A:A,"&gt;="&amp;(DATE(2022,12,31)-365))+COUNTIFS('Match History'!J:J,B29,'Match History'!A:A,"&gt;="&amp;(DATE(2022,12,31)-365))+COUNTIFS('Match History'!N:N,B29,'Match History'!A:A,"&gt;="&amp;(DATE(2022,12,31)-365))+COUNTIFS('Match History'!R:R,B29,'Match History'!A:A,"&gt;="&amp;(DATE(2022,12,31)-365))+COUNTIFS('Match History'!V:V,B29,'Match History'!A:A,"&gt;="&amp;(DATE(2022,12,31)-365))+COUNTIFS('Match History'!Z:Z,B29,'Match History'!A:A,"&gt;="&amp;(DATE(2022,12,31)-365))+COUNTIFS('Match History'!AD:AD,B29,'Match History'!A:A,"&gt;="&amp;(DATE(2022,12,31)-365))+COUNTIFS('Match History'!AH:AH,B29,'Match History'!A:A,"&gt;="&amp;(DATE(2022,12,31)-365))+COUNTIFS('Match History'!AL:AL,B29,'Match History'!A:A,"&gt;="&amp;(DATE(2022,12,31)-365))+COUNTIFS('Match History'!AV:AV,B29,'Match History'!A:A,"&gt;="&amp;(DATE(2022,12,31)-365))+COUNTIFS('Match History'!AZ:AZ,B29,'Match History'!A:A,"&gt;="&amp;(DATE(2022,12,31)-365))+COUNTIFS('Match History'!BD:BD,B29,'Match History'!A:A,"&gt;="&amp;(DATE(2022,12,31)-365))+COUNTIFS('Match History'!BH:BH,B29,'Match History'!A:A,"&gt;="&amp;(DATE(2022,12,31)-365))
</f>
        <v>4</v>
      </c>
      <c r="T29" s="20">
        <f t="array" ref="T29">IF(F29=0,0,INDEX('Match History'!B:BK,MATCH(N29,'Match History'!A:A,0),MATCH(B29,INDEX('Match History'!B:BK,MATCH(N29,'Match History'!A:A,0),0),0)+3)-INDEX('Match History'!B:BK,MATCH(N29,'Match History'!A:A,0),MATCH(B29,INDEX('Match History'!B:BK,MATCH(N29,'Match History'!A:A,0),0),0)+1))</f>
        <v>0.93</v>
      </c>
      <c r="U29" s="21">
        <f>COUNTIFS('Match History'!B:B,B29,'Match History'!A:A,"&gt;="&amp;(DATE(2022,12,31)-92))
+COUNTIFS('Match History'!F:F,B29,'Match History'!A:A,"&gt;="&amp;(DATE(2022,12,31)-92))
+COUNTIFS('Match History'!J:J,B29,'Match History'!A:A,"&gt;="&amp;(DATE(2022,12,31)-92))
+COUNTIFS('Match History'!N:N,B29,'Match History'!A:A,"&gt;="&amp;(DATE(2022,12,31)-92))
+COUNTIFS('Match History'!R:R,B29,'Match History'!A:A,"&gt;="&amp;(DATE(2022,12,31)-92))
+COUNTIFS('Match History'!V:V,B29,'Match History'!A:A,"&gt;="&amp;(DATE(2022,12,31)-92))
+COUNTIFS('Match History'!Z:Z,B29,'Match History'!A:A,"&gt;="&amp;(DATE(2022,12,31)-92))
+COUNTIFS('Match History'!AD:AD,B29,'Match History'!A:A,"&gt;="&amp;(DATE(2022,12,31)-92))
+COUNTIFS('Match History'!AH:AH,B29,'Match History'!A:A,"&gt;="&amp;(DATE(2022,12,31)-92))
+COUNTIFS('Match History'!AL:AL,B29,'Match History'!A:A,"&gt;="&amp;(DATE(2022,12,31)-92))
+COUNTIFS('Match History'!AV:AV,B29,'Match History'!A:A,"&gt;="&amp;(DATE(2022,12,31)-92))
+COUNTIFS('Match History'!AZ:AZ,B29,'Match History'!A:A,"&gt;="&amp;(DATE(2022,12,31)-92))
+COUNTIFS('Match History'!BD:BD,B29,'Match History'!A:A,"&gt;="&amp;(DATE(2022,12,31)-92))
+COUNTIFS('Match History'!BH:BH,B29,'Match History'!A:A,"&gt;="&amp;(DATE(2022,12,31)-92))
</f>
        <v>1</v>
      </c>
      <c r="V29" s="20">
        <f>IF(U29=0,0,(SUMIFS('Match History'!D:D,'Match History'!A:A,"&gt;=10/01/2022 00:00",'Match History'!A:A,"&lt;=12/31/2022 23:59",'Match History'!B:B,B29)
+SUMIFS('Match History'!H:H,'Match History'!A:A,"&gt;=10/01/2022 00:00",'Match History'!A:A,"&lt;=12/31/2022 23:59",'Match History'!F:F,B29)
+SUMIFS('Match History'!L:L,'Match History'!A:A,"&gt;=10/01/2022 00:00",'Match History'!A:A,"&lt;=12/31/2022 23:59",'Match History'!J:J,B29)
+SUMIFS('Match History'!P:P,'Match History'!A:A,"&gt;=10/01/2022 00:00",'Match History'!A:A,"&lt;=12/31/2022 23:59",'Match History'!N:N,B29)
+SUMIFS('Match History'!T:T,'Match History'!A:A,"&gt;=10/01/2022 00:00",'Match History'!A:A,"&lt;=12/31/2022 23:59",'Match History'!R:R,B29)
+SUMIFS('Match History'!X:X,'Match History'!A:A,"&gt;=10/01/2022 00:00",'Match History'!A:A,"&lt;=12/31/2022 23:59",'Match History'!V:V,B29)
+SUMIFS('Match History'!AB:AB,'Match History'!A:A,"&gt;=10/01/2022 00:00",'Match History'!A:A,"&lt;=12/31/2022 23:59",'Match History'!Z:Z,B29)
+SUMIFS('Match History'!AF:AF,'Match History'!A:A,"&gt;=10/01/2022 00:00",'Match History'!A:A,"&lt;=12/31/2022 23:59",'Match History'!AD:AD,B29)
+SUMIFS('Match History'!AJ:AJ,'Match History'!A:A,"&gt;=10/01/2022 00:00",'Match History'!A:A,"&lt;=12/31/2022 23:59",'Match History'!AH:AH,B29)
+SUMIFS('Match History'!AN:AN,'Match History'!A:A,"&gt;=10/01/2022 00:00",'Match History'!A:A,"&lt;=12/31/2022 23:59",'Match History'!AL:AL,B29)
+SUMIFS('Match History'!AX:AX,'Match History'!A:A,"&gt;=10/01/2022 00:00",'Match History'!A:A,"&lt;=12/31/2022 23:59",'Match History'!AV:AV,B29)+SUMIFS('Match History'!BB:BB,'Match History'!A:A,"&gt;=10/01/2022 00:00",'Match History'!A:A,"&lt;=12/31/2022 23:59",'Match History'!AZ:AZ,B29)
+SUMIFS('Match History'!BF:BF,'Match History'!A:A,"&gt;=10/01/2022 00:00",'Match History'!A:A,"&lt;=12/31/2022 23:59",'Match History'!BD:BD,B29)
+SUMIFS('Match History'!BJ:BJ,'Match History'!A:A,"&gt;=10/01/2022 00:00",'Match History'!A:A,"&lt;=12/31/2022 23:59",'Match History'!BH:BH,B29))/U29)
</f>
        <v>13</v>
      </c>
    </row>
    <row r="30" ht="21.0" customHeight="1">
      <c r="A30" s="84" t="s">
        <v>91</v>
      </c>
      <c r="B30" s="85" t="s">
        <v>92</v>
      </c>
      <c r="C30" s="12">
        <v>965.1561891275927</v>
      </c>
      <c r="D30" s="86">
        <f>NORMDIST(C30,1000,STDEV($C$2:$C$39)+0.00001,TRUE)</f>
        <v>0.3365451822</v>
      </c>
      <c r="E30" s="46"/>
      <c r="F30" s="50">
        <f>COUNTIF('Match History'!A:BK,"baton")</f>
        <v>654</v>
      </c>
      <c r="G30" s="87" t="s">
        <v>24</v>
      </c>
      <c r="H30" s="87" t="s">
        <v>93</v>
      </c>
      <c r="I30" s="87">
        <v>2.0</v>
      </c>
      <c r="J30" s="43">
        <v>1.0</v>
      </c>
      <c r="K30" s="43">
        <v>1.0</v>
      </c>
      <c r="L30" s="18" t="b">
        <f t="shared" si="2"/>
        <v>1</v>
      </c>
      <c r="M30" s="17" t="b">
        <v>0</v>
      </c>
      <c r="N30" s="19">
        <f t="array" ref="N30">IF(F30=0, "no war", INDEX('Match History'!A:A, MAX(MAX(('Match History'!B:B=B30)*(ROW('Match History'!B:B))),MAX(('Match History'!F:F=B30)*(ROW('Match History'!F:F))),MAX(('Match History'!J:J=B30)*(ROW('Match History'!J:J))),MAX(('Match History'!N:N=B30)*(ROW('Match History'!N:N))),MAX(('Match History'!R:R=B30)*(ROW('Match History'!R:R))),MAX(('Match History'!V:V=B30)*(ROW('Match History'!V:V))),MAX(('Match History'!Z:Z=B30)*(ROW('Match History'!Z:Z))),MAX(('Match History'!AD:AD=B30)*(ROW('Match History'!AD:AD))),MAX(('Match History'!AH:AH=B30)*(ROW('Match History'!AH:AH))),MAX(('Match History'!AL:AL=B30)*(ROW('Match History'!AL:AL))),MAX(('Match History'!AV:AV=B30)*(ROW('Match History'!AV:AV))),MAX(('Match History'!AZ:AZ=B30)*(ROW('Match History'!AZ:AZ))),MAX(('Match History'!BD:BD=B30)*(ROW('Match History'!BD:BD))),MAX(('Match History'!BH:BH=B30)*(ROW('Match History'!BH:BH)))), 1))
</f>
        <v>44924.99817</v>
      </c>
      <c r="O30" s="20">
        <f>(SUMIF('Match History'!B:B,B30,'Match History'!D:D)+SUMIF('Match History'!F:F,B30,'Match History'!H:H)+SUMIF('Match History'!J:J,B30,'Match History'!L:L)+SUMIF('Match History'!N:N,B30,'Match History'!P:P)+SUMIF('Match History'!R:R,B30,'Match History'!T:T)+SUMIF('Match History'!V:V,B30,'Match History'!X:X)+SUMIF('Match History'!Z:Z,B30,'Match History'!AB:AB)+SUMIF('Match History'!AD:AD,B30,'Match History'!AF:AF)+SUMIF('Match History'!AH:AH,B30,'Match History'!AJ:AJ)+SUMIF('Match History'!AL:AL,B30,'Match History'!AN:AN)+SUMIF('Match History'!AV:AV,B30,'Match History'!AX:AX)+SUMIF('Match History'!AZ:AZ,B30,'Match History'!BB:BB)+SUMIF('Match History'!BD:BD,B30,'Match History'!BF:BF)+SUMIF('Match History'!BH:BH,B30,'Match History'!BJ:BJ))/IF(F30=0,1,F30)</f>
        <v>19.81498471</v>
      </c>
      <c r="P30" s="21">
        <f t="array" ref="P30">MAX(MAX(IF('Match History'!B:B=B30,'Match History'!D:D,)),MAX(IF('Match History'!F:F=B30,'Match History'!H:H,)),MAX(IF('Match History'!J:J=B30,'Match History'!L:L,)),MAX(IF('Match History'!N:N=B30,'Match History'!P:P,)),MAX(IF('Match History'!R:R=B30,'Match History'!T:T,)),MAX(IF('Match History'!V:V=B30,'Match History'!X:X,)),MAX(IF('Match History'!Z:Z=B30,'Match History'!AB:AB,)),MAX(IF('Match History'!AD:AD=B30,'Match History'!AF:AF,)),MAX(IF('Match History'!AH:AH=B30,'Match History'!AJ:AJ,)),MAX(IF('Match History'!AL:AL=B30,'Match History'!AN:AN,)),MAX(IF('Match History'!AV:AV=B30,'Match History'!AX:AX,)),MAX(IF('Match History'!AZ:AZ=B30,'Match History'!BB:BB,)),MAX(IF('Match History'!BD:BD=B30,'Match History'!BF:BF,)),MAX(IF('Match History'!BH:BH=B30,'Match History'!BJ:BJ,)))</f>
        <v>63</v>
      </c>
      <c r="Q30" s="21">
        <f t="array" ref="Q30">IF(F30=0,0,MIN(MIN(IF('Match History'!B:B=B30,'Match History'!D:D,999)),MIN(IF('Match History'!F:F=B30,'Match History'!H:H,999)),MIN(IF('Match History'!J:J=B30,'Match History'!L:L,999)),MIN(IF('Match History'!N:N=B30,'Match History'!P:P,999)),MIN(IF('Match History'!R:R=B30,'Match History'!T:T,999)),MIN(IF('Match History'!V:V=B30,'Match History'!X:X,999)),MIN(IF('Match History'!Z:Z=B30,'Match History'!AB:AB,999)),MIN(IF('Match History'!AD:AD=B30,'Match History'!AF:AF,999)),MIN(IF('Match History'!AH:AH=B30,'Match History'!AJ:AJ,999)),MIN(IF('Match History'!AL:AL=B30,'Match History'!AN:AN,999)),MIN(IF('Match History'!AV:AV=B30,'Match History'!AX:AX,999)),MIN(IF('Match History'!AZ:AZ=B30,'Match History'!BB:BB,999)),MIN(IF('Match History'!BD:BD=B30,'Match History'!BF:BF,999)),MIN(IF('Match History'!BH:BH=B30,'Match History'!BJ:BJ,999))))</f>
        <v>6</v>
      </c>
      <c r="R30" s="21">
        <f>COUNTIFS('Match History'!B:B,B30,'Match History'!A:A,"&gt;="&amp;(DATE(2022,12,31)-30))+COUNTIFS('Match History'!F:F,B30,'Match History'!A:A,"&gt;="&amp;(DATE(2022,12,31)-30))+COUNTIFS('Match History'!J:J,B30,'Match History'!A:A,"&gt;="&amp;(DATE(2022,12,31)-30))+COUNTIFS('Match History'!N:N,B30,'Match History'!A:A,"&gt;="&amp;(DATE(2022,12,31)-30))+COUNTIFS('Match History'!R:R,B30,'Match History'!A:A,"&gt;="&amp;(DATE(2022,12,31)-30))+COUNTIFS('Match History'!V:V,B30,'Match History'!A:A,"&gt;="&amp;(DATE(2022,12,31)-30))+COUNTIFS('Match History'!Z:Z,B30,'Match History'!A:A,"&gt;="&amp;(DATE(2022,12,31)-30))+COUNTIFS('Match History'!AD:AD,B30,'Match History'!A:A,"&gt;="&amp;(DATE(2022,12,31)-30))+COUNTIFS('Match History'!AH:AH,B30,'Match History'!A:A,"&gt;="&amp;(DATE(2022,12,31)-30))+COUNTIFS('Match History'!AL:AL,B30,'Match History'!A:A,"&gt;="&amp;(DATE(2022,12,31)-30))+COUNTIFS('Match History'!AV:AV,B30,'Match History'!A:A,"&gt;="&amp;(DATE(2022,12,31)-30))+COUNTIFS('Match History'!AZ:AZ,B30,'Match History'!A:A,"&gt;="&amp;(DATE(2022,12,31)-30))+COUNTIFS('Match History'!BD:BD,B30,'Match History'!A:A,"&gt;="&amp;(DATE(2022,12,31)-30))+COUNTIFS('Match History'!BH:BH,B30,'Match History'!A:A,"&gt;="&amp;(DATE(2022,12,31)-30))
</f>
        <v>26</v>
      </c>
      <c r="S30" s="21">
        <f>COUNTIFS('Match History'!B:B,B30,'Match History'!A:A,"&gt;="&amp;(DATE(2022,12,31)-365))+COUNTIFS('Match History'!F:F,B30,'Match History'!A:A,"&gt;="&amp;(DATE(2022,12,31)-365))+COUNTIFS('Match History'!J:J,B30,'Match History'!A:A,"&gt;="&amp;(DATE(2022,12,31)-365))+COUNTIFS('Match History'!N:N,B30,'Match History'!A:A,"&gt;="&amp;(DATE(2022,12,31)-365))+COUNTIFS('Match History'!R:R,B30,'Match History'!A:A,"&gt;="&amp;(DATE(2022,12,31)-365))+COUNTIFS('Match History'!V:V,B30,'Match History'!A:A,"&gt;="&amp;(DATE(2022,12,31)-365))+COUNTIFS('Match History'!Z:Z,B30,'Match History'!A:A,"&gt;="&amp;(DATE(2022,12,31)-365))+COUNTIFS('Match History'!AD:AD,B30,'Match History'!A:A,"&gt;="&amp;(DATE(2022,12,31)-365))+COUNTIFS('Match History'!AH:AH,B30,'Match History'!A:A,"&gt;="&amp;(DATE(2022,12,31)-365))+COUNTIFS('Match History'!AL:AL,B30,'Match History'!A:A,"&gt;="&amp;(DATE(2022,12,31)-365))+COUNTIFS('Match History'!AV:AV,B30,'Match History'!A:A,"&gt;="&amp;(DATE(2022,12,31)-365))+COUNTIFS('Match History'!AZ:AZ,B30,'Match History'!A:A,"&gt;="&amp;(DATE(2022,12,31)-365))+COUNTIFS('Match History'!BD:BD,B30,'Match History'!A:A,"&gt;="&amp;(DATE(2022,12,31)-365))+COUNTIFS('Match History'!BH:BH,B30,'Match History'!A:A,"&gt;="&amp;(DATE(2022,12,31)-365))
</f>
        <v>256</v>
      </c>
      <c r="T30" s="20">
        <f t="array" ref="T30">IF(F30=0,0,INDEX('Match History'!B:BK,MATCH(N30,'Match History'!A:A,0),MATCH(B30,INDEX('Match History'!B:BK,MATCH(N30,'Match History'!A:A,0),0),0)+3)-INDEX('Match History'!B:BK,MATCH(N30,'Match History'!A:A,0),MATCH(B30,INDEX('Match History'!B:BK,MATCH(N30,'Match History'!A:A,0),0),0)+1))</f>
        <v>-2.588552233</v>
      </c>
      <c r="U30" s="21">
        <f>COUNTIFS('Match History'!B:B,B30,'Match History'!A:A,"&gt;="&amp;(DATE(2022,12,31)-92))
+COUNTIFS('Match History'!F:F,B30,'Match History'!A:A,"&gt;="&amp;(DATE(2022,12,31)-92))
+COUNTIFS('Match History'!J:J,B30,'Match History'!A:A,"&gt;="&amp;(DATE(2022,12,31)-92))
+COUNTIFS('Match History'!N:N,B30,'Match History'!A:A,"&gt;="&amp;(DATE(2022,12,31)-92))
+COUNTIFS('Match History'!R:R,B30,'Match History'!A:A,"&gt;="&amp;(DATE(2022,12,31)-92))
+COUNTIFS('Match History'!V:V,B30,'Match History'!A:A,"&gt;="&amp;(DATE(2022,12,31)-92))
+COUNTIFS('Match History'!Z:Z,B30,'Match History'!A:A,"&gt;="&amp;(DATE(2022,12,31)-92))
+COUNTIFS('Match History'!AD:AD,B30,'Match History'!A:A,"&gt;="&amp;(DATE(2022,12,31)-92))
+COUNTIFS('Match History'!AH:AH,B30,'Match History'!A:A,"&gt;="&amp;(DATE(2022,12,31)-92))
+COUNTIFS('Match History'!AL:AL,B30,'Match History'!A:A,"&gt;="&amp;(DATE(2022,12,31)-92))
+COUNTIFS('Match History'!AV:AV,B30,'Match History'!A:A,"&gt;="&amp;(DATE(2022,12,31)-92))
+COUNTIFS('Match History'!AZ:AZ,B30,'Match History'!A:A,"&gt;="&amp;(DATE(2022,12,31)-92))
+COUNTIFS('Match History'!BD:BD,B30,'Match History'!A:A,"&gt;="&amp;(DATE(2022,12,31)-92))
+COUNTIFS('Match History'!BH:BH,B30,'Match History'!A:A,"&gt;="&amp;(DATE(2022,12,31)-92))
</f>
        <v>92</v>
      </c>
      <c r="V30" s="20">
        <f>IF(U30=0,0,(SUMIFS('Match History'!D:D,'Match History'!A:A,"&gt;=10/01/2022 00:00",'Match History'!A:A,"&lt;=12/31/2022 23:59",'Match History'!B:B,B30)
+SUMIFS('Match History'!H:H,'Match History'!A:A,"&gt;=10/01/2022 00:00",'Match History'!A:A,"&lt;=12/31/2022 23:59",'Match History'!F:F,B30)
+SUMIFS('Match History'!L:L,'Match History'!A:A,"&gt;=10/01/2022 00:00",'Match History'!A:A,"&lt;=12/31/2022 23:59",'Match History'!J:J,B30)
+SUMIFS('Match History'!P:P,'Match History'!A:A,"&gt;=10/01/2022 00:00",'Match History'!A:A,"&lt;=12/31/2022 23:59",'Match History'!N:N,B30)
+SUMIFS('Match History'!T:T,'Match History'!A:A,"&gt;=10/01/2022 00:00",'Match History'!A:A,"&lt;=12/31/2022 23:59",'Match History'!R:R,B30)
+SUMIFS('Match History'!X:X,'Match History'!A:A,"&gt;=10/01/2022 00:00",'Match History'!A:A,"&lt;=12/31/2022 23:59",'Match History'!V:V,B30)
+SUMIFS('Match History'!AB:AB,'Match History'!A:A,"&gt;=10/01/2022 00:00",'Match History'!A:A,"&lt;=12/31/2022 23:59",'Match History'!Z:Z,B30)
+SUMIFS('Match History'!AF:AF,'Match History'!A:A,"&gt;=10/01/2022 00:00",'Match History'!A:A,"&lt;=12/31/2022 23:59",'Match History'!AD:AD,B30)
+SUMIFS('Match History'!AJ:AJ,'Match History'!A:A,"&gt;=10/01/2022 00:00",'Match History'!A:A,"&lt;=12/31/2022 23:59",'Match History'!AH:AH,B30)
+SUMIFS('Match History'!AN:AN,'Match History'!A:A,"&gt;=10/01/2022 00:00",'Match History'!A:A,"&lt;=12/31/2022 23:59",'Match History'!AL:AL,B30)
+SUMIFS('Match History'!AX:AX,'Match History'!A:A,"&gt;=10/01/2022 00:00",'Match History'!A:A,"&lt;=12/31/2022 23:59",'Match History'!AV:AV,B30)+SUMIFS('Match History'!BB:BB,'Match History'!A:A,"&gt;=10/01/2022 00:00",'Match History'!A:A,"&lt;=12/31/2022 23:59",'Match History'!AZ:AZ,B30)
+SUMIFS('Match History'!BF:BF,'Match History'!A:A,"&gt;=10/01/2022 00:00",'Match History'!A:A,"&lt;=12/31/2022 23:59",'Match History'!BD:BD,B30)
+SUMIFS('Match History'!BJ:BJ,'Match History'!A:A,"&gt;=10/01/2022 00:00",'Match History'!A:A,"&lt;=12/31/2022 23:59",'Match History'!BH:BH,B30))/U30)
</f>
        <v>19.14130435</v>
      </c>
    </row>
    <row r="31">
      <c r="A31" s="33" t="s">
        <v>94</v>
      </c>
      <c r="B31" s="33" t="s">
        <v>95</v>
      </c>
      <c r="C31" s="39">
        <v>964.7695878205691</v>
      </c>
      <c r="D31" s="24">
        <f>NORMDIST(C31,1000,STDEV(Players!$C$2:$C$39)+0.00001,TRUE)</f>
        <v>0.3348383783</v>
      </c>
      <c r="E31" s="25"/>
      <c r="F31" s="26">
        <f>COUNTIF('Match History'!A:BK,"farnoy")</f>
        <v>17</v>
      </c>
      <c r="G31" s="27" t="s">
        <v>96</v>
      </c>
      <c r="H31" s="28"/>
      <c r="I31" s="35"/>
      <c r="J31" s="35"/>
      <c r="K31" s="28">
        <v>3.0</v>
      </c>
      <c r="L31" s="18" t="b">
        <f t="shared" si="2"/>
        <v>1</v>
      </c>
      <c r="M31" s="17" t="b">
        <v>0</v>
      </c>
      <c r="N31" s="19">
        <f t="array" ref="N31">IF(F31=0, "no war", INDEX('Match History'!A:A, MAX(MAX(('Match History'!B:B=B31)*(ROW('Match History'!B:B))),MAX(('Match History'!F:F=B31)*(ROW('Match History'!F:F))),MAX(('Match History'!J:J=B31)*(ROW('Match History'!J:J))),MAX(('Match History'!N:N=B31)*(ROW('Match History'!N:N))),MAX(('Match History'!R:R=B31)*(ROW('Match History'!R:R))),MAX(('Match History'!V:V=B31)*(ROW('Match History'!V:V))),MAX(('Match History'!Z:Z=B31)*(ROW('Match History'!Z:Z))),MAX(('Match History'!AD:AD=B31)*(ROW('Match History'!AD:AD))),MAX(('Match History'!AH:AH=B31)*(ROW('Match History'!AH:AH))),MAX(('Match History'!AL:AL=B31)*(ROW('Match History'!AL:AL))),MAX(('Match History'!AV:AV=B31)*(ROW('Match History'!AV:AV))),MAX(('Match History'!AZ:AZ=B31)*(ROW('Match History'!AZ:AZ))),MAX(('Match History'!BD:BD=B31)*(ROW('Match History'!BD:BD))),MAX(('Match History'!BH:BH=B31)*(ROW('Match History'!BH:BH)))), 1))
</f>
        <v>44918.11033</v>
      </c>
      <c r="O31" s="20">
        <f>(SUMIF('Match History'!B:B,B31,'Match History'!D:D)+SUMIF('Match History'!F:F,B31,'Match History'!H:H)+SUMIF('Match History'!J:J,B31,'Match History'!L:L)+SUMIF('Match History'!N:N,B31,'Match History'!P:P)+SUMIF('Match History'!R:R,B31,'Match History'!T:T)+SUMIF('Match History'!V:V,B31,'Match History'!X:X)+SUMIF('Match History'!Z:Z,B31,'Match History'!AB:AB)+SUMIF('Match History'!AD:AD,B31,'Match History'!AF:AF)+SUMIF('Match History'!AH:AH,B31,'Match History'!AJ:AJ)+SUMIF('Match History'!AL:AL,B31,'Match History'!AN:AN)+SUMIF('Match History'!AV:AV,B31,'Match History'!AX:AX)+SUMIF('Match History'!AZ:AZ,B31,'Match History'!BB:BB)+SUMIF('Match History'!BD:BD,B31,'Match History'!BF:BF)+SUMIF('Match History'!BH:BH,B31,'Match History'!BJ:BJ))/IF(F31=0,1,F31)</f>
        <v>17.76470588</v>
      </c>
      <c r="P31" s="21">
        <f t="array" ref="P31">MAX(MAX(IF('Match History'!B:B=B31,'Match History'!D:D,)),MAX(IF('Match History'!F:F=B31,'Match History'!H:H,)),MAX(IF('Match History'!J:J=B31,'Match History'!L:L,)),MAX(IF('Match History'!N:N=B31,'Match History'!P:P,)),MAX(IF('Match History'!R:R=B31,'Match History'!T:T,)),MAX(IF('Match History'!V:V=B31,'Match History'!X:X,)),MAX(IF('Match History'!Z:Z=B31,'Match History'!AB:AB,)),MAX(IF('Match History'!AD:AD=B31,'Match History'!AF:AF,)),MAX(IF('Match History'!AH:AH=B31,'Match History'!AJ:AJ,)),MAX(IF('Match History'!AL:AL=B31,'Match History'!AN:AN,)),MAX(IF('Match History'!AV:AV=B31,'Match History'!AX:AX,)),MAX(IF('Match History'!AZ:AZ=B31,'Match History'!BB:BB,)),MAX(IF('Match History'!BD:BD=B31,'Match History'!BF:BF,)),MAX(IF('Match History'!BH:BH=B31,'Match History'!BJ:BJ,)))</f>
        <v>32</v>
      </c>
      <c r="Q31" s="21">
        <f t="array" ref="Q31">IF(F31=0,0,MIN(MIN(IF('Match History'!B:B=B31,'Match History'!D:D,999)),MIN(IF('Match History'!F:F=B31,'Match History'!H:H,999)),MIN(IF('Match History'!J:J=B31,'Match History'!L:L,999)),MIN(IF('Match History'!N:N=B31,'Match History'!P:P,999)),MIN(IF('Match History'!R:R=B31,'Match History'!T:T,999)),MIN(IF('Match History'!V:V=B31,'Match History'!X:X,999)),MIN(IF('Match History'!Z:Z=B31,'Match History'!AB:AB,999)),MIN(IF('Match History'!AD:AD=B31,'Match History'!AF:AF,999)),MIN(IF('Match History'!AH:AH=B31,'Match History'!AJ:AJ,999)),MIN(IF('Match History'!AL:AL=B31,'Match History'!AN:AN,999)),MIN(IF('Match History'!AV:AV=B31,'Match History'!AX:AX,999)),MIN(IF('Match History'!AZ:AZ=B31,'Match History'!BB:BB,999)),MIN(IF('Match History'!BD:BD=B31,'Match History'!BF:BF,999)),MIN(IF('Match History'!BH:BH=B31,'Match History'!BJ:BJ,999))))</f>
        <v>7</v>
      </c>
      <c r="R31" s="21">
        <f>COUNTIFS('Match History'!B:B,B31,'Match History'!A:A,"&gt;="&amp;(DATE(2022,12,31)-30))+COUNTIFS('Match History'!F:F,B31,'Match History'!A:A,"&gt;="&amp;(DATE(2022,12,31)-30))+COUNTIFS('Match History'!J:J,B31,'Match History'!A:A,"&gt;="&amp;(DATE(2022,12,31)-30))+COUNTIFS('Match History'!N:N,B31,'Match History'!A:A,"&gt;="&amp;(DATE(2022,12,31)-30))+COUNTIFS('Match History'!R:R,B31,'Match History'!A:A,"&gt;="&amp;(DATE(2022,12,31)-30))+COUNTIFS('Match History'!V:V,B31,'Match History'!A:A,"&gt;="&amp;(DATE(2022,12,31)-30))+COUNTIFS('Match History'!Z:Z,B31,'Match History'!A:A,"&gt;="&amp;(DATE(2022,12,31)-30))+COUNTIFS('Match History'!AD:AD,B31,'Match History'!A:A,"&gt;="&amp;(DATE(2022,12,31)-30))+COUNTIFS('Match History'!AH:AH,B31,'Match History'!A:A,"&gt;="&amp;(DATE(2022,12,31)-30))+COUNTIFS('Match History'!AL:AL,B31,'Match History'!A:A,"&gt;="&amp;(DATE(2022,12,31)-30))+COUNTIFS('Match History'!AV:AV,B31,'Match History'!A:A,"&gt;="&amp;(DATE(2022,12,31)-30))+COUNTIFS('Match History'!AZ:AZ,B31,'Match History'!A:A,"&gt;="&amp;(DATE(2022,12,31)-30))+COUNTIFS('Match History'!BD:BD,B31,'Match History'!A:A,"&gt;="&amp;(DATE(2022,12,31)-30))+COUNTIFS('Match History'!BH:BH,B31,'Match History'!A:A,"&gt;="&amp;(DATE(2022,12,31)-30))
</f>
        <v>15</v>
      </c>
      <c r="S31" s="21">
        <f>COUNTIFS('Match History'!B:B,B31,'Match History'!A:A,"&gt;="&amp;(DATE(2022,12,31)-365))+COUNTIFS('Match History'!F:F,B31,'Match History'!A:A,"&gt;="&amp;(DATE(2022,12,31)-365))+COUNTIFS('Match History'!J:J,B31,'Match History'!A:A,"&gt;="&amp;(DATE(2022,12,31)-365))+COUNTIFS('Match History'!N:N,B31,'Match History'!A:A,"&gt;="&amp;(DATE(2022,12,31)-365))+COUNTIFS('Match History'!R:R,B31,'Match History'!A:A,"&gt;="&amp;(DATE(2022,12,31)-365))+COUNTIFS('Match History'!V:V,B31,'Match History'!A:A,"&gt;="&amp;(DATE(2022,12,31)-365))+COUNTIFS('Match History'!Z:Z,B31,'Match History'!A:A,"&gt;="&amp;(DATE(2022,12,31)-365))+COUNTIFS('Match History'!AD:AD,B31,'Match History'!A:A,"&gt;="&amp;(DATE(2022,12,31)-365))+COUNTIFS('Match History'!AH:AH,B31,'Match History'!A:A,"&gt;="&amp;(DATE(2022,12,31)-365))+COUNTIFS('Match History'!AL:AL,B31,'Match History'!A:A,"&gt;="&amp;(DATE(2022,12,31)-365))+COUNTIFS('Match History'!AV:AV,B31,'Match History'!A:A,"&gt;="&amp;(DATE(2022,12,31)-365))+COUNTIFS('Match History'!AZ:AZ,B31,'Match History'!A:A,"&gt;="&amp;(DATE(2022,12,31)-365))+COUNTIFS('Match History'!BD:BD,B31,'Match History'!A:A,"&gt;="&amp;(DATE(2022,12,31)-365))+COUNTIFS('Match History'!BH:BH,B31,'Match History'!A:A,"&gt;="&amp;(DATE(2022,12,31)-365))
</f>
        <v>17</v>
      </c>
      <c r="T31" s="20">
        <f t="array" ref="T31">IF(F31=0,0,INDEX('Match History'!B:BK,MATCH(N31,'Match History'!A:A,0),MATCH(B31,INDEX('Match History'!B:BK,MATCH(N31,'Match History'!A:A,0),0),0)+3)-INDEX('Match History'!B:BK,MATCH(N31,'Match History'!A:A,0),MATCH(B31,INDEX('Match History'!B:BK,MATCH(N31,'Match History'!A:A,0),0),0)+1))</f>
        <v>-3.026436352</v>
      </c>
      <c r="U31" s="21">
        <f>COUNTIFS('Match History'!B:B,B31,'Match History'!A:A,"&gt;="&amp;(DATE(2022,12,31)-92))
+COUNTIFS('Match History'!F:F,B31,'Match History'!A:A,"&gt;="&amp;(DATE(2022,12,31)-92))
+COUNTIFS('Match History'!J:J,B31,'Match History'!A:A,"&gt;="&amp;(DATE(2022,12,31)-92))
+COUNTIFS('Match History'!N:N,B31,'Match History'!A:A,"&gt;="&amp;(DATE(2022,12,31)-92))
+COUNTIFS('Match History'!R:R,B31,'Match History'!A:A,"&gt;="&amp;(DATE(2022,12,31)-92))
+COUNTIFS('Match History'!V:V,B31,'Match History'!A:A,"&gt;="&amp;(DATE(2022,12,31)-92))
+COUNTIFS('Match History'!Z:Z,B31,'Match History'!A:A,"&gt;="&amp;(DATE(2022,12,31)-92))
+COUNTIFS('Match History'!AD:AD,B31,'Match History'!A:A,"&gt;="&amp;(DATE(2022,12,31)-92))
+COUNTIFS('Match History'!AH:AH,B31,'Match History'!A:A,"&gt;="&amp;(DATE(2022,12,31)-92))
+COUNTIFS('Match History'!AL:AL,B31,'Match History'!A:A,"&gt;="&amp;(DATE(2022,12,31)-92))
+COUNTIFS('Match History'!AV:AV,B31,'Match History'!A:A,"&gt;="&amp;(DATE(2022,12,31)-92))
+COUNTIFS('Match History'!AZ:AZ,B31,'Match History'!A:A,"&gt;="&amp;(DATE(2022,12,31)-92))
+COUNTIFS('Match History'!BD:BD,B31,'Match History'!A:A,"&gt;="&amp;(DATE(2022,12,31)-92))
+COUNTIFS('Match History'!BH:BH,B31,'Match History'!A:A,"&gt;="&amp;(DATE(2022,12,31)-92))
</f>
        <v>17</v>
      </c>
      <c r="V31" s="20">
        <f>IF(U31=0,0,(SUMIFS('Match History'!D:D,'Match History'!A:A,"&gt;=10/01/2022 00:00",'Match History'!A:A,"&lt;=12/31/2022 23:59",'Match History'!B:B,B31)
+SUMIFS('Match History'!H:H,'Match History'!A:A,"&gt;=10/01/2022 00:00",'Match History'!A:A,"&lt;=12/31/2022 23:59",'Match History'!F:F,B31)
+SUMIFS('Match History'!L:L,'Match History'!A:A,"&gt;=10/01/2022 00:00",'Match History'!A:A,"&lt;=12/31/2022 23:59",'Match History'!J:J,B31)
+SUMIFS('Match History'!P:P,'Match History'!A:A,"&gt;=10/01/2022 00:00",'Match History'!A:A,"&lt;=12/31/2022 23:59",'Match History'!N:N,B31)
+SUMIFS('Match History'!T:T,'Match History'!A:A,"&gt;=10/01/2022 00:00",'Match History'!A:A,"&lt;=12/31/2022 23:59",'Match History'!R:R,B31)
+SUMIFS('Match History'!X:X,'Match History'!A:A,"&gt;=10/01/2022 00:00",'Match History'!A:A,"&lt;=12/31/2022 23:59",'Match History'!V:V,B31)
+SUMIFS('Match History'!AB:AB,'Match History'!A:A,"&gt;=10/01/2022 00:00",'Match History'!A:A,"&lt;=12/31/2022 23:59",'Match History'!Z:Z,B31)
+SUMIFS('Match History'!AF:AF,'Match History'!A:A,"&gt;=10/01/2022 00:00",'Match History'!A:A,"&lt;=12/31/2022 23:59",'Match History'!AD:AD,B31)
+SUMIFS('Match History'!AJ:AJ,'Match History'!A:A,"&gt;=10/01/2022 00:00",'Match History'!A:A,"&lt;=12/31/2022 23:59",'Match History'!AH:AH,B31)
+SUMIFS('Match History'!AN:AN,'Match History'!A:A,"&gt;=10/01/2022 00:00",'Match History'!A:A,"&lt;=12/31/2022 23:59",'Match History'!AL:AL,B31)
+SUMIFS('Match History'!AX:AX,'Match History'!A:A,"&gt;=10/01/2022 00:00",'Match History'!A:A,"&lt;=12/31/2022 23:59",'Match History'!AV:AV,B31)+SUMIFS('Match History'!BB:BB,'Match History'!A:A,"&gt;=10/01/2022 00:00",'Match History'!A:A,"&lt;=12/31/2022 23:59",'Match History'!AZ:AZ,B31)
+SUMIFS('Match History'!BF:BF,'Match History'!A:A,"&gt;=10/01/2022 00:00",'Match History'!A:A,"&lt;=12/31/2022 23:59",'Match History'!BD:BD,B31)
+SUMIFS('Match History'!BJ:BJ,'Match History'!A:A,"&gt;=10/01/2022 00:00",'Match History'!A:A,"&lt;=12/31/2022 23:59",'Match History'!BH:BH,B31))/U31)
</f>
        <v>17.76470588</v>
      </c>
    </row>
    <row r="32" ht="21.0" customHeight="1">
      <c r="A32" s="44" t="s">
        <v>97</v>
      </c>
      <c r="B32" s="44" t="s">
        <v>98</v>
      </c>
      <c r="C32" s="12">
        <v>960.2260952583582</v>
      </c>
      <c r="D32" s="49">
        <f>NORMDIST(C32,1000,STDEV(Players!$C$2:$C$39)+0.00001,TRUE)</f>
        <v>0.3150425376</v>
      </c>
      <c r="E32" s="46"/>
      <c r="F32" s="50">
        <f>COUNTIF('Match History'!A:BK,"markos")</f>
        <v>204</v>
      </c>
      <c r="G32" s="48" t="s">
        <v>24</v>
      </c>
      <c r="H32" s="43" t="s">
        <v>59</v>
      </c>
      <c r="I32" s="43" t="s">
        <v>29</v>
      </c>
      <c r="K32" s="80"/>
      <c r="L32" s="18" t="b">
        <f t="shared" si="2"/>
        <v>1</v>
      </c>
      <c r="M32" s="17" t="b">
        <v>0</v>
      </c>
      <c r="N32" s="19">
        <f t="array" ref="N32">IF(F32=0, "no war", INDEX('Match History'!A:A, MAX(MAX(('Match History'!B:B=B32)*(ROW('Match History'!B:B))),MAX(('Match History'!F:F=B32)*(ROW('Match History'!F:F))),MAX(('Match History'!J:J=B32)*(ROW('Match History'!J:J))),MAX(('Match History'!N:N=B32)*(ROW('Match History'!N:N))),MAX(('Match History'!R:R=B32)*(ROW('Match History'!R:R))),MAX(('Match History'!V:V=B32)*(ROW('Match History'!V:V))),MAX(('Match History'!Z:Z=B32)*(ROW('Match History'!Z:Z))),MAX(('Match History'!AD:AD=B32)*(ROW('Match History'!AD:AD))),MAX(('Match History'!AH:AH=B32)*(ROW('Match History'!AH:AH))),MAX(('Match History'!AL:AL=B32)*(ROW('Match History'!AL:AL))),MAX(('Match History'!AV:AV=B32)*(ROW('Match History'!AV:AV))),MAX(('Match History'!AZ:AZ=B32)*(ROW('Match History'!AZ:AZ))),MAX(('Match History'!BD:BD=B32)*(ROW('Match History'!BD:BD))),MAX(('Match History'!BH:BH=B32)*(ROW('Match History'!BH:BH)))), 1))
</f>
        <v>44925.97693</v>
      </c>
      <c r="O32" s="20">
        <f>(SUMIF('Match History'!B:B,B32,'Match History'!D:D)+SUMIF('Match History'!F:F,B32,'Match History'!H:H)+SUMIF('Match History'!J:J,B32,'Match History'!L:L)+SUMIF('Match History'!N:N,B32,'Match History'!P:P)+SUMIF('Match History'!R:R,B32,'Match History'!T:T)+SUMIF('Match History'!V:V,B32,'Match History'!X:X)+SUMIF('Match History'!Z:Z,B32,'Match History'!AB:AB)+SUMIF('Match History'!AD:AD,B32,'Match History'!AF:AF)+SUMIF('Match History'!AH:AH,B32,'Match History'!AJ:AJ)+SUMIF('Match History'!AL:AL,B32,'Match History'!AN:AN)+SUMIF('Match History'!AV:AV,B32,'Match History'!AX:AX)+SUMIF('Match History'!AZ:AZ,B32,'Match History'!BB:BB)+SUMIF('Match History'!BD:BD,B32,'Match History'!BF:BF)+SUMIF('Match History'!BH:BH,B32,'Match History'!BJ:BJ))/IF(F32=0,1,F32)</f>
        <v>16.26960784</v>
      </c>
      <c r="P32" s="21">
        <f t="array" ref="P32">MAX(MAX(IF('Match History'!B:B=B32,'Match History'!D:D,)),MAX(IF('Match History'!F:F=B32,'Match History'!H:H,)),MAX(IF('Match History'!J:J=B32,'Match History'!L:L,)),MAX(IF('Match History'!N:N=B32,'Match History'!P:P,)),MAX(IF('Match History'!R:R=B32,'Match History'!T:T,)),MAX(IF('Match History'!V:V=B32,'Match History'!X:X,)),MAX(IF('Match History'!Z:Z=B32,'Match History'!AB:AB,)),MAX(IF('Match History'!AD:AD=B32,'Match History'!AF:AF,)),MAX(IF('Match History'!AH:AH=B32,'Match History'!AJ:AJ,)),MAX(IF('Match History'!AL:AL=B32,'Match History'!AN:AN,)),MAX(IF('Match History'!AV:AV=B32,'Match History'!AX:AX,)),MAX(IF('Match History'!AZ:AZ=B32,'Match History'!BB:BB,)),MAX(IF('Match History'!BD:BD=B32,'Match History'!BF:BF,)),MAX(IF('Match History'!BH:BH=B32,'Match History'!BJ:BJ,)))</f>
        <v>32</v>
      </c>
      <c r="Q32" s="21">
        <f t="array" ref="Q32">IF(F32=0,0,MIN(MIN(IF('Match History'!B:B=B32,'Match History'!D:D,999)),MIN(IF('Match History'!F:F=B32,'Match History'!H:H,999)),MIN(IF('Match History'!J:J=B32,'Match History'!L:L,999)),MIN(IF('Match History'!N:N=B32,'Match History'!P:P,999)),MIN(IF('Match History'!R:R=B32,'Match History'!T:T,999)),MIN(IF('Match History'!V:V=B32,'Match History'!X:X,999)),MIN(IF('Match History'!Z:Z=B32,'Match History'!AB:AB,999)),MIN(IF('Match History'!AD:AD=B32,'Match History'!AF:AF,999)),MIN(IF('Match History'!AH:AH=B32,'Match History'!AJ:AJ,999)),MIN(IF('Match History'!AL:AL=B32,'Match History'!AN:AN,999)),MIN(IF('Match History'!AV:AV=B32,'Match History'!AX:AX,999)),MIN(IF('Match History'!AZ:AZ=B32,'Match History'!BB:BB,999)),MIN(IF('Match History'!BD:BD=B32,'Match History'!BF:BF,999)),MIN(IF('Match History'!BH:BH=B32,'Match History'!BJ:BJ,999))))</f>
        <v>4</v>
      </c>
      <c r="R32" s="21">
        <f>COUNTIFS('Match History'!B:B,B32,'Match History'!A:A,"&gt;="&amp;(DATE(2022,12,31)-30))+COUNTIFS('Match History'!F:F,B32,'Match History'!A:A,"&gt;="&amp;(DATE(2022,12,31)-30))+COUNTIFS('Match History'!J:J,B32,'Match History'!A:A,"&gt;="&amp;(DATE(2022,12,31)-30))+COUNTIFS('Match History'!N:N,B32,'Match History'!A:A,"&gt;="&amp;(DATE(2022,12,31)-30))+COUNTIFS('Match History'!R:R,B32,'Match History'!A:A,"&gt;="&amp;(DATE(2022,12,31)-30))+COUNTIFS('Match History'!V:V,B32,'Match History'!A:A,"&gt;="&amp;(DATE(2022,12,31)-30))+COUNTIFS('Match History'!Z:Z,B32,'Match History'!A:A,"&gt;="&amp;(DATE(2022,12,31)-30))+COUNTIFS('Match History'!AD:AD,B32,'Match History'!A:A,"&gt;="&amp;(DATE(2022,12,31)-30))+COUNTIFS('Match History'!AH:AH,B32,'Match History'!A:A,"&gt;="&amp;(DATE(2022,12,31)-30))+COUNTIFS('Match History'!AL:AL,B32,'Match History'!A:A,"&gt;="&amp;(DATE(2022,12,31)-30))+COUNTIFS('Match History'!AV:AV,B32,'Match History'!A:A,"&gt;="&amp;(DATE(2022,12,31)-30))+COUNTIFS('Match History'!AZ:AZ,B32,'Match History'!A:A,"&gt;="&amp;(DATE(2022,12,31)-30))+COUNTIFS('Match History'!BD:BD,B32,'Match History'!A:A,"&gt;="&amp;(DATE(2022,12,31)-30))+COUNTIFS('Match History'!BH:BH,B32,'Match History'!A:A,"&gt;="&amp;(DATE(2022,12,31)-30))
</f>
        <v>3</v>
      </c>
      <c r="S32" s="21">
        <f>COUNTIFS('Match History'!B:B,B32,'Match History'!A:A,"&gt;="&amp;(DATE(2022,12,31)-365))+COUNTIFS('Match History'!F:F,B32,'Match History'!A:A,"&gt;="&amp;(DATE(2022,12,31)-365))+COUNTIFS('Match History'!J:J,B32,'Match History'!A:A,"&gt;="&amp;(DATE(2022,12,31)-365))+COUNTIFS('Match History'!N:N,B32,'Match History'!A:A,"&gt;="&amp;(DATE(2022,12,31)-365))+COUNTIFS('Match History'!R:R,B32,'Match History'!A:A,"&gt;="&amp;(DATE(2022,12,31)-365))+COUNTIFS('Match History'!V:V,B32,'Match History'!A:A,"&gt;="&amp;(DATE(2022,12,31)-365))+COUNTIFS('Match History'!Z:Z,B32,'Match History'!A:A,"&gt;="&amp;(DATE(2022,12,31)-365))+COUNTIFS('Match History'!AD:AD,B32,'Match History'!A:A,"&gt;="&amp;(DATE(2022,12,31)-365))+COUNTIFS('Match History'!AH:AH,B32,'Match History'!A:A,"&gt;="&amp;(DATE(2022,12,31)-365))+COUNTIFS('Match History'!AL:AL,B32,'Match History'!A:A,"&gt;="&amp;(DATE(2022,12,31)-365))+COUNTIFS('Match History'!AV:AV,B32,'Match History'!A:A,"&gt;="&amp;(DATE(2022,12,31)-365))+COUNTIFS('Match History'!AZ:AZ,B32,'Match History'!A:A,"&gt;="&amp;(DATE(2022,12,31)-365))+COUNTIFS('Match History'!BD:BD,B32,'Match History'!A:A,"&gt;="&amp;(DATE(2022,12,31)-365))+COUNTIFS('Match History'!BH:BH,B32,'Match History'!A:A,"&gt;="&amp;(DATE(2022,12,31)-365))
</f>
        <v>30</v>
      </c>
      <c r="T32" s="20">
        <f t="array" ref="T32">IF(F32=0,0,INDEX('Match History'!B:BK,MATCH(N32,'Match History'!A:A,0),MATCH(B32,INDEX('Match History'!B:BK,MATCH(N32,'Match History'!A:A,0),0),0)+3)-INDEX('Match History'!B:BK,MATCH(N32,'Match History'!A:A,0),MATCH(B32,INDEX('Match History'!B:BK,MATCH(N32,'Match History'!A:A,0),0),0)+1))</f>
        <v>-6.176735288</v>
      </c>
      <c r="U32" s="21">
        <f>COUNTIFS('Match History'!B:B,B32,'Match History'!A:A,"&gt;="&amp;(DATE(2022,12,31)-92))
+COUNTIFS('Match History'!F:F,B32,'Match History'!A:A,"&gt;="&amp;(DATE(2022,12,31)-92))
+COUNTIFS('Match History'!J:J,B32,'Match History'!A:A,"&gt;="&amp;(DATE(2022,12,31)-92))
+COUNTIFS('Match History'!N:N,B32,'Match History'!A:A,"&gt;="&amp;(DATE(2022,12,31)-92))
+COUNTIFS('Match History'!R:R,B32,'Match History'!A:A,"&gt;="&amp;(DATE(2022,12,31)-92))
+COUNTIFS('Match History'!V:V,B32,'Match History'!A:A,"&gt;="&amp;(DATE(2022,12,31)-92))
+COUNTIFS('Match History'!Z:Z,B32,'Match History'!A:A,"&gt;="&amp;(DATE(2022,12,31)-92))
+COUNTIFS('Match History'!AD:AD,B32,'Match History'!A:A,"&gt;="&amp;(DATE(2022,12,31)-92))
+COUNTIFS('Match History'!AH:AH,B32,'Match History'!A:A,"&gt;="&amp;(DATE(2022,12,31)-92))
+COUNTIFS('Match History'!AL:AL,B32,'Match History'!A:A,"&gt;="&amp;(DATE(2022,12,31)-92))
+COUNTIFS('Match History'!AV:AV,B32,'Match History'!A:A,"&gt;="&amp;(DATE(2022,12,31)-92))
+COUNTIFS('Match History'!AZ:AZ,B32,'Match History'!A:A,"&gt;="&amp;(DATE(2022,12,31)-92))
+COUNTIFS('Match History'!BD:BD,B32,'Match History'!A:A,"&gt;="&amp;(DATE(2022,12,31)-92))
+COUNTIFS('Match History'!BH:BH,B32,'Match History'!A:A,"&gt;="&amp;(DATE(2022,12,31)-92))
</f>
        <v>9</v>
      </c>
      <c r="V32" s="20">
        <f>IF(U32=0,0,(SUMIFS('Match History'!D:D,'Match History'!A:A,"&gt;=10/01/2022 00:00",'Match History'!A:A,"&lt;=12/31/2022 23:59",'Match History'!B:B,B32)
+SUMIFS('Match History'!H:H,'Match History'!A:A,"&gt;=10/01/2022 00:00",'Match History'!A:A,"&lt;=12/31/2022 23:59",'Match History'!F:F,B32)
+SUMIFS('Match History'!L:L,'Match History'!A:A,"&gt;=10/01/2022 00:00",'Match History'!A:A,"&lt;=12/31/2022 23:59",'Match History'!J:J,B32)
+SUMIFS('Match History'!P:P,'Match History'!A:A,"&gt;=10/01/2022 00:00",'Match History'!A:A,"&lt;=12/31/2022 23:59",'Match History'!N:N,B32)
+SUMIFS('Match History'!T:T,'Match History'!A:A,"&gt;=10/01/2022 00:00",'Match History'!A:A,"&lt;=12/31/2022 23:59",'Match History'!R:R,B32)
+SUMIFS('Match History'!X:X,'Match History'!A:A,"&gt;=10/01/2022 00:00",'Match History'!A:A,"&lt;=12/31/2022 23:59",'Match History'!V:V,B32)
+SUMIFS('Match History'!AB:AB,'Match History'!A:A,"&gt;=10/01/2022 00:00",'Match History'!A:A,"&lt;=12/31/2022 23:59",'Match History'!Z:Z,B32)
+SUMIFS('Match History'!AF:AF,'Match History'!A:A,"&gt;=10/01/2022 00:00",'Match History'!A:A,"&lt;=12/31/2022 23:59",'Match History'!AD:AD,B32)
+SUMIFS('Match History'!AJ:AJ,'Match History'!A:A,"&gt;=10/01/2022 00:00",'Match History'!A:A,"&lt;=12/31/2022 23:59",'Match History'!AH:AH,B32)
+SUMIFS('Match History'!AN:AN,'Match History'!A:A,"&gt;=10/01/2022 00:00",'Match History'!A:A,"&lt;=12/31/2022 23:59",'Match History'!AL:AL,B32)
+SUMIFS('Match History'!AX:AX,'Match History'!A:A,"&gt;=10/01/2022 00:00",'Match History'!A:A,"&lt;=12/31/2022 23:59",'Match History'!AV:AV,B32)+SUMIFS('Match History'!BB:BB,'Match History'!A:A,"&gt;=10/01/2022 00:00",'Match History'!A:A,"&lt;=12/31/2022 23:59",'Match History'!AZ:AZ,B32)
+SUMIFS('Match History'!BF:BF,'Match History'!A:A,"&gt;=10/01/2022 00:00",'Match History'!A:A,"&lt;=12/31/2022 23:59",'Match History'!BD:BD,B32)
+SUMIFS('Match History'!BJ:BJ,'Match History'!A:A,"&gt;=10/01/2022 00:00",'Match History'!A:A,"&lt;=12/31/2022 23:59",'Match History'!BH:BH,B32))/U32)
</f>
        <v>12.77777778</v>
      </c>
    </row>
    <row r="33">
      <c r="A33" s="44" t="s">
        <v>99</v>
      </c>
      <c r="B33" s="44" t="s">
        <v>100</v>
      </c>
      <c r="C33" s="45">
        <v>956.6372179830018</v>
      </c>
      <c r="D33" s="49">
        <f>NORMDIST(C33,1000,STDEV(Players!$C$2:$C$39)+0.00001,TRUE)</f>
        <v>0.2997695378</v>
      </c>
      <c r="E33" s="46"/>
      <c r="F33" s="50">
        <f>COUNTIF('Match History'!A:BK,"megashira")</f>
        <v>101</v>
      </c>
      <c r="G33" s="58" t="s">
        <v>24</v>
      </c>
      <c r="H33" s="43" t="s">
        <v>29</v>
      </c>
      <c r="I33" s="43" t="s">
        <v>29</v>
      </c>
      <c r="K33" s="43">
        <v>2.0</v>
      </c>
      <c r="L33" s="18" t="b">
        <f t="shared" si="2"/>
        <v>1</v>
      </c>
      <c r="M33" s="17" t="b">
        <v>0</v>
      </c>
      <c r="N33" s="19">
        <f t="array" ref="N33">IF(F33=0, "no war", INDEX('Match History'!A:A, MAX(MAX(('Match History'!B:B=B33)*(ROW('Match History'!B:B))),MAX(('Match History'!F:F=B33)*(ROW('Match History'!F:F))),MAX(('Match History'!J:J=B33)*(ROW('Match History'!J:J))),MAX(('Match History'!N:N=B33)*(ROW('Match History'!N:N))),MAX(('Match History'!R:R=B33)*(ROW('Match History'!R:R))),MAX(('Match History'!V:V=B33)*(ROW('Match History'!V:V))),MAX(('Match History'!Z:Z=B33)*(ROW('Match History'!Z:Z))),MAX(('Match History'!AD:AD=B33)*(ROW('Match History'!AD:AD))),MAX(('Match History'!AH:AH=B33)*(ROW('Match History'!AH:AH))),MAX(('Match History'!AL:AL=B33)*(ROW('Match History'!AL:AL))),MAX(('Match History'!AV:AV=B33)*(ROW('Match History'!AV:AV))),MAX(('Match History'!AZ:AZ=B33)*(ROW('Match History'!AZ:AZ))),MAX(('Match History'!BD:BD=B33)*(ROW('Match History'!BD:BD))),MAX(('Match History'!BH:BH=B33)*(ROW('Match History'!BH:BH)))), 1))
</f>
        <v>44919.07712</v>
      </c>
      <c r="O33" s="20">
        <f>(SUMIF('Match History'!B:B,B33,'Match History'!D:D)+SUMIF('Match History'!F:F,B33,'Match History'!H:H)+SUMIF('Match History'!J:J,B33,'Match History'!L:L)+SUMIF('Match History'!N:N,B33,'Match History'!P:P)+SUMIF('Match History'!R:R,B33,'Match History'!T:T)+SUMIF('Match History'!V:V,B33,'Match History'!X:X)+SUMIF('Match History'!Z:Z,B33,'Match History'!AB:AB)+SUMIF('Match History'!AD:AD,B33,'Match History'!AF:AF)+SUMIF('Match History'!AH:AH,B33,'Match History'!AJ:AJ)+SUMIF('Match History'!AL:AL,B33,'Match History'!AN:AN)+SUMIF('Match History'!AV:AV,B33,'Match History'!AX:AX)+SUMIF('Match History'!AZ:AZ,B33,'Match History'!BB:BB)+SUMIF('Match History'!BD:BD,B33,'Match History'!BF:BF)+SUMIF('Match History'!BH:BH,B33,'Match History'!BJ:BJ))/IF(F33=0,1,F33)</f>
        <v>16.88118812</v>
      </c>
      <c r="P33" s="21">
        <f t="array" ref="P33">MAX(MAX(IF('Match History'!B:B=B33,'Match History'!D:D,)),MAX(IF('Match History'!F:F=B33,'Match History'!H:H,)),MAX(IF('Match History'!J:J=B33,'Match History'!L:L,)),MAX(IF('Match History'!N:N=B33,'Match History'!P:P,)),MAX(IF('Match History'!R:R=B33,'Match History'!T:T,)),MAX(IF('Match History'!V:V=B33,'Match History'!X:X,)),MAX(IF('Match History'!Z:Z=B33,'Match History'!AB:AB,)),MAX(IF('Match History'!AD:AD=B33,'Match History'!AF:AF,)),MAX(IF('Match History'!AH:AH=B33,'Match History'!AJ:AJ,)),MAX(IF('Match History'!AL:AL=B33,'Match History'!AN:AN,)),MAX(IF('Match History'!AV:AV=B33,'Match History'!AX:AX,)),MAX(IF('Match History'!AZ:AZ=B33,'Match History'!BB:BB,)),MAX(IF('Match History'!BD:BD=B33,'Match History'!BF:BF,)),MAX(IF('Match History'!BH:BH=B33,'Match History'!BJ:BJ,)))</f>
        <v>32</v>
      </c>
      <c r="Q33" s="21">
        <f t="array" ref="Q33">IF(F33=0,0,MIN(MIN(IF('Match History'!B:B=B33,'Match History'!D:D,999)),MIN(IF('Match History'!F:F=B33,'Match History'!H:H,999)),MIN(IF('Match History'!J:J=B33,'Match History'!L:L,999)),MIN(IF('Match History'!N:N=B33,'Match History'!P:P,999)),MIN(IF('Match History'!R:R=B33,'Match History'!T:T,999)),MIN(IF('Match History'!V:V=B33,'Match History'!X:X,999)),MIN(IF('Match History'!Z:Z=B33,'Match History'!AB:AB,999)),MIN(IF('Match History'!AD:AD=B33,'Match History'!AF:AF,999)),MIN(IF('Match History'!AH:AH=B33,'Match History'!AJ:AJ,999)),MIN(IF('Match History'!AL:AL=B33,'Match History'!AN:AN,999)),MIN(IF('Match History'!AV:AV=B33,'Match History'!AX:AX,999)),MIN(IF('Match History'!AZ:AZ=B33,'Match History'!BB:BB,999)),MIN(IF('Match History'!BD:BD=B33,'Match History'!BF:BF,999)),MIN(IF('Match History'!BH:BH=B33,'Match History'!BJ:BJ,999))))</f>
        <v>5</v>
      </c>
      <c r="R33" s="21">
        <f>COUNTIFS('Match History'!B:B,B33,'Match History'!A:A,"&gt;="&amp;(DATE(2022,12,31)-30))+COUNTIFS('Match History'!F:F,B33,'Match History'!A:A,"&gt;="&amp;(DATE(2022,12,31)-30))+COUNTIFS('Match History'!J:J,B33,'Match History'!A:A,"&gt;="&amp;(DATE(2022,12,31)-30))+COUNTIFS('Match History'!N:N,B33,'Match History'!A:A,"&gt;="&amp;(DATE(2022,12,31)-30))+COUNTIFS('Match History'!R:R,B33,'Match History'!A:A,"&gt;="&amp;(DATE(2022,12,31)-30))+COUNTIFS('Match History'!V:V,B33,'Match History'!A:A,"&gt;="&amp;(DATE(2022,12,31)-30))+COUNTIFS('Match History'!Z:Z,B33,'Match History'!A:A,"&gt;="&amp;(DATE(2022,12,31)-30))+COUNTIFS('Match History'!AD:AD,B33,'Match History'!A:A,"&gt;="&amp;(DATE(2022,12,31)-30))+COUNTIFS('Match History'!AH:AH,B33,'Match History'!A:A,"&gt;="&amp;(DATE(2022,12,31)-30))+COUNTIFS('Match History'!AL:AL,B33,'Match History'!A:A,"&gt;="&amp;(DATE(2022,12,31)-30))+COUNTIFS('Match History'!AV:AV,B33,'Match History'!A:A,"&gt;="&amp;(DATE(2022,12,31)-30))+COUNTIFS('Match History'!AZ:AZ,B33,'Match History'!A:A,"&gt;="&amp;(DATE(2022,12,31)-30))+COUNTIFS('Match History'!BD:BD,B33,'Match History'!A:A,"&gt;="&amp;(DATE(2022,12,31)-30))+COUNTIFS('Match History'!BH:BH,B33,'Match History'!A:A,"&gt;="&amp;(DATE(2022,12,31)-30))
</f>
        <v>15</v>
      </c>
      <c r="S33" s="21">
        <f>COUNTIFS('Match History'!B:B,B33,'Match History'!A:A,"&gt;="&amp;(DATE(2022,12,31)-365))+COUNTIFS('Match History'!F:F,B33,'Match History'!A:A,"&gt;="&amp;(DATE(2022,12,31)-365))+COUNTIFS('Match History'!J:J,B33,'Match History'!A:A,"&gt;="&amp;(DATE(2022,12,31)-365))+COUNTIFS('Match History'!N:N,B33,'Match History'!A:A,"&gt;="&amp;(DATE(2022,12,31)-365))+COUNTIFS('Match History'!R:R,B33,'Match History'!A:A,"&gt;="&amp;(DATE(2022,12,31)-365))+COUNTIFS('Match History'!V:V,B33,'Match History'!A:A,"&gt;="&amp;(DATE(2022,12,31)-365))+COUNTIFS('Match History'!Z:Z,B33,'Match History'!A:A,"&gt;="&amp;(DATE(2022,12,31)-365))+COUNTIFS('Match History'!AD:AD,B33,'Match History'!A:A,"&gt;="&amp;(DATE(2022,12,31)-365))+COUNTIFS('Match History'!AH:AH,B33,'Match History'!A:A,"&gt;="&amp;(DATE(2022,12,31)-365))+COUNTIFS('Match History'!AL:AL,B33,'Match History'!A:A,"&gt;="&amp;(DATE(2022,12,31)-365))+COUNTIFS('Match History'!AV:AV,B33,'Match History'!A:A,"&gt;="&amp;(DATE(2022,12,31)-365))+COUNTIFS('Match History'!AZ:AZ,B33,'Match History'!A:A,"&gt;="&amp;(DATE(2022,12,31)-365))+COUNTIFS('Match History'!BD:BD,B33,'Match History'!A:A,"&gt;="&amp;(DATE(2022,12,31)-365))+COUNTIFS('Match History'!BH:BH,B33,'Match History'!A:A,"&gt;="&amp;(DATE(2022,12,31)-365))
</f>
        <v>88</v>
      </c>
      <c r="T33" s="20">
        <f t="array" ref="T33">IF(F33=0,0,INDEX('Match History'!B:BK,MATCH(N33,'Match History'!A:A,0),MATCH(B33,INDEX('Match History'!B:BK,MATCH(N33,'Match History'!A:A,0),0),0)+3)-INDEX('Match History'!B:BK,MATCH(N33,'Match History'!A:A,0),MATCH(B33,INDEX('Match History'!B:BK,MATCH(N33,'Match History'!A:A,0),0),0)+1))</f>
        <v>7.229668203</v>
      </c>
      <c r="U33" s="21">
        <f>COUNTIFS('Match History'!B:B,B33,'Match History'!A:A,"&gt;="&amp;(DATE(2022,12,31)-92))
+COUNTIFS('Match History'!F:F,B33,'Match History'!A:A,"&gt;="&amp;(DATE(2022,12,31)-92))
+COUNTIFS('Match History'!J:J,B33,'Match History'!A:A,"&gt;="&amp;(DATE(2022,12,31)-92))
+COUNTIFS('Match History'!N:N,B33,'Match History'!A:A,"&gt;="&amp;(DATE(2022,12,31)-92))
+COUNTIFS('Match History'!R:R,B33,'Match History'!A:A,"&gt;="&amp;(DATE(2022,12,31)-92))
+COUNTIFS('Match History'!V:V,B33,'Match History'!A:A,"&gt;="&amp;(DATE(2022,12,31)-92))
+COUNTIFS('Match History'!Z:Z,B33,'Match History'!A:A,"&gt;="&amp;(DATE(2022,12,31)-92))
+COUNTIFS('Match History'!AD:AD,B33,'Match History'!A:A,"&gt;="&amp;(DATE(2022,12,31)-92))
+COUNTIFS('Match History'!AH:AH,B33,'Match History'!A:A,"&gt;="&amp;(DATE(2022,12,31)-92))
+COUNTIFS('Match History'!AL:AL,B33,'Match History'!A:A,"&gt;="&amp;(DATE(2022,12,31)-92))
+COUNTIFS('Match History'!AV:AV,B33,'Match History'!A:A,"&gt;="&amp;(DATE(2022,12,31)-92))
+COUNTIFS('Match History'!AZ:AZ,B33,'Match History'!A:A,"&gt;="&amp;(DATE(2022,12,31)-92))
+COUNTIFS('Match History'!BD:BD,B33,'Match History'!A:A,"&gt;="&amp;(DATE(2022,12,31)-92))
+COUNTIFS('Match History'!BH:BH,B33,'Match History'!A:A,"&gt;="&amp;(DATE(2022,12,31)-92))
</f>
        <v>24</v>
      </c>
      <c r="V33" s="20">
        <f>IF(U33=0,0,(SUMIFS('Match History'!D:D,'Match History'!A:A,"&gt;=10/01/2022 00:00",'Match History'!A:A,"&lt;=12/31/2022 23:59",'Match History'!B:B,B33)
+SUMIFS('Match History'!H:H,'Match History'!A:A,"&gt;=10/01/2022 00:00",'Match History'!A:A,"&lt;=12/31/2022 23:59",'Match History'!F:F,B33)
+SUMIFS('Match History'!L:L,'Match History'!A:A,"&gt;=10/01/2022 00:00",'Match History'!A:A,"&lt;=12/31/2022 23:59",'Match History'!J:J,B33)
+SUMIFS('Match History'!P:P,'Match History'!A:A,"&gt;=10/01/2022 00:00",'Match History'!A:A,"&lt;=12/31/2022 23:59",'Match History'!N:N,B33)
+SUMIFS('Match History'!T:T,'Match History'!A:A,"&gt;=10/01/2022 00:00",'Match History'!A:A,"&lt;=12/31/2022 23:59",'Match History'!R:R,B33)
+SUMIFS('Match History'!X:X,'Match History'!A:A,"&gt;=10/01/2022 00:00",'Match History'!A:A,"&lt;=12/31/2022 23:59",'Match History'!V:V,B33)
+SUMIFS('Match History'!AB:AB,'Match History'!A:A,"&gt;=10/01/2022 00:00",'Match History'!A:A,"&lt;=12/31/2022 23:59",'Match History'!Z:Z,B33)
+SUMIFS('Match History'!AF:AF,'Match History'!A:A,"&gt;=10/01/2022 00:00",'Match History'!A:A,"&lt;=12/31/2022 23:59",'Match History'!AD:AD,B33)
+SUMIFS('Match History'!AJ:AJ,'Match History'!A:A,"&gt;=10/01/2022 00:00",'Match History'!A:A,"&lt;=12/31/2022 23:59",'Match History'!AH:AH,B33)
+SUMIFS('Match History'!AN:AN,'Match History'!A:A,"&gt;=10/01/2022 00:00",'Match History'!A:A,"&lt;=12/31/2022 23:59",'Match History'!AL:AL,B33)
+SUMIFS('Match History'!AX:AX,'Match History'!A:A,"&gt;=10/01/2022 00:00",'Match History'!A:A,"&lt;=12/31/2022 23:59",'Match History'!AV:AV,B33)+SUMIFS('Match History'!BB:BB,'Match History'!A:A,"&gt;=10/01/2022 00:00",'Match History'!A:A,"&lt;=12/31/2022 23:59",'Match History'!AZ:AZ,B33)
+SUMIFS('Match History'!BF:BF,'Match History'!A:A,"&gt;=10/01/2022 00:00",'Match History'!A:A,"&lt;=12/31/2022 23:59",'Match History'!BD:BD,B33)
+SUMIFS('Match History'!BJ:BJ,'Match History'!A:A,"&gt;=10/01/2022 00:00",'Match History'!A:A,"&lt;=12/31/2022 23:59",'Match History'!BH:BH,B33))/U33)
</f>
        <v>19.91666667</v>
      </c>
    </row>
    <row r="34">
      <c r="A34" s="59" t="s">
        <v>101</v>
      </c>
      <c r="B34" s="59" t="s">
        <v>102</v>
      </c>
      <c r="C34" s="39">
        <v>952.437268179357</v>
      </c>
      <c r="D34" s="13">
        <f>NORMDIST(C34,1000,STDEV(Players!$C$2:$C$39)+0.00001,TRUE)</f>
        <v>0.2823349465</v>
      </c>
      <c r="E34" s="14"/>
      <c r="F34" s="47">
        <f>COUNTIF('Match History'!A:BK,"Yotak")</f>
        <v>4</v>
      </c>
      <c r="G34" s="60" t="s">
        <v>103</v>
      </c>
      <c r="H34" s="29"/>
      <c r="I34" s="29"/>
      <c r="J34" s="38"/>
      <c r="K34" s="43"/>
      <c r="L34" s="18" t="b">
        <f t="shared" si="2"/>
        <v>1</v>
      </c>
      <c r="M34" s="17" t="b">
        <v>0</v>
      </c>
      <c r="N34" s="19">
        <f t="array" ref="N34">IF(F34=0, "no war", INDEX('Match History'!A:A, MAX(MAX(('Match History'!B:B=B34)*(ROW('Match History'!B:B))),MAX(('Match History'!F:F=B34)*(ROW('Match History'!F:F))),MAX(('Match History'!J:J=B34)*(ROW('Match History'!J:J))),MAX(('Match History'!N:N=B34)*(ROW('Match History'!N:N))),MAX(('Match History'!R:R=B34)*(ROW('Match History'!R:R))),MAX(('Match History'!V:V=B34)*(ROW('Match History'!V:V))),MAX(('Match History'!Z:Z=B34)*(ROW('Match History'!Z:Z))),MAX(('Match History'!AD:AD=B34)*(ROW('Match History'!AD:AD))),MAX(('Match History'!AH:AH=B34)*(ROW('Match History'!AH:AH))),MAX(('Match History'!AL:AL=B34)*(ROW('Match History'!AL:AL))),MAX(('Match History'!AV:AV=B34)*(ROW('Match History'!AV:AV))),MAX(('Match History'!AZ:AZ=B34)*(ROW('Match History'!AZ:AZ))),MAX(('Match History'!BD:BD=B34)*(ROW('Match History'!BD:BD))),MAX(('Match History'!BH:BH=B34)*(ROW('Match History'!BH:BH)))), 1))
</f>
        <v>44925.71932</v>
      </c>
      <c r="O34" s="20">
        <f>(SUMIF('Match History'!B:B,B34,'Match History'!D:D)+SUMIF('Match History'!F:F,B34,'Match History'!H:H)+SUMIF('Match History'!J:J,B34,'Match History'!L:L)+SUMIF('Match History'!N:N,B34,'Match History'!P:P)+SUMIF('Match History'!R:R,B34,'Match History'!T:T)+SUMIF('Match History'!V:V,B34,'Match History'!X:X)+SUMIF('Match History'!Z:Z,B34,'Match History'!AB:AB)+SUMIF('Match History'!AD:AD,B34,'Match History'!AF:AF)+SUMIF('Match History'!AH:AH,B34,'Match History'!AJ:AJ)+SUMIF('Match History'!AL:AL,B34,'Match History'!AN:AN)+SUMIF('Match History'!AV:AV,B34,'Match History'!AX:AX)+SUMIF('Match History'!AZ:AZ,B34,'Match History'!BB:BB)+SUMIF('Match History'!BD:BD,B34,'Match History'!BF:BF)+SUMIF('Match History'!BH:BH,B34,'Match History'!BJ:BJ))/IF(F34=0,1,F34)</f>
        <v>14</v>
      </c>
      <c r="P34" s="21">
        <f t="array" ref="P34">MAX(MAX(IF('Match History'!B:B=B34,'Match History'!D:D,)),MAX(IF('Match History'!F:F=B34,'Match History'!H:H,)),MAX(IF('Match History'!J:J=B34,'Match History'!L:L,)),MAX(IF('Match History'!N:N=B34,'Match History'!P:P,)),MAX(IF('Match History'!R:R=B34,'Match History'!T:T,)),MAX(IF('Match History'!V:V=B34,'Match History'!X:X,)),MAX(IF('Match History'!Z:Z=B34,'Match History'!AB:AB,)),MAX(IF('Match History'!AD:AD=B34,'Match History'!AF:AF,)),MAX(IF('Match History'!AH:AH=B34,'Match History'!AJ:AJ,)),MAX(IF('Match History'!AL:AL=B34,'Match History'!AN:AN,)),MAX(IF('Match History'!AV:AV=B34,'Match History'!AX:AX,)),MAX(IF('Match History'!AZ:AZ=B34,'Match History'!BB:BB,)),MAX(IF('Match History'!BD:BD=B34,'Match History'!BF:BF,)),MAX(IF('Match History'!BH:BH=B34,'Match History'!BJ:BJ,)))</f>
        <v>20</v>
      </c>
      <c r="Q34" s="21">
        <f t="array" ref="Q34">IF(F34=0,0,MIN(MIN(IF('Match History'!B:B=B34,'Match History'!D:D,999)),MIN(IF('Match History'!F:F=B34,'Match History'!H:H,999)),MIN(IF('Match History'!J:J=B34,'Match History'!L:L,999)),MIN(IF('Match History'!N:N=B34,'Match History'!P:P,999)),MIN(IF('Match History'!R:R=B34,'Match History'!T:T,999)),MIN(IF('Match History'!V:V=B34,'Match History'!X:X,999)),MIN(IF('Match History'!Z:Z=B34,'Match History'!AB:AB,999)),MIN(IF('Match History'!AD:AD=B34,'Match History'!AF:AF,999)),MIN(IF('Match History'!AH:AH=B34,'Match History'!AJ:AJ,999)),MIN(IF('Match History'!AL:AL=B34,'Match History'!AN:AN,999)),MIN(IF('Match History'!AV:AV=B34,'Match History'!AX:AX,999)),MIN(IF('Match History'!AZ:AZ=B34,'Match History'!BB:BB,999)),MIN(IF('Match History'!BD:BD=B34,'Match History'!BF:BF,999)),MIN(IF('Match History'!BH:BH=B34,'Match History'!BJ:BJ,999))))</f>
        <v>11</v>
      </c>
      <c r="R34" s="21">
        <f>COUNTIFS('Match History'!B:B,B34,'Match History'!A:A,"&gt;="&amp;(DATE(2022,12,31)-30))+COUNTIFS('Match History'!F:F,B34,'Match History'!A:A,"&gt;="&amp;(DATE(2022,12,31)-30))+COUNTIFS('Match History'!J:J,B34,'Match History'!A:A,"&gt;="&amp;(DATE(2022,12,31)-30))+COUNTIFS('Match History'!N:N,B34,'Match History'!A:A,"&gt;="&amp;(DATE(2022,12,31)-30))+COUNTIFS('Match History'!R:R,B34,'Match History'!A:A,"&gt;="&amp;(DATE(2022,12,31)-30))+COUNTIFS('Match History'!V:V,B34,'Match History'!A:A,"&gt;="&amp;(DATE(2022,12,31)-30))+COUNTIFS('Match History'!Z:Z,B34,'Match History'!A:A,"&gt;="&amp;(DATE(2022,12,31)-30))+COUNTIFS('Match History'!AD:AD,B34,'Match History'!A:A,"&gt;="&amp;(DATE(2022,12,31)-30))+COUNTIFS('Match History'!AH:AH,B34,'Match History'!A:A,"&gt;="&amp;(DATE(2022,12,31)-30))+COUNTIFS('Match History'!AL:AL,B34,'Match History'!A:A,"&gt;="&amp;(DATE(2022,12,31)-30))+COUNTIFS('Match History'!AV:AV,B34,'Match History'!A:A,"&gt;="&amp;(DATE(2022,12,31)-30))+COUNTIFS('Match History'!AZ:AZ,B34,'Match History'!A:A,"&gt;="&amp;(DATE(2022,12,31)-30))+COUNTIFS('Match History'!BD:BD,B34,'Match History'!A:A,"&gt;="&amp;(DATE(2022,12,31)-30))+COUNTIFS('Match History'!BH:BH,B34,'Match History'!A:A,"&gt;="&amp;(DATE(2022,12,31)-30))
</f>
        <v>4</v>
      </c>
      <c r="S34" s="21">
        <f>COUNTIFS('Match History'!B:B,B34,'Match History'!A:A,"&gt;="&amp;(DATE(2022,12,31)-365))+COUNTIFS('Match History'!F:F,B34,'Match History'!A:A,"&gt;="&amp;(DATE(2022,12,31)-365))+COUNTIFS('Match History'!J:J,B34,'Match History'!A:A,"&gt;="&amp;(DATE(2022,12,31)-365))+COUNTIFS('Match History'!N:N,B34,'Match History'!A:A,"&gt;="&amp;(DATE(2022,12,31)-365))+COUNTIFS('Match History'!R:R,B34,'Match History'!A:A,"&gt;="&amp;(DATE(2022,12,31)-365))+COUNTIFS('Match History'!V:V,B34,'Match History'!A:A,"&gt;="&amp;(DATE(2022,12,31)-365))+COUNTIFS('Match History'!Z:Z,B34,'Match History'!A:A,"&gt;="&amp;(DATE(2022,12,31)-365))+COUNTIFS('Match History'!AD:AD,B34,'Match History'!A:A,"&gt;="&amp;(DATE(2022,12,31)-365))+COUNTIFS('Match History'!AH:AH,B34,'Match History'!A:A,"&gt;="&amp;(DATE(2022,12,31)-365))+COUNTIFS('Match History'!AL:AL,B34,'Match History'!A:A,"&gt;="&amp;(DATE(2022,12,31)-365))+COUNTIFS('Match History'!AV:AV,B34,'Match History'!A:A,"&gt;="&amp;(DATE(2022,12,31)-365))+COUNTIFS('Match History'!AZ:AZ,B34,'Match History'!A:A,"&gt;="&amp;(DATE(2022,12,31)-365))+COUNTIFS('Match History'!BD:BD,B34,'Match History'!A:A,"&gt;="&amp;(DATE(2022,12,31)-365))+COUNTIFS('Match History'!BH:BH,B34,'Match History'!A:A,"&gt;="&amp;(DATE(2022,12,31)-365))
</f>
        <v>4</v>
      </c>
      <c r="T34" s="20">
        <f t="array" ref="T34">IF(F34=0,0,INDEX('Match History'!B:BK,MATCH(N34,'Match History'!A:A,0),MATCH(B34,INDEX('Match History'!B:BK,MATCH(N34,'Match History'!A:A,0),0),0)+3)-INDEX('Match History'!B:BK,MATCH(N34,'Match History'!A:A,0),MATCH(B34,INDEX('Match History'!B:BK,MATCH(N34,'Match History'!A:A,0),0),0)+1))</f>
        <v>0.1691062944</v>
      </c>
      <c r="U34" s="21">
        <f>COUNTIFS('Match History'!B:B,B34,'Match History'!A:A,"&gt;="&amp;(DATE(2022,12,31)-92))
+COUNTIFS('Match History'!F:F,B34,'Match History'!A:A,"&gt;="&amp;(DATE(2022,12,31)-92))
+COUNTIFS('Match History'!J:J,B34,'Match History'!A:A,"&gt;="&amp;(DATE(2022,12,31)-92))
+COUNTIFS('Match History'!N:N,B34,'Match History'!A:A,"&gt;="&amp;(DATE(2022,12,31)-92))
+COUNTIFS('Match History'!R:R,B34,'Match History'!A:A,"&gt;="&amp;(DATE(2022,12,31)-92))
+COUNTIFS('Match History'!V:V,B34,'Match History'!A:A,"&gt;="&amp;(DATE(2022,12,31)-92))
+COUNTIFS('Match History'!Z:Z,B34,'Match History'!A:A,"&gt;="&amp;(DATE(2022,12,31)-92))
+COUNTIFS('Match History'!AD:AD,B34,'Match History'!A:A,"&gt;="&amp;(DATE(2022,12,31)-92))
+COUNTIFS('Match History'!AH:AH,B34,'Match History'!A:A,"&gt;="&amp;(DATE(2022,12,31)-92))
+COUNTIFS('Match History'!AL:AL,B34,'Match History'!A:A,"&gt;="&amp;(DATE(2022,12,31)-92))
+COUNTIFS('Match History'!AV:AV,B34,'Match History'!A:A,"&gt;="&amp;(DATE(2022,12,31)-92))
+COUNTIFS('Match History'!AZ:AZ,B34,'Match History'!A:A,"&gt;="&amp;(DATE(2022,12,31)-92))
+COUNTIFS('Match History'!BD:BD,B34,'Match History'!A:A,"&gt;="&amp;(DATE(2022,12,31)-92))
+COUNTIFS('Match History'!BH:BH,B34,'Match History'!A:A,"&gt;="&amp;(DATE(2022,12,31)-92))
</f>
        <v>4</v>
      </c>
      <c r="V34" s="20">
        <f>IF(U34=0,0,(SUMIFS('Match History'!D:D,'Match History'!A:A,"&gt;=10/01/2022 00:00",'Match History'!A:A,"&lt;=12/31/2022 23:59",'Match History'!B:B,B34)
+SUMIFS('Match History'!H:H,'Match History'!A:A,"&gt;=10/01/2022 00:00",'Match History'!A:A,"&lt;=12/31/2022 23:59",'Match History'!F:F,B34)
+SUMIFS('Match History'!L:L,'Match History'!A:A,"&gt;=10/01/2022 00:00",'Match History'!A:A,"&lt;=12/31/2022 23:59",'Match History'!J:J,B34)
+SUMIFS('Match History'!P:P,'Match History'!A:A,"&gt;=10/01/2022 00:00",'Match History'!A:A,"&lt;=12/31/2022 23:59",'Match History'!N:N,B34)
+SUMIFS('Match History'!T:T,'Match History'!A:A,"&gt;=10/01/2022 00:00",'Match History'!A:A,"&lt;=12/31/2022 23:59",'Match History'!R:R,B34)
+SUMIFS('Match History'!X:X,'Match History'!A:A,"&gt;=10/01/2022 00:00",'Match History'!A:A,"&lt;=12/31/2022 23:59",'Match History'!V:V,B34)
+SUMIFS('Match History'!AB:AB,'Match History'!A:A,"&gt;=10/01/2022 00:00",'Match History'!A:A,"&lt;=12/31/2022 23:59",'Match History'!Z:Z,B34)
+SUMIFS('Match History'!AF:AF,'Match History'!A:A,"&gt;=10/01/2022 00:00",'Match History'!A:A,"&lt;=12/31/2022 23:59",'Match History'!AD:AD,B34)
+SUMIFS('Match History'!AJ:AJ,'Match History'!A:A,"&gt;=10/01/2022 00:00",'Match History'!A:A,"&lt;=12/31/2022 23:59",'Match History'!AH:AH,B34)
+SUMIFS('Match History'!AN:AN,'Match History'!A:A,"&gt;=10/01/2022 00:00",'Match History'!A:A,"&lt;=12/31/2022 23:59",'Match History'!AL:AL,B34)
+SUMIFS('Match History'!AX:AX,'Match History'!A:A,"&gt;=10/01/2022 00:00",'Match History'!A:A,"&lt;=12/31/2022 23:59",'Match History'!AV:AV,B34)+SUMIFS('Match History'!BB:BB,'Match History'!A:A,"&gt;=10/01/2022 00:00",'Match History'!A:A,"&lt;=12/31/2022 23:59",'Match History'!AZ:AZ,B34)
+SUMIFS('Match History'!BF:BF,'Match History'!A:A,"&gt;=10/01/2022 00:00",'Match History'!A:A,"&lt;=12/31/2022 23:59",'Match History'!BD:BD,B34)
+SUMIFS('Match History'!BJ:BJ,'Match History'!A:A,"&gt;=10/01/2022 00:00",'Match History'!A:A,"&lt;=12/31/2022 23:59",'Match History'!BH:BH,B34))/U34)
</f>
        <v>14</v>
      </c>
    </row>
    <row r="35" ht="21.0" customHeight="1">
      <c r="A35" s="44" t="s">
        <v>104</v>
      </c>
      <c r="B35" s="44" t="s">
        <v>105</v>
      </c>
      <c r="C35" s="45">
        <v>950.2493848328776</v>
      </c>
      <c r="D35" s="49">
        <f>NORMDIST(C35,1000,STDEV(Players!$C$2:$C$39)+0.00001,TRUE)</f>
        <v>0.2734501927</v>
      </c>
      <c r="E35" s="46"/>
      <c r="F35" s="50">
        <f>COUNTIF('Match History'!A:BK,"p3dr0")</f>
        <v>31</v>
      </c>
      <c r="G35" s="48" t="s">
        <v>51</v>
      </c>
      <c r="H35" s="43"/>
      <c r="K35" s="43">
        <v>2.0</v>
      </c>
      <c r="L35" s="18" t="b">
        <f t="shared" si="2"/>
        <v>1</v>
      </c>
      <c r="M35" s="17" t="b">
        <v>0</v>
      </c>
      <c r="N35" s="19">
        <f t="array" ref="N35">IF(F35=0, "no war", INDEX('Match History'!A:A, MAX(MAX(('Match History'!B:B=B35)*(ROW('Match History'!B:B))),MAX(('Match History'!F:F=B35)*(ROW('Match History'!F:F))),MAX(('Match History'!J:J=B35)*(ROW('Match History'!J:J))),MAX(('Match History'!N:N=B35)*(ROW('Match History'!N:N))),MAX(('Match History'!R:R=B35)*(ROW('Match History'!R:R))),MAX(('Match History'!V:V=B35)*(ROW('Match History'!V:V))),MAX(('Match History'!Z:Z=B35)*(ROW('Match History'!Z:Z))),MAX(('Match History'!AD:AD=B35)*(ROW('Match History'!AD:AD))),MAX(('Match History'!AH:AH=B35)*(ROW('Match History'!AH:AH))),MAX(('Match History'!AL:AL=B35)*(ROW('Match History'!AL:AL))),MAX(('Match History'!AV:AV=B35)*(ROW('Match History'!AV:AV))),MAX(('Match History'!AZ:AZ=B35)*(ROW('Match History'!AZ:AZ))),MAX(('Match History'!BD:BD=B35)*(ROW('Match History'!BD:BD))),MAX(('Match History'!BH:BH=B35)*(ROW('Match History'!BH:BH)))), 1))
</f>
        <v>44926.02962</v>
      </c>
      <c r="O35" s="20">
        <f>(SUMIF('Match History'!B:B,B35,'Match History'!D:D)+SUMIF('Match History'!F:F,B35,'Match History'!H:H)+SUMIF('Match History'!J:J,B35,'Match History'!L:L)+SUMIF('Match History'!N:N,B35,'Match History'!P:P)+SUMIF('Match History'!R:R,B35,'Match History'!T:T)+SUMIF('Match History'!V:V,B35,'Match History'!X:X)+SUMIF('Match History'!Z:Z,B35,'Match History'!AB:AB)+SUMIF('Match History'!AD:AD,B35,'Match History'!AF:AF)+SUMIF('Match History'!AH:AH,B35,'Match History'!AJ:AJ)+SUMIF('Match History'!AL:AL,B35,'Match History'!AN:AN)+SUMIF('Match History'!AV:AV,B35,'Match History'!AX:AX)+SUMIF('Match History'!AZ:AZ,B35,'Match History'!BB:BB)+SUMIF('Match History'!BD:BD,B35,'Match History'!BF:BF)+SUMIF('Match History'!BH:BH,B35,'Match History'!BJ:BJ))/IF(F35=0,1,F35)</f>
        <v>18.5483871</v>
      </c>
      <c r="P35" s="21">
        <f t="array" ref="P35">MAX(MAX(IF('Match History'!B:B=B35,'Match History'!D:D,)),MAX(IF('Match History'!F:F=B35,'Match History'!H:H,)),MAX(IF('Match History'!J:J=B35,'Match History'!L:L,)),MAX(IF('Match History'!N:N=B35,'Match History'!P:P,)),MAX(IF('Match History'!R:R=B35,'Match History'!T:T,)),MAX(IF('Match History'!V:V=B35,'Match History'!X:X,)),MAX(IF('Match History'!Z:Z=B35,'Match History'!AB:AB,)),MAX(IF('Match History'!AD:AD=B35,'Match History'!AF:AF,)),MAX(IF('Match History'!AH:AH=B35,'Match History'!AJ:AJ,)),MAX(IF('Match History'!AL:AL=B35,'Match History'!AN:AN,)),MAX(IF('Match History'!AV:AV=B35,'Match History'!AX:AX,)),MAX(IF('Match History'!AZ:AZ=B35,'Match History'!BB:BB,)),MAX(IF('Match History'!BD:BD=B35,'Match History'!BF:BF,)),MAX(IF('Match History'!BH:BH=B35,'Match History'!BJ:BJ,)))</f>
        <v>47</v>
      </c>
      <c r="Q35" s="21">
        <f t="array" ref="Q35">IF(F35=0,0,MIN(MIN(IF('Match History'!B:B=B35,'Match History'!D:D,999)),MIN(IF('Match History'!F:F=B35,'Match History'!H:H,999)),MIN(IF('Match History'!J:J=B35,'Match History'!L:L,999)),MIN(IF('Match History'!N:N=B35,'Match History'!P:P,999)),MIN(IF('Match History'!R:R=B35,'Match History'!T:T,999)),MIN(IF('Match History'!V:V=B35,'Match History'!X:X,999)),MIN(IF('Match History'!Z:Z=B35,'Match History'!AB:AB,999)),MIN(IF('Match History'!AD:AD=B35,'Match History'!AF:AF,999)),MIN(IF('Match History'!AH:AH=B35,'Match History'!AJ:AJ,999)),MIN(IF('Match History'!AL:AL=B35,'Match History'!AN:AN,999)),MIN(IF('Match History'!AV:AV=B35,'Match History'!AX:AX,999)),MIN(IF('Match History'!AZ:AZ=B35,'Match History'!BB:BB,999)),MIN(IF('Match History'!BD:BD=B35,'Match History'!BF:BF,999)),MIN(IF('Match History'!BH:BH=B35,'Match History'!BJ:BJ,999))))</f>
        <v>9</v>
      </c>
      <c r="R35" s="21">
        <f>COUNTIFS('Match History'!B:B,B35,'Match History'!A:A,"&gt;="&amp;(DATE(2022,12,31)-30))+COUNTIFS('Match History'!F:F,B35,'Match History'!A:A,"&gt;="&amp;(DATE(2022,12,31)-30))+COUNTIFS('Match History'!J:J,B35,'Match History'!A:A,"&gt;="&amp;(DATE(2022,12,31)-30))+COUNTIFS('Match History'!N:N,B35,'Match History'!A:A,"&gt;="&amp;(DATE(2022,12,31)-30))+COUNTIFS('Match History'!R:R,B35,'Match History'!A:A,"&gt;="&amp;(DATE(2022,12,31)-30))+COUNTIFS('Match History'!V:V,B35,'Match History'!A:A,"&gt;="&amp;(DATE(2022,12,31)-30))+COUNTIFS('Match History'!Z:Z,B35,'Match History'!A:A,"&gt;="&amp;(DATE(2022,12,31)-30))+COUNTIFS('Match History'!AD:AD,B35,'Match History'!A:A,"&gt;="&amp;(DATE(2022,12,31)-30))+COUNTIFS('Match History'!AH:AH,B35,'Match History'!A:A,"&gt;="&amp;(DATE(2022,12,31)-30))+COUNTIFS('Match History'!AL:AL,B35,'Match History'!A:A,"&gt;="&amp;(DATE(2022,12,31)-30))+COUNTIFS('Match History'!AV:AV,B35,'Match History'!A:A,"&gt;="&amp;(DATE(2022,12,31)-30))+COUNTIFS('Match History'!AZ:AZ,B35,'Match History'!A:A,"&gt;="&amp;(DATE(2022,12,31)-30))+COUNTIFS('Match History'!BD:BD,B35,'Match History'!A:A,"&gt;="&amp;(DATE(2022,12,31)-30))+COUNTIFS('Match History'!BH:BH,B35,'Match History'!A:A,"&gt;="&amp;(DATE(2022,12,31)-30))
</f>
        <v>22</v>
      </c>
      <c r="S35" s="21">
        <f>COUNTIFS('Match History'!B:B,B35,'Match History'!A:A,"&gt;="&amp;(DATE(2022,12,31)-365))+COUNTIFS('Match History'!F:F,B35,'Match History'!A:A,"&gt;="&amp;(DATE(2022,12,31)-365))+COUNTIFS('Match History'!J:J,B35,'Match History'!A:A,"&gt;="&amp;(DATE(2022,12,31)-365))+COUNTIFS('Match History'!N:N,B35,'Match History'!A:A,"&gt;="&amp;(DATE(2022,12,31)-365))+COUNTIFS('Match History'!R:R,B35,'Match History'!A:A,"&gt;="&amp;(DATE(2022,12,31)-365))+COUNTIFS('Match History'!V:V,B35,'Match History'!A:A,"&gt;="&amp;(DATE(2022,12,31)-365))+COUNTIFS('Match History'!Z:Z,B35,'Match History'!A:A,"&gt;="&amp;(DATE(2022,12,31)-365))+COUNTIFS('Match History'!AD:AD,B35,'Match History'!A:A,"&gt;="&amp;(DATE(2022,12,31)-365))+COUNTIFS('Match History'!AH:AH,B35,'Match History'!A:A,"&gt;="&amp;(DATE(2022,12,31)-365))+COUNTIFS('Match History'!AL:AL,B35,'Match History'!A:A,"&gt;="&amp;(DATE(2022,12,31)-365))+COUNTIFS('Match History'!AV:AV,B35,'Match History'!A:A,"&gt;="&amp;(DATE(2022,12,31)-365))+COUNTIFS('Match History'!AZ:AZ,B35,'Match History'!A:A,"&gt;="&amp;(DATE(2022,12,31)-365))+COUNTIFS('Match History'!BD:BD,B35,'Match History'!A:A,"&gt;="&amp;(DATE(2022,12,31)-365))+COUNTIFS('Match History'!BH:BH,B35,'Match History'!A:A,"&gt;="&amp;(DATE(2022,12,31)-365))
</f>
        <v>31</v>
      </c>
      <c r="T35" s="20">
        <f t="array" ref="T35">IF(F35=0,0,INDEX('Match History'!B:BK,MATCH(N35,'Match History'!A:A,0),MATCH(B35,INDEX('Match History'!B:BK,MATCH(N35,'Match History'!A:A,0),0),0)+3)-INDEX('Match History'!B:BK,MATCH(N35,'Match History'!A:A,0),MATCH(B35,INDEX('Match History'!B:BK,MATCH(N35,'Match History'!A:A,0),0),0)+1))</f>
        <v>-6.939469664</v>
      </c>
      <c r="U35" s="21">
        <f>COUNTIFS('Match History'!B:B,B35,'Match History'!A:A,"&gt;="&amp;(DATE(2022,12,31)-92))
+COUNTIFS('Match History'!F:F,B35,'Match History'!A:A,"&gt;="&amp;(DATE(2022,12,31)-92))
+COUNTIFS('Match History'!J:J,B35,'Match History'!A:A,"&gt;="&amp;(DATE(2022,12,31)-92))
+COUNTIFS('Match History'!N:N,B35,'Match History'!A:A,"&gt;="&amp;(DATE(2022,12,31)-92))
+COUNTIFS('Match History'!R:R,B35,'Match History'!A:A,"&gt;="&amp;(DATE(2022,12,31)-92))
+COUNTIFS('Match History'!V:V,B35,'Match History'!A:A,"&gt;="&amp;(DATE(2022,12,31)-92))
+COUNTIFS('Match History'!Z:Z,B35,'Match History'!A:A,"&gt;="&amp;(DATE(2022,12,31)-92))
+COUNTIFS('Match History'!AD:AD,B35,'Match History'!A:A,"&gt;="&amp;(DATE(2022,12,31)-92))
+COUNTIFS('Match History'!AH:AH,B35,'Match History'!A:A,"&gt;="&amp;(DATE(2022,12,31)-92))
+COUNTIFS('Match History'!AL:AL,B35,'Match History'!A:A,"&gt;="&amp;(DATE(2022,12,31)-92))
+COUNTIFS('Match History'!AV:AV,B35,'Match History'!A:A,"&gt;="&amp;(DATE(2022,12,31)-92))
+COUNTIFS('Match History'!AZ:AZ,B35,'Match History'!A:A,"&gt;="&amp;(DATE(2022,12,31)-92))
+COUNTIFS('Match History'!BD:BD,B35,'Match History'!A:A,"&gt;="&amp;(DATE(2022,12,31)-92))
+COUNTIFS('Match History'!BH:BH,B35,'Match History'!A:A,"&gt;="&amp;(DATE(2022,12,31)-92))
</f>
        <v>31</v>
      </c>
      <c r="V35" s="20">
        <f>IF(U35=0,0,(SUMIFS('Match History'!D:D,'Match History'!A:A,"&gt;=10/01/2022 00:00",'Match History'!A:A,"&lt;=12/31/2022 23:59",'Match History'!B:B,B35)
+SUMIFS('Match History'!H:H,'Match History'!A:A,"&gt;=10/01/2022 00:00",'Match History'!A:A,"&lt;=12/31/2022 23:59",'Match History'!F:F,B35)
+SUMIFS('Match History'!L:L,'Match History'!A:A,"&gt;=10/01/2022 00:00",'Match History'!A:A,"&lt;=12/31/2022 23:59",'Match History'!J:J,B35)
+SUMIFS('Match History'!P:P,'Match History'!A:A,"&gt;=10/01/2022 00:00",'Match History'!A:A,"&lt;=12/31/2022 23:59",'Match History'!N:N,B35)
+SUMIFS('Match History'!T:T,'Match History'!A:A,"&gt;=10/01/2022 00:00",'Match History'!A:A,"&lt;=12/31/2022 23:59",'Match History'!R:R,B35)
+SUMIFS('Match History'!X:X,'Match History'!A:A,"&gt;=10/01/2022 00:00",'Match History'!A:A,"&lt;=12/31/2022 23:59",'Match History'!V:V,B35)
+SUMIFS('Match History'!AB:AB,'Match History'!A:A,"&gt;=10/01/2022 00:00",'Match History'!A:A,"&lt;=12/31/2022 23:59",'Match History'!Z:Z,B35)
+SUMIFS('Match History'!AF:AF,'Match History'!A:A,"&gt;=10/01/2022 00:00",'Match History'!A:A,"&lt;=12/31/2022 23:59",'Match History'!AD:AD,B35)
+SUMIFS('Match History'!AJ:AJ,'Match History'!A:A,"&gt;=10/01/2022 00:00",'Match History'!A:A,"&lt;=12/31/2022 23:59",'Match History'!AH:AH,B35)
+SUMIFS('Match History'!AN:AN,'Match History'!A:A,"&gt;=10/01/2022 00:00",'Match History'!A:A,"&lt;=12/31/2022 23:59",'Match History'!AL:AL,B35)
+SUMIFS('Match History'!AX:AX,'Match History'!A:A,"&gt;=10/01/2022 00:00",'Match History'!A:A,"&lt;=12/31/2022 23:59",'Match History'!AV:AV,B35)+SUMIFS('Match History'!BB:BB,'Match History'!A:A,"&gt;=10/01/2022 00:00",'Match History'!A:A,"&lt;=12/31/2022 23:59",'Match History'!AZ:AZ,B35)
+SUMIFS('Match History'!BF:BF,'Match History'!A:A,"&gt;=10/01/2022 00:00",'Match History'!A:A,"&lt;=12/31/2022 23:59",'Match History'!BD:BD,B35)
+SUMIFS('Match History'!BJ:BJ,'Match History'!A:A,"&gt;=10/01/2022 00:00",'Match History'!A:A,"&lt;=12/31/2022 23:59",'Match History'!BH:BH,B35))/U35)
</f>
        <v>18.5483871</v>
      </c>
    </row>
    <row r="36">
      <c r="A36" s="51" t="s">
        <v>106</v>
      </c>
      <c r="B36" s="51" t="s">
        <v>107</v>
      </c>
      <c r="C36" s="12">
        <v>947.6974296415675</v>
      </c>
      <c r="D36" s="52">
        <f>NORMDIST(C36,1000,STDEV(Players!$C$2:$C$39)+0.00001,TRUE)</f>
        <v>0.2632649712</v>
      </c>
      <c r="E36" s="46"/>
      <c r="F36" s="53">
        <f>COUNTIF('Match History'!A:BK,"jim")</f>
        <v>549</v>
      </c>
      <c r="G36" s="48" t="s">
        <v>24</v>
      </c>
      <c r="H36" s="54" t="s">
        <v>93</v>
      </c>
      <c r="I36" s="81" t="s">
        <v>29</v>
      </c>
      <c r="J36" s="80"/>
      <c r="K36" s="43">
        <v>3.0</v>
      </c>
      <c r="L36" s="18" t="b">
        <f t="shared" si="2"/>
        <v>1</v>
      </c>
      <c r="M36" s="17" t="b">
        <v>0</v>
      </c>
      <c r="N36" s="19">
        <f t="array" ref="N36">IF(F36=0, "no war", INDEX('Match History'!A:A, MAX(MAX(('Match History'!B:B=B36)*(ROW('Match History'!B:B))),MAX(('Match History'!F:F=B36)*(ROW('Match History'!F:F))),MAX(('Match History'!J:J=B36)*(ROW('Match History'!J:J))),MAX(('Match History'!N:N=B36)*(ROW('Match History'!N:N))),MAX(('Match History'!R:R=B36)*(ROW('Match History'!R:R))),MAX(('Match History'!V:V=B36)*(ROW('Match History'!V:V))),MAX(('Match History'!Z:Z=B36)*(ROW('Match History'!Z:Z))),MAX(('Match History'!AD:AD=B36)*(ROW('Match History'!AD:AD))),MAX(('Match History'!AH:AH=B36)*(ROW('Match History'!AH:AH))),MAX(('Match History'!AL:AL=B36)*(ROW('Match History'!AL:AL))),MAX(('Match History'!AV:AV=B36)*(ROW('Match History'!AV:AV))),MAX(('Match History'!AZ:AZ=B36)*(ROW('Match History'!AZ:AZ))),MAX(('Match History'!BD:BD=B36)*(ROW('Match History'!BD:BD))),MAX(('Match History'!BH:BH=B36)*(ROW('Match History'!BH:BH)))), 1))
</f>
        <v>44924.99817</v>
      </c>
      <c r="O36" s="20">
        <f>(SUMIF('Match History'!B:B,B36,'Match History'!D:D)+SUMIF('Match History'!F:F,B36,'Match History'!H:H)+SUMIF('Match History'!J:J,B36,'Match History'!L:L)+SUMIF('Match History'!N:N,B36,'Match History'!P:P)+SUMIF('Match History'!R:R,B36,'Match History'!T:T)+SUMIF('Match History'!V:V,B36,'Match History'!X:X)+SUMIF('Match History'!Z:Z,B36,'Match History'!AB:AB)+SUMIF('Match History'!AD:AD,B36,'Match History'!AF:AF)+SUMIF('Match History'!AH:AH,B36,'Match History'!AJ:AJ)+SUMIF('Match History'!AL:AL,B36,'Match History'!AN:AN)+SUMIF('Match History'!AV:AV,B36,'Match History'!AX:AX)+SUMIF('Match History'!AZ:AZ,B36,'Match History'!BB:BB)+SUMIF('Match History'!BD:BD,B36,'Match History'!BF:BF)+SUMIF('Match History'!BH:BH,B36,'Match History'!BJ:BJ))/IF(F36=0,1,F36)</f>
        <v>18.4298725</v>
      </c>
      <c r="P36" s="21">
        <f t="array" ref="P36">MAX(MAX(IF('Match History'!B:B=B36,'Match History'!D:D,)),MAX(IF('Match History'!F:F=B36,'Match History'!H:H,)),MAX(IF('Match History'!J:J=B36,'Match History'!L:L,)),MAX(IF('Match History'!N:N=B36,'Match History'!P:P,)),MAX(IF('Match History'!R:R=B36,'Match History'!T:T,)),MAX(IF('Match History'!V:V=B36,'Match History'!X:X,)),MAX(IF('Match History'!Z:Z=B36,'Match History'!AB:AB,)),MAX(IF('Match History'!AD:AD=B36,'Match History'!AF:AF,)),MAX(IF('Match History'!AH:AH=B36,'Match History'!AJ:AJ,)),MAX(IF('Match History'!AL:AL=B36,'Match History'!AN:AN,)),MAX(IF('Match History'!AV:AV=B36,'Match History'!AX:AX,)),MAX(IF('Match History'!AZ:AZ=B36,'Match History'!BB:BB,)),MAX(IF('Match History'!BD:BD=B36,'Match History'!BF:BF,)),MAX(IF('Match History'!BH:BH=B36,'Match History'!BJ:BJ,)))</f>
        <v>48</v>
      </c>
      <c r="Q36" s="21">
        <f t="array" ref="Q36">IF(F36=0,0,MIN(MIN(IF('Match History'!B:B=B36,'Match History'!D:D,999)),MIN(IF('Match History'!F:F=B36,'Match History'!H:H,999)),MIN(IF('Match History'!J:J=B36,'Match History'!L:L,999)),MIN(IF('Match History'!N:N=B36,'Match History'!P:P,999)),MIN(IF('Match History'!R:R=B36,'Match History'!T:T,999)),MIN(IF('Match History'!V:V=B36,'Match History'!X:X,999)),MIN(IF('Match History'!Z:Z=B36,'Match History'!AB:AB,999)),MIN(IF('Match History'!AD:AD=B36,'Match History'!AF:AF,999)),MIN(IF('Match History'!AH:AH=B36,'Match History'!AJ:AJ,999)),MIN(IF('Match History'!AL:AL=B36,'Match History'!AN:AN,999)),MIN(IF('Match History'!AV:AV=B36,'Match History'!AX:AX,999)),MIN(IF('Match History'!AZ:AZ=B36,'Match History'!BB:BB,999)),MIN(IF('Match History'!BD:BD=B36,'Match History'!BF:BF,999)),MIN(IF('Match History'!BH:BH=B36,'Match History'!BJ:BJ,999))))</f>
        <v>1</v>
      </c>
      <c r="R36" s="21">
        <f>COUNTIFS('Match History'!B:B,B36,'Match History'!A:A,"&gt;="&amp;(DATE(2022,12,31)-30))+COUNTIFS('Match History'!F:F,B36,'Match History'!A:A,"&gt;="&amp;(DATE(2022,12,31)-30))+COUNTIFS('Match History'!J:J,B36,'Match History'!A:A,"&gt;="&amp;(DATE(2022,12,31)-30))+COUNTIFS('Match History'!N:N,B36,'Match History'!A:A,"&gt;="&amp;(DATE(2022,12,31)-30))+COUNTIFS('Match History'!R:R,B36,'Match History'!A:A,"&gt;="&amp;(DATE(2022,12,31)-30))+COUNTIFS('Match History'!V:V,B36,'Match History'!A:A,"&gt;="&amp;(DATE(2022,12,31)-30))+COUNTIFS('Match History'!Z:Z,B36,'Match History'!A:A,"&gt;="&amp;(DATE(2022,12,31)-30))+COUNTIFS('Match History'!AD:AD,B36,'Match History'!A:A,"&gt;="&amp;(DATE(2022,12,31)-30))+COUNTIFS('Match History'!AH:AH,B36,'Match History'!A:A,"&gt;="&amp;(DATE(2022,12,31)-30))+COUNTIFS('Match History'!AL:AL,B36,'Match History'!A:A,"&gt;="&amp;(DATE(2022,12,31)-30))+COUNTIFS('Match History'!AV:AV,B36,'Match History'!A:A,"&gt;="&amp;(DATE(2022,12,31)-30))+COUNTIFS('Match History'!AZ:AZ,B36,'Match History'!A:A,"&gt;="&amp;(DATE(2022,12,31)-30))+COUNTIFS('Match History'!BD:BD,B36,'Match History'!A:A,"&gt;="&amp;(DATE(2022,12,31)-30))+COUNTIFS('Match History'!BH:BH,B36,'Match History'!A:A,"&gt;="&amp;(DATE(2022,12,31)-30))
</f>
        <v>40</v>
      </c>
      <c r="S36" s="21">
        <f>COUNTIFS('Match History'!B:B,B36,'Match History'!A:A,"&gt;="&amp;(DATE(2022,12,31)-365))+COUNTIFS('Match History'!F:F,B36,'Match History'!A:A,"&gt;="&amp;(DATE(2022,12,31)-365))+COUNTIFS('Match History'!J:J,B36,'Match History'!A:A,"&gt;="&amp;(DATE(2022,12,31)-365))+COUNTIFS('Match History'!N:N,B36,'Match History'!A:A,"&gt;="&amp;(DATE(2022,12,31)-365))+COUNTIFS('Match History'!R:R,B36,'Match History'!A:A,"&gt;="&amp;(DATE(2022,12,31)-365))+COUNTIFS('Match History'!V:V,B36,'Match History'!A:A,"&gt;="&amp;(DATE(2022,12,31)-365))+COUNTIFS('Match History'!Z:Z,B36,'Match History'!A:A,"&gt;="&amp;(DATE(2022,12,31)-365))+COUNTIFS('Match History'!AD:AD,B36,'Match History'!A:A,"&gt;="&amp;(DATE(2022,12,31)-365))+COUNTIFS('Match History'!AH:AH,B36,'Match History'!A:A,"&gt;="&amp;(DATE(2022,12,31)-365))+COUNTIFS('Match History'!AL:AL,B36,'Match History'!A:A,"&gt;="&amp;(DATE(2022,12,31)-365))+COUNTIFS('Match History'!AV:AV,B36,'Match History'!A:A,"&gt;="&amp;(DATE(2022,12,31)-365))+COUNTIFS('Match History'!AZ:AZ,B36,'Match History'!A:A,"&gt;="&amp;(DATE(2022,12,31)-365))+COUNTIFS('Match History'!BD:BD,B36,'Match History'!A:A,"&gt;="&amp;(DATE(2022,12,31)-365))+COUNTIFS('Match History'!BH:BH,B36,'Match History'!A:A,"&gt;="&amp;(DATE(2022,12,31)-365))
</f>
        <v>163</v>
      </c>
      <c r="T36" s="20">
        <f t="array" ref="T36">IF(F36=0,0,INDEX('Match History'!B:BK,MATCH(N36,'Match History'!A:A,0),MATCH(B36,INDEX('Match History'!B:BK,MATCH(N36,'Match History'!A:A,0),0),0)+3)-INDEX('Match History'!B:BK,MATCH(N36,'Match History'!A:A,0),MATCH(B36,INDEX('Match History'!B:BK,MATCH(N36,'Match History'!A:A,0),0),0)+1))</f>
        <v>1.658305479</v>
      </c>
      <c r="U36" s="21">
        <f>COUNTIFS('Match History'!B:B,B36,'Match History'!A:A,"&gt;="&amp;(DATE(2022,12,31)-92))
+COUNTIFS('Match History'!F:F,B36,'Match History'!A:A,"&gt;="&amp;(DATE(2022,12,31)-92))
+COUNTIFS('Match History'!J:J,B36,'Match History'!A:A,"&gt;="&amp;(DATE(2022,12,31)-92))
+COUNTIFS('Match History'!N:N,B36,'Match History'!A:A,"&gt;="&amp;(DATE(2022,12,31)-92))
+COUNTIFS('Match History'!R:R,B36,'Match History'!A:A,"&gt;="&amp;(DATE(2022,12,31)-92))
+COUNTIFS('Match History'!V:V,B36,'Match History'!A:A,"&gt;="&amp;(DATE(2022,12,31)-92))
+COUNTIFS('Match History'!Z:Z,B36,'Match History'!A:A,"&gt;="&amp;(DATE(2022,12,31)-92))
+COUNTIFS('Match History'!AD:AD,B36,'Match History'!A:A,"&gt;="&amp;(DATE(2022,12,31)-92))
+COUNTIFS('Match History'!AH:AH,B36,'Match History'!A:A,"&gt;="&amp;(DATE(2022,12,31)-92))
+COUNTIFS('Match History'!AL:AL,B36,'Match History'!A:A,"&gt;="&amp;(DATE(2022,12,31)-92))
+COUNTIFS('Match History'!AV:AV,B36,'Match History'!A:A,"&gt;="&amp;(DATE(2022,12,31)-92))
+COUNTIFS('Match History'!AZ:AZ,B36,'Match History'!A:A,"&gt;="&amp;(DATE(2022,12,31)-92))
+COUNTIFS('Match History'!BD:BD,B36,'Match History'!A:A,"&gt;="&amp;(DATE(2022,12,31)-92))
+COUNTIFS('Match History'!BH:BH,B36,'Match History'!A:A,"&gt;="&amp;(DATE(2022,12,31)-92))
</f>
        <v>95</v>
      </c>
      <c r="V36" s="20">
        <f>IF(U36=0,0,(SUMIFS('Match History'!D:D,'Match History'!A:A,"&gt;=10/01/2022 00:00",'Match History'!A:A,"&lt;=12/31/2022 23:59",'Match History'!B:B,B36)
+SUMIFS('Match History'!H:H,'Match History'!A:A,"&gt;=10/01/2022 00:00",'Match History'!A:A,"&lt;=12/31/2022 23:59",'Match History'!F:F,B36)
+SUMIFS('Match History'!L:L,'Match History'!A:A,"&gt;=10/01/2022 00:00",'Match History'!A:A,"&lt;=12/31/2022 23:59",'Match History'!J:J,B36)
+SUMIFS('Match History'!P:P,'Match History'!A:A,"&gt;=10/01/2022 00:00",'Match History'!A:A,"&lt;=12/31/2022 23:59",'Match History'!N:N,B36)
+SUMIFS('Match History'!T:T,'Match History'!A:A,"&gt;=10/01/2022 00:00",'Match History'!A:A,"&lt;=12/31/2022 23:59",'Match History'!R:R,B36)
+SUMIFS('Match History'!X:X,'Match History'!A:A,"&gt;=10/01/2022 00:00",'Match History'!A:A,"&lt;=12/31/2022 23:59",'Match History'!V:V,B36)
+SUMIFS('Match History'!AB:AB,'Match History'!A:A,"&gt;=10/01/2022 00:00",'Match History'!A:A,"&lt;=12/31/2022 23:59",'Match History'!Z:Z,B36)
+SUMIFS('Match History'!AF:AF,'Match History'!A:A,"&gt;=10/01/2022 00:00",'Match History'!A:A,"&lt;=12/31/2022 23:59",'Match History'!AD:AD,B36)
+SUMIFS('Match History'!AJ:AJ,'Match History'!A:A,"&gt;=10/01/2022 00:00",'Match History'!A:A,"&lt;=12/31/2022 23:59",'Match History'!AH:AH,B36)
+SUMIFS('Match History'!AN:AN,'Match History'!A:A,"&gt;=10/01/2022 00:00",'Match History'!A:A,"&lt;=12/31/2022 23:59",'Match History'!AL:AL,B36)
+SUMIFS('Match History'!AX:AX,'Match History'!A:A,"&gt;=10/01/2022 00:00",'Match History'!A:A,"&lt;=12/31/2022 23:59",'Match History'!AV:AV,B36)+SUMIFS('Match History'!BB:BB,'Match History'!A:A,"&gt;=10/01/2022 00:00",'Match History'!A:A,"&lt;=12/31/2022 23:59",'Match History'!AZ:AZ,B36)
+SUMIFS('Match History'!BF:BF,'Match History'!A:A,"&gt;=10/01/2022 00:00",'Match History'!A:A,"&lt;=12/31/2022 23:59",'Match History'!BD:BD,B36)
+SUMIFS('Match History'!BJ:BJ,'Match History'!A:A,"&gt;=10/01/2022 00:00",'Match History'!A:A,"&lt;=12/31/2022 23:59",'Match History'!BH:BH,B36))/U36)
</f>
        <v>19.18947368</v>
      </c>
    </row>
    <row r="37">
      <c r="A37" s="44" t="s">
        <v>108</v>
      </c>
      <c r="B37" s="44" t="s">
        <v>108</v>
      </c>
      <c r="C37" s="12">
        <v>927.9699365389916</v>
      </c>
      <c r="D37" s="49">
        <f>NORMDIST(C37,1000,STDEV(Players!$C$2:$C$39)+0.00001,TRUE)</f>
        <v>0.1915538162</v>
      </c>
      <c r="E37" s="46"/>
      <c r="F37" s="47">
        <f>COUNTIF('Match History'!A:BK,"kurier")</f>
        <v>106</v>
      </c>
      <c r="G37" s="58" t="s">
        <v>24</v>
      </c>
      <c r="H37" s="54" t="s">
        <v>93</v>
      </c>
      <c r="I37" s="81" t="s">
        <v>29</v>
      </c>
      <c r="J37" s="30">
        <v>1.0</v>
      </c>
      <c r="K37" s="43">
        <v>3.0</v>
      </c>
      <c r="L37" s="18" t="b">
        <f t="shared" si="2"/>
        <v>1</v>
      </c>
      <c r="M37" s="17" t="b">
        <v>0</v>
      </c>
      <c r="N37" s="19">
        <f t="array" ref="N37">IF(F37=0, "no war", INDEX('Match History'!A:A, MAX(MAX(('Match History'!B:B=B37)*(ROW('Match History'!B:B))),MAX(('Match History'!F:F=B37)*(ROW('Match History'!F:F))),MAX(('Match History'!J:J=B37)*(ROW('Match History'!J:J))),MAX(('Match History'!N:N=B37)*(ROW('Match History'!N:N))),MAX(('Match History'!R:R=B37)*(ROW('Match History'!R:R))),MAX(('Match History'!V:V=B37)*(ROW('Match History'!V:V))),MAX(('Match History'!Z:Z=B37)*(ROW('Match History'!Z:Z))),MAX(('Match History'!AD:AD=B37)*(ROW('Match History'!AD:AD))),MAX(('Match History'!AH:AH=B37)*(ROW('Match History'!AH:AH))),MAX(('Match History'!AL:AL=B37)*(ROW('Match History'!AL:AL))),MAX(('Match History'!AV:AV=B37)*(ROW('Match History'!AV:AV))),MAX(('Match History'!AZ:AZ=B37)*(ROW('Match History'!AZ:AZ))),MAX(('Match History'!BD:BD=B37)*(ROW('Match History'!BD:BD))),MAX(('Match History'!BH:BH=B37)*(ROW('Match History'!BH:BH)))), 1))
</f>
        <v>44925.92524</v>
      </c>
      <c r="O37" s="20">
        <f>(SUMIF('Match History'!B:B,B37,'Match History'!D:D)+SUMIF('Match History'!F:F,B37,'Match History'!H:H)+SUMIF('Match History'!J:J,B37,'Match History'!L:L)+SUMIF('Match History'!N:N,B37,'Match History'!P:P)+SUMIF('Match History'!R:R,B37,'Match History'!T:T)+SUMIF('Match History'!V:V,B37,'Match History'!X:X)+SUMIF('Match History'!Z:Z,B37,'Match History'!AB:AB)+SUMIF('Match History'!AD:AD,B37,'Match History'!AF:AF)+SUMIF('Match History'!AH:AH,B37,'Match History'!AJ:AJ)+SUMIF('Match History'!AL:AL,B37,'Match History'!AN:AN)+SUMIF('Match History'!AV:AV,B37,'Match History'!AX:AX)+SUMIF('Match History'!AZ:AZ,B37,'Match History'!BB:BB)+SUMIF('Match History'!BD:BD,B37,'Match History'!BF:BF)+SUMIF('Match History'!BH:BH,B37,'Match History'!BJ:BJ))/IF(F37=0,1,F37)</f>
        <v>14.72641509</v>
      </c>
      <c r="P37" s="21">
        <f t="array" ref="P37">MAX(MAX(IF('Match History'!B:B=B37,'Match History'!D:D,)),MAX(IF('Match History'!F:F=B37,'Match History'!H:H,)),MAX(IF('Match History'!J:J=B37,'Match History'!L:L,)),MAX(IF('Match History'!N:N=B37,'Match History'!P:P,)),MAX(IF('Match History'!R:R=B37,'Match History'!T:T,)),MAX(IF('Match History'!V:V=B37,'Match History'!X:X,)),MAX(IF('Match History'!Z:Z=B37,'Match History'!AB:AB,)),MAX(IF('Match History'!AD:AD=B37,'Match History'!AF:AF,)),MAX(IF('Match History'!AH:AH=B37,'Match History'!AJ:AJ,)),MAX(IF('Match History'!AL:AL=B37,'Match History'!AN:AN,)),MAX(IF('Match History'!AV:AV=B37,'Match History'!AX:AX,)),MAX(IF('Match History'!AZ:AZ=B37,'Match History'!BB:BB,)),MAX(IF('Match History'!BD:BD=B37,'Match History'!BF:BF,)),MAX(IF('Match History'!BH:BH=B37,'Match History'!BJ:BJ,)))</f>
        <v>29</v>
      </c>
      <c r="Q37" s="21">
        <f t="array" ref="Q37">IF(F37=0,0,MIN(MIN(IF('Match History'!B:B=B37,'Match History'!D:D,999)),MIN(IF('Match History'!F:F=B37,'Match History'!H:H,999)),MIN(IF('Match History'!J:J=B37,'Match History'!L:L,999)),MIN(IF('Match History'!N:N=B37,'Match History'!P:P,999)),MIN(IF('Match History'!R:R=B37,'Match History'!T:T,999)),MIN(IF('Match History'!V:V=B37,'Match History'!X:X,999)),MIN(IF('Match History'!Z:Z=B37,'Match History'!AB:AB,999)),MIN(IF('Match History'!AD:AD=B37,'Match History'!AF:AF,999)),MIN(IF('Match History'!AH:AH=B37,'Match History'!AJ:AJ,999)),MIN(IF('Match History'!AL:AL=B37,'Match History'!AN:AN,999)),MIN(IF('Match History'!AV:AV=B37,'Match History'!AX:AX,999)),MIN(IF('Match History'!AZ:AZ=B37,'Match History'!BB:BB,999)),MIN(IF('Match History'!BD:BD=B37,'Match History'!BF:BF,999)),MIN(IF('Match History'!BH:BH=B37,'Match History'!BJ:BJ,999))))</f>
        <v>4</v>
      </c>
      <c r="R37" s="21">
        <f>COUNTIFS('Match History'!B:B,B37,'Match History'!A:A,"&gt;="&amp;(DATE(2022,12,31)-30))+COUNTIFS('Match History'!F:F,B37,'Match History'!A:A,"&gt;="&amp;(DATE(2022,12,31)-30))+COUNTIFS('Match History'!J:J,B37,'Match History'!A:A,"&gt;="&amp;(DATE(2022,12,31)-30))+COUNTIFS('Match History'!N:N,B37,'Match History'!A:A,"&gt;="&amp;(DATE(2022,12,31)-30))+COUNTIFS('Match History'!R:R,B37,'Match History'!A:A,"&gt;="&amp;(DATE(2022,12,31)-30))+COUNTIFS('Match History'!V:V,B37,'Match History'!A:A,"&gt;="&amp;(DATE(2022,12,31)-30))+COUNTIFS('Match History'!Z:Z,B37,'Match History'!A:A,"&gt;="&amp;(DATE(2022,12,31)-30))+COUNTIFS('Match History'!AD:AD,B37,'Match History'!A:A,"&gt;="&amp;(DATE(2022,12,31)-30))+COUNTIFS('Match History'!AH:AH,B37,'Match History'!A:A,"&gt;="&amp;(DATE(2022,12,31)-30))+COUNTIFS('Match History'!AL:AL,B37,'Match History'!A:A,"&gt;="&amp;(DATE(2022,12,31)-30))+COUNTIFS('Match History'!AV:AV,B37,'Match History'!A:A,"&gt;="&amp;(DATE(2022,12,31)-30))+COUNTIFS('Match History'!AZ:AZ,B37,'Match History'!A:A,"&gt;="&amp;(DATE(2022,12,31)-30))+COUNTIFS('Match History'!BD:BD,B37,'Match History'!A:A,"&gt;="&amp;(DATE(2022,12,31)-30))+COUNTIFS('Match History'!BH:BH,B37,'Match History'!A:A,"&gt;="&amp;(DATE(2022,12,31)-30))
</f>
        <v>2</v>
      </c>
      <c r="S37" s="21">
        <f>COUNTIFS('Match History'!B:B,B37,'Match History'!A:A,"&gt;="&amp;(DATE(2022,12,31)-365))+COUNTIFS('Match History'!F:F,B37,'Match History'!A:A,"&gt;="&amp;(DATE(2022,12,31)-365))+COUNTIFS('Match History'!J:J,B37,'Match History'!A:A,"&gt;="&amp;(DATE(2022,12,31)-365))+COUNTIFS('Match History'!N:N,B37,'Match History'!A:A,"&gt;="&amp;(DATE(2022,12,31)-365))+COUNTIFS('Match History'!R:R,B37,'Match History'!A:A,"&gt;="&amp;(DATE(2022,12,31)-365))+COUNTIFS('Match History'!V:V,B37,'Match History'!A:A,"&gt;="&amp;(DATE(2022,12,31)-365))+COUNTIFS('Match History'!Z:Z,B37,'Match History'!A:A,"&gt;="&amp;(DATE(2022,12,31)-365))+COUNTIFS('Match History'!AD:AD,B37,'Match History'!A:A,"&gt;="&amp;(DATE(2022,12,31)-365))+COUNTIFS('Match History'!AH:AH,B37,'Match History'!A:A,"&gt;="&amp;(DATE(2022,12,31)-365))+COUNTIFS('Match History'!AL:AL,B37,'Match History'!A:A,"&gt;="&amp;(DATE(2022,12,31)-365))+COUNTIFS('Match History'!AV:AV,B37,'Match History'!A:A,"&gt;="&amp;(DATE(2022,12,31)-365))+COUNTIFS('Match History'!AZ:AZ,B37,'Match History'!A:A,"&gt;="&amp;(DATE(2022,12,31)-365))+COUNTIFS('Match History'!BD:BD,B37,'Match History'!A:A,"&gt;="&amp;(DATE(2022,12,31)-365))+COUNTIFS('Match History'!BH:BH,B37,'Match History'!A:A,"&gt;="&amp;(DATE(2022,12,31)-365))
</f>
        <v>85</v>
      </c>
      <c r="T37" s="20">
        <f t="array" ref="T37">IF(F37=0,0,INDEX('Match History'!B:BK,MATCH(N37,'Match History'!A:A,0),MATCH(B37,INDEX('Match History'!B:BK,MATCH(N37,'Match History'!A:A,0),0),0)+3)-INDEX('Match History'!B:BK,MATCH(N37,'Match History'!A:A,0),MATCH(B37,INDEX('Match History'!B:BK,MATCH(N37,'Match History'!A:A,0),0),0)+1))</f>
        <v>-5.680063461</v>
      </c>
      <c r="U37" s="21">
        <f>COUNTIFS('Match History'!B:B,B37,'Match History'!A:A,"&gt;="&amp;(DATE(2022,12,31)-92))
+COUNTIFS('Match History'!F:F,B37,'Match History'!A:A,"&gt;="&amp;(DATE(2022,12,31)-92))
+COUNTIFS('Match History'!J:J,B37,'Match History'!A:A,"&gt;="&amp;(DATE(2022,12,31)-92))
+COUNTIFS('Match History'!N:N,B37,'Match History'!A:A,"&gt;="&amp;(DATE(2022,12,31)-92))
+COUNTIFS('Match History'!R:R,B37,'Match History'!A:A,"&gt;="&amp;(DATE(2022,12,31)-92))
+COUNTIFS('Match History'!V:V,B37,'Match History'!A:A,"&gt;="&amp;(DATE(2022,12,31)-92))
+COUNTIFS('Match History'!Z:Z,B37,'Match History'!A:A,"&gt;="&amp;(DATE(2022,12,31)-92))
+COUNTIFS('Match History'!AD:AD,B37,'Match History'!A:A,"&gt;="&amp;(DATE(2022,12,31)-92))
+COUNTIFS('Match History'!AH:AH,B37,'Match History'!A:A,"&gt;="&amp;(DATE(2022,12,31)-92))
+COUNTIFS('Match History'!AL:AL,B37,'Match History'!A:A,"&gt;="&amp;(DATE(2022,12,31)-92))
+COUNTIFS('Match History'!AV:AV,B37,'Match History'!A:A,"&gt;="&amp;(DATE(2022,12,31)-92))
+COUNTIFS('Match History'!AZ:AZ,B37,'Match History'!A:A,"&gt;="&amp;(DATE(2022,12,31)-92))
+COUNTIFS('Match History'!BD:BD,B37,'Match History'!A:A,"&gt;="&amp;(DATE(2022,12,31)-92))
+COUNTIFS('Match History'!BH:BH,B37,'Match History'!A:A,"&gt;="&amp;(DATE(2022,12,31)-92))
</f>
        <v>13</v>
      </c>
      <c r="V37" s="20">
        <f>IF(U37=0,0,(SUMIFS('Match History'!D:D,'Match History'!A:A,"&gt;=10/01/2022 00:00",'Match History'!A:A,"&lt;=12/31/2022 23:59",'Match History'!B:B,B37)
+SUMIFS('Match History'!H:H,'Match History'!A:A,"&gt;=10/01/2022 00:00",'Match History'!A:A,"&lt;=12/31/2022 23:59",'Match History'!F:F,B37)
+SUMIFS('Match History'!L:L,'Match History'!A:A,"&gt;=10/01/2022 00:00",'Match History'!A:A,"&lt;=12/31/2022 23:59",'Match History'!J:J,B37)
+SUMIFS('Match History'!P:P,'Match History'!A:A,"&gt;=10/01/2022 00:00",'Match History'!A:A,"&lt;=12/31/2022 23:59",'Match History'!N:N,B37)
+SUMIFS('Match History'!T:T,'Match History'!A:A,"&gt;=10/01/2022 00:00",'Match History'!A:A,"&lt;=12/31/2022 23:59",'Match History'!R:R,B37)
+SUMIFS('Match History'!X:X,'Match History'!A:A,"&gt;=10/01/2022 00:00",'Match History'!A:A,"&lt;=12/31/2022 23:59",'Match History'!V:V,B37)
+SUMIFS('Match History'!AB:AB,'Match History'!A:A,"&gt;=10/01/2022 00:00",'Match History'!A:A,"&lt;=12/31/2022 23:59",'Match History'!Z:Z,B37)
+SUMIFS('Match History'!AF:AF,'Match History'!A:A,"&gt;=10/01/2022 00:00",'Match History'!A:A,"&lt;=12/31/2022 23:59",'Match History'!AD:AD,B37)
+SUMIFS('Match History'!AJ:AJ,'Match History'!A:A,"&gt;=10/01/2022 00:00",'Match History'!A:A,"&lt;=12/31/2022 23:59",'Match History'!AH:AH,B37)
+SUMIFS('Match History'!AN:AN,'Match History'!A:A,"&gt;=10/01/2022 00:00",'Match History'!A:A,"&lt;=12/31/2022 23:59",'Match History'!AL:AL,B37)
+SUMIFS('Match History'!AX:AX,'Match History'!A:A,"&gt;=10/01/2022 00:00",'Match History'!A:A,"&lt;=12/31/2022 23:59",'Match History'!AV:AV,B37)+SUMIFS('Match History'!BB:BB,'Match History'!A:A,"&gt;=10/01/2022 00:00",'Match History'!A:A,"&lt;=12/31/2022 23:59",'Match History'!AZ:AZ,B37)
+SUMIFS('Match History'!BF:BF,'Match History'!A:A,"&gt;=10/01/2022 00:00",'Match History'!A:A,"&lt;=12/31/2022 23:59",'Match History'!BD:BD,B37)
+SUMIFS('Match History'!BJ:BJ,'Match History'!A:A,"&gt;=10/01/2022 00:00",'Match History'!A:A,"&lt;=12/31/2022 23:59",'Match History'!BH:BH,B37))/U37)
</f>
        <v>12.23076923</v>
      </c>
    </row>
    <row r="38" ht="21.0" customHeight="1">
      <c r="A38" s="44" t="s">
        <v>109</v>
      </c>
      <c r="B38" s="44" t="s">
        <v>110</v>
      </c>
      <c r="C38" s="12">
        <v>927.7556622785306</v>
      </c>
      <c r="D38" s="52">
        <f>NORMDIST(C38,1000,STDEV(Players!$C$2:$C$39)+0.00001,TRUE)</f>
        <v>0.1908470143</v>
      </c>
      <c r="F38" s="75">
        <f>COUNTIF('Match History'!A:BK,"omega")</f>
        <v>343</v>
      </c>
      <c r="G38" s="58" t="s">
        <v>24</v>
      </c>
      <c r="H38" s="43" t="s">
        <v>29</v>
      </c>
      <c r="I38" s="29" t="s">
        <v>29</v>
      </c>
      <c r="J38" s="38">
        <v>1.0</v>
      </c>
      <c r="K38" s="81">
        <v>2.0</v>
      </c>
      <c r="L38" s="18" t="b">
        <f t="shared" si="2"/>
        <v>1</v>
      </c>
      <c r="M38" s="17" t="b">
        <v>0</v>
      </c>
      <c r="N38" s="19">
        <f t="array" ref="N38">IF(F38=0, "no war", INDEX('Match History'!A:A, MAX(MAX(('Match History'!B:B=B38)*(ROW('Match History'!B:B))),MAX(('Match History'!F:F=B38)*(ROW('Match History'!F:F))),MAX(('Match History'!J:J=B38)*(ROW('Match History'!J:J))),MAX(('Match History'!N:N=B38)*(ROW('Match History'!N:N))),MAX(('Match History'!R:R=B38)*(ROW('Match History'!R:R))),MAX(('Match History'!V:V=B38)*(ROW('Match History'!V:V))),MAX(('Match History'!Z:Z=B38)*(ROW('Match History'!Z:Z))),MAX(('Match History'!AD:AD=B38)*(ROW('Match History'!AD:AD))),MAX(('Match History'!AH:AH=B38)*(ROW('Match History'!AH:AH))),MAX(('Match History'!AL:AL=B38)*(ROW('Match History'!AL:AL))),MAX(('Match History'!AV:AV=B38)*(ROW('Match History'!AV:AV))),MAX(('Match History'!AZ:AZ=B38)*(ROW('Match History'!AZ:AZ))),MAX(('Match History'!BD:BD=B38)*(ROW('Match History'!BD:BD))),MAX(('Match History'!BH:BH=B38)*(ROW('Match History'!BH:BH)))), 1))
</f>
        <v>44926.11415</v>
      </c>
      <c r="O38" s="20">
        <f>(SUMIF('Match History'!B:B,B38,'Match History'!D:D)+SUMIF('Match History'!F:F,B38,'Match History'!H:H)+SUMIF('Match History'!J:J,B38,'Match History'!L:L)+SUMIF('Match History'!N:N,B38,'Match History'!P:P)+SUMIF('Match History'!R:R,B38,'Match History'!T:T)+SUMIF('Match History'!V:V,B38,'Match History'!X:X)+SUMIF('Match History'!Z:Z,B38,'Match History'!AB:AB)+SUMIF('Match History'!AD:AD,B38,'Match History'!AF:AF)+SUMIF('Match History'!AH:AH,B38,'Match History'!AJ:AJ)+SUMIF('Match History'!AL:AL,B38,'Match History'!AN:AN)+SUMIF('Match History'!AV:AV,B38,'Match History'!AX:AX)+SUMIF('Match History'!AZ:AZ,B38,'Match History'!BB:BB)+SUMIF('Match History'!BD:BD,B38,'Match History'!BF:BF)+SUMIF('Match History'!BH:BH,B38,'Match History'!BJ:BJ))/IF(F38=0,1,F38)</f>
        <v>18.88338192</v>
      </c>
      <c r="P38" s="21">
        <f t="array" ref="P38">MAX(MAX(IF('Match History'!B:B=B38,'Match History'!D:D,)),MAX(IF('Match History'!F:F=B38,'Match History'!H:H,)),MAX(IF('Match History'!J:J=B38,'Match History'!L:L,)),MAX(IF('Match History'!N:N=B38,'Match History'!P:P,)),MAX(IF('Match History'!R:R=B38,'Match History'!T:T,)),MAX(IF('Match History'!V:V=B38,'Match History'!X:X,)),MAX(IF('Match History'!Z:Z=B38,'Match History'!AB:AB,)),MAX(IF('Match History'!AD:AD=B38,'Match History'!AF:AF,)),MAX(IF('Match History'!AH:AH=B38,'Match History'!AJ:AJ,)),MAX(IF('Match History'!AL:AL=B38,'Match History'!AN:AN,)),MAX(IF('Match History'!AV:AV=B38,'Match History'!AX:AX,)),MAX(IF('Match History'!AZ:AZ=B38,'Match History'!BB:BB,)),MAX(IF('Match History'!BD:BD=B38,'Match History'!BF:BF,)),MAX(IF('Match History'!BH:BH=B38,'Match History'!BJ:BJ,)))</f>
        <v>43</v>
      </c>
      <c r="Q38" s="21">
        <f t="array" ref="Q38">IF(F38=0,0,MIN(MIN(IF('Match History'!B:B=B38,'Match History'!D:D,999)),MIN(IF('Match History'!F:F=B38,'Match History'!H:H,999)),MIN(IF('Match History'!J:J=B38,'Match History'!L:L,999)),MIN(IF('Match History'!N:N=B38,'Match History'!P:P,999)),MIN(IF('Match History'!R:R=B38,'Match History'!T:T,999)),MIN(IF('Match History'!V:V=B38,'Match History'!X:X,999)),MIN(IF('Match History'!Z:Z=B38,'Match History'!AB:AB,999)),MIN(IF('Match History'!AD:AD=B38,'Match History'!AF:AF,999)),MIN(IF('Match History'!AH:AH=B38,'Match History'!AJ:AJ,999)),MIN(IF('Match History'!AL:AL=B38,'Match History'!AN:AN,999)),MIN(IF('Match History'!AV:AV=B38,'Match History'!AX:AX,999)),MIN(IF('Match History'!AZ:AZ=B38,'Match History'!BB:BB,999)),MIN(IF('Match History'!BD:BD=B38,'Match History'!BF:BF,999)),MIN(IF('Match History'!BH:BH=B38,'Match History'!BJ:BJ,999))))</f>
        <v>5</v>
      </c>
      <c r="R38" s="21">
        <f>COUNTIFS('Match History'!B:B,B38,'Match History'!A:A,"&gt;="&amp;(DATE(2022,12,31)-30))+COUNTIFS('Match History'!F:F,B38,'Match History'!A:A,"&gt;="&amp;(DATE(2022,12,31)-30))+COUNTIFS('Match History'!J:J,B38,'Match History'!A:A,"&gt;="&amp;(DATE(2022,12,31)-30))+COUNTIFS('Match History'!N:N,B38,'Match History'!A:A,"&gt;="&amp;(DATE(2022,12,31)-30))+COUNTIFS('Match History'!R:R,B38,'Match History'!A:A,"&gt;="&amp;(DATE(2022,12,31)-30))+COUNTIFS('Match History'!V:V,B38,'Match History'!A:A,"&gt;="&amp;(DATE(2022,12,31)-30))+COUNTIFS('Match History'!Z:Z,B38,'Match History'!A:A,"&gt;="&amp;(DATE(2022,12,31)-30))+COUNTIFS('Match History'!AD:AD,B38,'Match History'!A:A,"&gt;="&amp;(DATE(2022,12,31)-30))+COUNTIFS('Match History'!AH:AH,B38,'Match History'!A:A,"&gt;="&amp;(DATE(2022,12,31)-30))+COUNTIFS('Match History'!AL:AL,B38,'Match History'!A:A,"&gt;="&amp;(DATE(2022,12,31)-30))+COUNTIFS('Match History'!AV:AV,B38,'Match History'!A:A,"&gt;="&amp;(DATE(2022,12,31)-30))+COUNTIFS('Match History'!AZ:AZ,B38,'Match History'!A:A,"&gt;="&amp;(DATE(2022,12,31)-30))+COUNTIFS('Match History'!BD:BD,B38,'Match History'!A:A,"&gt;="&amp;(DATE(2022,12,31)-30))+COUNTIFS('Match History'!BH:BH,B38,'Match History'!A:A,"&gt;="&amp;(DATE(2022,12,31)-30))
</f>
        <v>11</v>
      </c>
      <c r="S38" s="21">
        <f>COUNTIFS('Match History'!B:B,B38,'Match History'!A:A,"&gt;="&amp;(DATE(2022,12,31)-365))+COUNTIFS('Match History'!F:F,B38,'Match History'!A:A,"&gt;="&amp;(DATE(2022,12,31)-365))+COUNTIFS('Match History'!J:J,B38,'Match History'!A:A,"&gt;="&amp;(DATE(2022,12,31)-365))+COUNTIFS('Match History'!N:N,B38,'Match History'!A:A,"&gt;="&amp;(DATE(2022,12,31)-365))+COUNTIFS('Match History'!R:R,B38,'Match History'!A:A,"&gt;="&amp;(DATE(2022,12,31)-365))+COUNTIFS('Match History'!V:V,B38,'Match History'!A:A,"&gt;="&amp;(DATE(2022,12,31)-365))+COUNTIFS('Match History'!Z:Z,B38,'Match History'!A:A,"&gt;="&amp;(DATE(2022,12,31)-365))+COUNTIFS('Match History'!AD:AD,B38,'Match History'!A:A,"&gt;="&amp;(DATE(2022,12,31)-365))+COUNTIFS('Match History'!AH:AH,B38,'Match History'!A:A,"&gt;="&amp;(DATE(2022,12,31)-365))+COUNTIFS('Match History'!AL:AL,B38,'Match History'!A:A,"&gt;="&amp;(DATE(2022,12,31)-365))+COUNTIFS('Match History'!AV:AV,B38,'Match History'!A:A,"&gt;="&amp;(DATE(2022,12,31)-365))+COUNTIFS('Match History'!AZ:AZ,B38,'Match History'!A:A,"&gt;="&amp;(DATE(2022,12,31)-365))+COUNTIFS('Match History'!BD:BD,B38,'Match History'!A:A,"&gt;="&amp;(DATE(2022,12,31)-365))+COUNTIFS('Match History'!BH:BH,B38,'Match History'!A:A,"&gt;="&amp;(DATE(2022,12,31)-365))
</f>
        <v>135</v>
      </c>
      <c r="T38" s="20">
        <f t="array" ref="T38">IF(F38=0,0,INDEX('Match History'!B:BK,MATCH(N38,'Match History'!A:A,0),MATCH(B38,INDEX('Match History'!B:BK,MATCH(N38,'Match History'!A:A,0),0),0)+3)-INDEX('Match History'!B:BK,MATCH(N38,'Match History'!A:A,0),MATCH(B38,INDEX('Match History'!B:BK,MATCH(N38,'Match History'!A:A,0),0),0)+1))</f>
        <v>-7.177015678</v>
      </c>
      <c r="U38" s="21">
        <f>COUNTIFS('Match History'!B:B,B38,'Match History'!A:A,"&gt;="&amp;(DATE(2022,12,31)-92))
+COUNTIFS('Match History'!F:F,B38,'Match History'!A:A,"&gt;="&amp;(DATE(2022,12,31)-92))
+COUNTIFS('Match History'!J:J,B38,'Match History'!A:A,"&gt;="&amp;(DATE(2022,12,31)-92))
+COUNTIFS('Match History'!N:N,B38,'Match History'!A:A,"&gt;="&amp;(DATE(2022,12,31)-92))
+COUNTIFS('Match History'!R:R,B38,'Match History'!A:A,"&gt;="&amp;(DATE(2022,12,31)-92))
+COUNTIFS('Match History'!V:V,B38,'Match History'!A:A,"&gt;="&amp;(DATE(2022,12,31)-92))
+COUNTIFS('Match History'!Z:Z,B38,'Match History'!A:A,"&gt;="&amp;(DATE(2022,12,31)-92))
+COUNTIFS('Match History'!AD:AD,B38,'Match History'!A:A,"&gt;="&amp;(DATE(2022,12,31)-92))
+COUNTIFS('Match History'!AH:AH,B38,'Match History'!A:A,"&gt;="&amp;(DATE(2022,12,31)-92))
+COUNTIFS('Match History'!AL:AL,B38,'Match History'!A:A,"&gt;="&amp;(DATE(2022,12,31)-92))
+COUNTIFS('Match History'!AV:AV,B38,'Match History'!A:A,"&gt;="&amp;(DATE(2022,12,31)-92))
+COUNTIFS('Match History'!AZ:AZ,B38,'Match History'!A:A,"&gt;="&amp;(DATE(2022,12,31)-92))
+COUNTIFS('Match History'!BD:BD,B38,'Match History'!A:A,"&gt;="&amp;(DATE(2022,12,31)-92))
+COUNTIFS('Match History'!BH:BH,B38,'Match History'!A:A,"&gt;="&amp;(DATE(2022,12,31)-92))
</f>
        <v>50</v>
      </c>
      <c r="V38" s="20">
        <f>IF(U38=0,0,(SUMIFS('Match History'!D:D,'Match History'!A:A,"&gt;=10/01/2022 00:00",'Match History'!A:A,"&lt;=12/31/2022 23:59",'Match History'!B:B,B38)
+SUMIFS('Match History'!H:H,'Match History'!A:A,"&gt;=10/01/2022 00:00",'Match History'!A:A,"&lt;=12/31/2022 23:59",'Match History'!F:F,B38)
+SUMIFS('Match History'!L:L,'Match History'!A:A,"&gt;=10/01/2022 00:00",'Match History'!A:A,"&lt;=12/31/2022 23:59",'Match History'!J:J,B38)
+SUMIFS('Match History'!P:P,'Match History'!A:A,"&gt;=10/01/2022 00:00",'Match History'!A:A,"&lt;=12/31/2022 23:59",'Match History'!N:N,B38)
+SUMIFS('Match History'!T:T,'Match History'!A:A,"&gt;=10/01/2022 00:00",'Match History'!A:A,"&lt;=12/31/2022 23:59",'Match History'!R:R,B38)
+SUMIFS('Match History'!X:X,'Match History'!A:A,"&gt;=10/01/2022 00:00",'Match History'!A:A,"&lt;=12/31/2022 23:59",'Match History'!V:V,B38)
+SUMIFS('Match History'!AB:AB,'Match History'!A:A,"&gt;=10/01/2022 00:00",'Match History'!A:A,"&lt;=12/31/2022 23:59",'Match History'!Z:Z,B38)
+SUMIFS('Match History'!AF:AF,'Match History'!A:A,"&gt;=10/01/2022 00:00",'Match History'!A:A,"&lt;=12/31/2022 23:59",'Match History'!AD:AD,B38)
+SUMIFS('Match History'!AJ:AJ,'Match History'!A:A,"&gt;=10/01/2022 00:00",'Match History'!A:A,"&lt;=12/31/2022 23:59",'Match History'!AH:AH,B38)
+SUMIFS('Match History'!AN:AN,'Match History'!A:A,"&gt;=10/01/2022 00:00",'Match History'!A:A,"&lt;=12/31/2022 23:59",'Match History'!AL:AL,B38)
+SUMIFS('Match History'!AX:AX,'Match History'!A:A,"&gt;=10/01/2022 00:00",'Match History'!A:A,"&lt;=12/31/2022 23:59",'Match History'!AV:AV,B38)+SUMIFS('Match History'!BB:BB,'Match History'!A:A,"&gt;=10/01/2022 00:00",'Match History'!A:A,"&lt;=12/31/2022 23:59",'Match History'!AZ:AZ,B38)
+SUMIFS('Match History'!BF:BF,'Match History'!A:A,"&gt;=10/01/2022 00:00",'Match History'!A:A,"&lt;=12/31/2022 23:59",'Match History'!BD:BD,B38)
+SUMIFS('Match History'!BJ:BJ,'Match History'!A:A,"&gt;=10/01/2022 00:00",'Match History'!A:A,"&lt;=12/31/2022 23:59",'Match History'!BH:BH,B38))/U38)
</f>
        <v>18.3</v>
      </c>
    </row>
    <row r="39" ht="21.0" customHeight="1">
      <c r="A39" s="84" t="s">
        <v>111</v>
      </c>
      <c r="B39" s="85" t="s">
        <v>112</v>
      </c>
      <c r="C39" s="12">
        <v>923.9788714413345</v>
      </c>
      <c r="D39" s="49">
        <f>NORMDIST(C39,1000,STDEV($C$2:$C$39)+0.00001,TRUE)</f>
        <v>0.1786528995</v>
      </c>
      <c r="E39" s="46"/>
      <c r="F39" s="53">
        <f>COUNTIF('Match History'!A:BK,"illusion")</f>
        <v>958</v>
      </c>
      <c r="G39" s="48" t="s">
        <v>113</v>
      </c>
      <c r="H39" s="43" t="s">
        <v>114</v>
      </c>
      <c r="I39" s="29" t="s">
        <v>29</v>
      </c>
      <c r="J39" s="43">
        <v>1.0</v>
      </c>
      <c r="K39" s="43">
        <v>3.0</v>
      </c>
      <c r="L39" s="18" t="b">
        <f t="shared" si="2"/>
        <v>1</v>
      </c>
      <c r="M39" s="17" t="b">
        <v>0</v>
      </c>
      <c r="N39" s="19">
        <f t="array" ref="N39">IF(F39=0, "no war", INDEX('Match History'!A:A, MAX(MAX(('Match History'!B:B=B39)*(ROW('Match History'!B:B))),MAX(('Match History'!F:F=B39)*(ROW('Match History'!F:F))),MAX(('Match History'!J:J=B39)*(ROW('Match History'!J:J))),MAX(('Match History'!N:N=B39)*(ROW('Match History'!N:N))),MAX(('Match History'!R:R=B39)*(ROW('Match History'!R:R))),MAX(('Match History'!V:V=B39)*(ROW('Match History'!V:V))),MAX(('Match History'!Z:Z=B39)*(ROW('Match History'!Z:Z))),MAX(('Match History'!AD:AD=B39)*(ROW('Match History'!AD:AD))),MAX(('Match History'!AH:AH=B39)*(ROW('Match History'!AH:AH))),MAX(('Match History'!AL:AL=B39)*(ROW('Match History'!AL:AL))),MAX(('Match History'!AV:AV=B39)*(ROW('Match History'!AV:AV))),MAX(('Match History'!AZ:AZ=B39)*(ROW('Match History'!AZ:AZ))),MAX(('Match History'!BD:BD=B39)*(ROW('Match History'!BD:BD))),MAX(('Match History'!BH:BH=B39)*(ROW('Match History'!BH:BH)))), 1))
</f>
        <v>44926.06349</v>
      </c>
      <c r="O39" s="20">
        <f>(SUMIF('Match History'!B:B,B39,'Match History'!D:D)+SUMIF('Match History'!F:F,B39,'Match History'!H:H)+SUMIF('Match History'!J:J,B39,'Match History'!L:L)+SUMIF('Match History'!N:N,B39,'Match History'!P:P)+SUMIF('Match History'!R:R,B39,'Match History'!T:T)+SUMIF('Match History'!V:V,B39,'Match History'!X:X)+SUMIF('Match History'!Z:Z,B39,'Match History'!AB:AB)+SUMIF('Match History'!AD:AD,B39,'Match History'!AF:AF)+SUMIF('Match History'!AH:AH,B39,'Match History'!AJ:AJ)+SUMIF('Match History'!AL:AL,B39,'Match History'!AN:AN)+SUMIF('Match History'!AV:AV,B39,'Match History'!AX:AX)+SUMIF('Match History'!AZ:AZ,B39,'Match History'!BB:BB)+SUMIF('Match History'!BD:BD,B39,'Match History'!BF:BF)+SUMIF('Match History'!BH:BH,B39,'Match History'!BJ:BJ))/IF(F39=0,1,F39)</f>
        <v>20.53549061</v>
      </c>
      <c r="P39" s="21">
        <f t="array" ref="P39">MAX(MAX(IF('Match History'!B:B=B39,'Match History'!D:D,)),MAX(IF('Match History'!F:F=B39,'Match History'!H:H,)),MAX(IF('Match History'!J:J=B39,'Match History'!L:L,)),MAX(IF('Match History'!N:N=B39,'Match History'!P:P,)),MAX(IF('Match History'!R:R=B39,'Match History'!T:T,)),MAX(IF('Match History'!V:V=B39,'Match History'!X:X,)),MAX(IF('Match History'!Z:Z=B39,'Match History'!AB:AB,)),MAX(IF('Match History'!AD:AD=B39,'Match History'!AF:AF,)),MAX(IF('Match History'!AH:AH=B39,'Match History'!AJ:AJ,)),MAX(IF('Match History'!AL:AL=B39,'Match History'!AN:AN,)),MAX(IF('Match History'!AV:AV=B39,'Match History'!AX:AX,)),MAX(IF('Match History'!AZ:AZ=B39,'Match History'!BB:BB,)),MAX(IF('Match History'!BD:BD=B39,'Match History'!BF:BF,)),MAX(IF('Match History'!BH:BH=B39,'Match History'!BJ:BJ,)))</f>
        <v>48</v>
      </c>
      <c r="Q39" s="21">
        <f t="array" ref="Q39">IF(F39=0,0,MIN(MIN(IF('Match History'!B:B=B39,'Match History'!D:D,999)),MIN(IF('Match History'!F:F=B39,'Match History'!H:H,999)),MIN(IF('Match History'!J:J=B39,'Match History'!L:L,999)),MIN(IF('Match History'!N:N=B39,'Match History'!P:P,999)),MIN(IF('Match History'!R:R=B39,'Match History'!T:T,999)),MIN(IF('Match History'!V:V=B39,'Match History'!X:X,999)),MIN(IF('Match History'!Z:Z=B39,'Match History'!AB:AB,999)),MIN(IF('Match History'!AD:AD=B39,'Match History'!AF:AF,999)),MIN(IF('Match History'!AH:AH=B39,'Match History'!AJ:AJ,999)),MIN(IF('Match History'!AL:AL=B39,'Match History'!AN:AN,999)),MIN(IF('Match History'!AV:AV=B39,'Match History'!AX:AX,999)),MIN(IF('Match History'!AZ:AZ=B39,'Match History'!BB:BB,999)),MIN(IF('Match History'!BD:BD=B39,'Match History'!BF:BF,999)),MIN(IF('Match History'!BH:BH=B39,'Match History'!BJ:BJ,999))))</f>
        <v>2</v>
      </c>
      <c r="R39" s="21">
        <f>COUNTIFS('Match History'!B:B,B39,'Match History'!A:A,"&gt;="&amp;(DATE(2022,12,31)-30))+COUNTIFS('Match History'!F:F,B39,'Match History'!A:A,"&gt;="&amp;(DATE(2022,12,31)-30))+COUNTIFS('Match History'!J:J,B39,'Match History'!A:A,"&gt;="&amp;(DATE(2022,12,31)-30))+COUNTIFS('Match History'!N:N,B39,'Match History'!A:A,"&gt;="&amp;(DATE(2022,12,31)-30))+COUNTIFS('Match History'!R:R,B39,'Match History'!A:A,"&gt;="&amp;(DATE(2022,12,31)-30))+COUNTIFS('Match History'!V:V,B39,'Match History'!A:A,"&gt;="&amp;(DATE(2022,12,31)-30))+COUNTIFS('Match History'!Z:Z,B39,'Match History'!A:A,"&gt;="&amp;(DATE(2022,12,31)-30))+COUNTIFS('Match History'!AD:AD,B39,'Match History'!A:A,"&gt;="&amp;(DATE(2022,12,31)-30))+COUNTIFS('Match History'!AH:AH,B39,'Match History'!A:A,"&gt;="&amp;(DATE(2022,12,31)-30))+COUNTIFS('Match History'!AL:AL,B39,'Match History'!A:A,"&gt;="&amp;(DATE(2022,12,31)-30))+COUNTIFS('Match History'!AV:AV,B39,'Match History'!A:A,"&gt;="&amp;(DATE(2022,12,31)-30))+COUNTIFS('Match History'!AZ:AZ,B39,'Match History'!A:A,"&gt;="&amp;(DATE(2022,12,31)-30))+COUNTIFS('Match History'!BD:BD,B39,'Match History'!A:A,"&gt;="&amp;(DATE(2022,12,31)-30))+COUNTIFS('Match History'!BH:BH,B39,'Match History'!A:A,"&gt;="&amp;(DATE(2022,12,31)-30))
</f>
        <v>47</v>
      </c>
      <c r="S39" s="21">
        <f>COUNTIFS('Match History'!B:B,B39,'Match History'!A:A,"&gt;="&amp;(DATE(2022,12,31)-365))+COUNTIFS('Match History'!F:F,B39,'Match History'!A:A,"&gt;="&amp;(DATE(2022,12,31)-365))+COUNTIFS('Match History'!J:J,B39,'Match History'!A:A,"&gt;="&amp;(DATE(2022,12,31)-365))+COUNTIFS('Match History'!N:N,B39,'Match History'!A:A,"&gt;="&amp;(DATE(2022,12,31)-365))+COUNTIFS('Match History'!R:R,B39,'Match History'!A:A,"&gt;="&amp;(DATE(2022,12,31)-365))+COUNTIFS('Match History'!V:V,B39,'Match History'!A:A,"&gt;="&amp;(DATE(2022,12,31)-365))+COUNTIFS('Match History'!Z:Z,B39,'Match History'!A:A,"&gt;="&amp;(DATE(2022,12,31)-365))+COUNTIFS('Match History'!AD:AD,B39,'Match History'!A:A,"&gt;="&amp;(DATE(2022,12,31)-365))+COUNTIFS('Match History'!AH:AH,B39,'Match History'!A:A,"&gt;="&amp;(DATE(2022,12,31)-365))+COUNTIFS('Match History'!AL:AL,B39,'Match History'!A:A,"&gt;="&amp;(DATE(2022,12,31)-365))+COUNTIFS('Match History'!AV:AV,B39,'Match History'!A:A,"&gt;="&amp;(DATE(2022,12,31)-365))+COUNTIFS('Match History'!AZ:AZ,B39,'Match History'!A:A,"&gt;="&amp;(DATE(2022,12,31)-365))+COUNTIFS('Match History'!BD:BD,B39,'Match History'!A:A,"&gt;="&amp;(DATE(2022,12,31)-365))+COUNTIFS('Match History'!BH:BH,B39,'Match History'!A:A,"&gt;="&amp;(DATE(2022,12,31)-365))
</f>
        <v>341</v>
      </c>
      <c r="T39" s="20">
        <f t="array" ref="T39">IF(F39=0,0,INDEX('Match History'!B:BK,MATCH(N39,'Match History'!A:A,0),MATCH(B39,INDEX('Match History'!B:BK,MATCH(N39,'Match History'!A:A,0),0),0)+3)-INDEX('Match History'!B:BK,MATCH(N39,'Match History'!A:A,0),MATCH(B39,INDEX('Match History'!B:BK,MATCH(N39,'Match History'!A:A,0),0),0)+1))</f>
        <v>3.369544179</v>
      </c>
      <c r="U39" s="21">
        <f>COUNTIFS('Match History'!B:B,B39,'Match History'!A:A,"&gt;="&amp;(DATE(2022,12,31)-92))
+COUNTIFS('Match History'!F:F,B39,'Match History'!A:A,"&gt;="&amp;(DATE(2022,12,31)-92))
+COUNTIFS('Match History'!J:J,B39,'Match History'!A:A,"&gt;="&amp;(DATE(2022,12,31)-92))
+COUNTIFS('Match History'!N:N,B39,'Match History'!A:A,"&gt;="&amp;(DATE(2022,12,31)-92))
+COUNTIFS('Match History'!R:R,B39,'Match History'!A:A,"&gt;="&amp;(DATE(2022,12,31)-92))
+COUNTIFS('Match History'!V:V,B39,'Match History'!A:A,"&gt;="&amp;(DATE(2022,12,31)-92))
+COUNTIFS('Match History'!Z:Z,B39,'Match History'!A:A,"&gt;="&amp;(DATE(2022,12,31)-92))
+COUNTIFS('Match History'!AD:AD,B39,'Match History'!A:A,"&gt;="&amp;(DATE(2022,12,31)-92))
+COUNTIFS('Match History'!AH:AH,B39,'Match History'!A:A,"&gt;="&amp;(DATE(2022,12,31)-92))
+COUNTIFS('Match History'!AL:AL,B39,'Match History'!A:A,"&gt;="&amp;(DATE(2022,12,31)-92))
+COUNTIFS('Match History'!AV:AV,B39,'Match History'!A:A,"&gt;="&amp;(DATE(2022,12,31)-92))
+COUNTIFS('Match History'!AZ:AZ,B39,'Match History'!A:A,"&gt;="&amp;(DATE(2022,12,31)-92))
+COUNTIFS('Match History'!BD:BD,B39,'Match History'!A:A,"&gt;="&amp;(DATE(2022,12,31)-92))
+COUNTIFS('Match History'!BH:BH,B39,'Match History'!A:A,"&gt;="&amp;(DATE(2022,12,31)-92))
</f>
        <v>112</v>
      </c>
      <c r="V39" s="20">
        <f>IF(U39=0,0,(SUMIFS('Match History'!D:D,'Match History'!A:A,"&gt;=10/01/2022 00:00",'Match History'!A:A,"&lt;=12/31/2022 23:59",'Match History'!B:B,B39)
+SUMIFS('Match History'!H:H,'Match History'!A:A,"&gt;=10/01/2022 00:00",'Match History'!A:A,"&lt;=12/31/2022 23:59",'Match History'!F:F,B39)
+SUMIFS('Match History'!L:L,'Match History'!A:A,"&gt;=10/01/2022 00:00",'Match History'!A:A,"&lt;=12/31/2022 23:59",'Match History'!J:J,B39)
+SUMIFS('Match History'!P:P,'Match History'!A:A,"&gt;=10/01/2022 00:00",'Match History'!A:A,"&lt;=12/31/2022 23:59",'Match History'!N:N,B39)
+SUMIFS('Match History'!T:T,'Match History'!A:A,"&gt;=10/01/2022 00:00",'Match History'!A:A,"&lt;=12/31/2022 23:59",'Match History'!R:R,B39)
+SUMIFS('Match History'!X:X,'Match History'!A:A,"&gt;=10/01/2022 00:00",'Match History'!A:A,"&lt;=12/31/2022 23:59",'Match History'!V:V,B39)
+SUMIFS('Match History'!AB:AB,'Match History'!A:A,"&gt;=10/01/2022 00:00",'Match History'!A:A,"&lt;=12/31/2022 23:59",'Match History'!Z:Z,B39)
+SUMIFS('Match History'!AF:AF,'Match History'!A:A,"&gt;=10/01/2022 00:00",'Match History'!A:A,"&lt;=12/31/2022 23:59",'Match History'!AD:AD,B39)
+SUMIFS('Match History'!AJ:AJ,'Match History'!A:A,"&gt;=10/01/2022 00:00",'Match History'!A:A,"&lt;=12/31/2022 23:59",'Match History'!AH:AH,B39)
+SUMIFS('Match History'!AN:AN,'Match History'!A:A,"&gt;=10/01/2022 00:00",'Match History'!A:A,"&lt;=12/31/2022 23:59",'Match History'!AL:AL,B39)
+SUMIFS('Match History'!AX:AX,'Match History'!A:A,"&gt;=10/01/2022 00:00",'Match History'!A:A,"&lt;=12/31/2022 23:59",'Match History'!AV:AV,B39)+SUMIFS('Match History'!BB:BB,'Match History'!A:A,"&gt;=10/01/2022 00:00",'Match History'!A:A,"&lt;=12/31/2022 23:59",'Match History'!AZ:AZ,B39)
+SUMIFS('Match History'!BF:BF,'Match History'!A:A,"&gt;=10/01/2022 00:00",'Match History'!A:A,"&lt;=12/31/2022 23:59",'Match History'!BD:BD,B39)
+SUMIFS('Match History'!BJ:BJ,'Match History'!A:A,"&gt;=10/01/2022 00:00",'Match History'!A:A,"&lt;=12/31/2022 23:59",'Match History'!BH:BH,B39))/U39)
</f>
        <v>20.30357143</v>
      </c>
    </row>
    <row r="40" ht="21.0" customHeight="1">
      <c r="A40" s="44" t="s">
        <v>115</v>
      </c>
      <c r="B40" s="44" t="s">
        <v>115</v>
      </c>
      <c r="C40" s="45">
        <v>915.3550596803419</v>
      </c>
      <c r="D40" s="49">
        <f>NORMDIST(C40,1000,STDEV(Players!$C$2:$C$39)+0.00001,TRUE)</f>
        <v>0.1526972975</v>
      </c>
      <c r="E40" s="46"/>
      <c r="F40" s="47">
        <f>COUNTIF('Match History'!A:BK,"kennedi")</f>
        <v>16</v>
      </c>
      <c r="G40" s="58" t="s">
        <v>66</v>
      </c>
      <c r="H40" s="43" t="s">
        <v>116</v>
      </c>
      <c r="I40" s="80"/>
      <c r="J40" s="43"/>
      <c r="K40" s="80"/>
      <c r="L40" s="18" t="b">
        <f t="shared" si="2"/>
        <v>1</v>
      </c>
      <c r="M40" s="17" t="b">
        <v>0</v>
      </c>
      <c r="N40" s="19">
        <f t="array" ref="N40">IF(F40=0, "no war", INDEX('Match History'!A:A, MAX(MAX(('Match History'!B:B=B40)*(ROW('Match History'!B:B))),MAX(('Match History'!F:F=B40)*(ROW('Match History'!F:F))),MAX(('Match History'!J:J=B40)*(ROW('Match History'!J:J))),MAX(('Match History'!N:N=B40)*(ROW('Match History'!N:N))),MAX(('Match History'!R:R=B40)*(ROW('Match History'!R:R))),MAX(('Match History'!V:V=B40)*(ROW('Match History'!V:V))),MAX(('Match History'!Z:Z=B40)*(ROW('Match History'!Z:Z))),MAX(('Match History'!AD:AD=B40)*(ROW('Match History'!AD:AD))),MAX(('Match History'!AH:AH=B40)*(ROW('Match History'!AH:AH))),MAX(('Match History'!AL:AL=B40)*(ROW('Match History'!AL:AL))),MAX(('Match History'!AV:AV=B40)*(ROW('Match History'!AV:AV))),MAX(('Match History'!AZ:AZ=B40)*(ROW('Match History'!AZ:AZ))),MAX(('Match History'!BD:BD=B40)*(ROW('Match History'!BD:BD))),MAX(('Match History'!BH:BH=B40)*(ROW('Match History'!BH:BH)))), 1))
</f>
        <v>44926.82537</v>
      </c>
      <c r="O40" s="20">
        <f>(SUMIF('Match History'!B:B,B40,'Match History'!D:D)+SUMIF('Match History'!F:F,B40,'Match History'!H:H)+SUMIF('Match History'!J:J,B40,'Match History'!L:L)+SUMIF('Match History'!N:N,B40,'Match History'!P:P)+SUMIF('Match History'!R:R,B40,'Match History'!T:T)+SUMIF('Match History'!V:V,B40,'Match History'!X:X)+SUMIF('Match History'!Z:Z,B40,'Match History'!AB:AB)+SUMIF('Match History'!AD:AD,B40,'Match History'!AF:AF)+SUMIF('Match History'!AH:AH,B40,'Match History'!AJ:AJ)+SUMIF('Match History'!AL:AL,B40,'Match History'!AN:AN)+SUMIF('Match History'!AV:AV,B40,'Match History'!AX:AX)+SUMIF('Match History'!AZ:AZ,B40,'Match History'!BB:BB)+SUMIF('Match History'!BD:BD,B40,'Match History'!BF:BF)+SUMIF('Match History'!BH:BH,B40,'Match History'!BJ:BJ))/IF(F40=0,1,F40)</f>
        <v>12.9375</v>
      </c>
      <c r="P40" s="21">
        <f t="array" ref="P40">MAX(MAX(IF('Match History'!B:B=B40,'Match History'!D:D,)),MAX(IF('Match History'!F:F=B40,'Match History'!H:H,)),MAX(IF('Match History'!J:J=B40,'Match History'!L:L,)),MAX(IF('Match History'!N:N=B40,'Match History'!P:P,)),MAX(IF('Match History'!R:R=B40,'Match History'!T:T,)),MAX(IF('Match History'!V:V=B40,'Match History'!X:X,)),MAX(IF('Match History'!Z:Z=B40,'Match History'!AB:AB,)),MAX(IF('Match History'!AD:AD=B40,'Match History'!AF:AF,)),MAX(IF('Match History'!AH:AH=B40,'Match History'!AJ:AJ,)),MAX(IF('Match History'!AL:AL=B40,'Match History'!AN:AN,)),MAX(IF('Match History'!AV:AV=B40,'Match History'!AX:AX,)),MAX(IF('Match History'!AZ:AZ=B40,'Match History'!BB:BB,)),MAX(IF('Match History'!BD:BD=B40,'Match History'!BF:BF,)),MAX(IF('Match History'!BH:BH=B40,'Match History'!BJ:BJ,)))</f>
        <v>23</v>
      </c>
      <c r="Q40" s="21">
        <f t="array" ref="Q40">IF(F40=0,0,MIN(MIN(IF('Match History'!B:B=B40,'Match History'!D:D,999)),MIN(IF('Match History'!F:F=B40,'Match History'!H:H,999)),MIN(IF('Match History'!J:J=B40,'Match History'!L:L,999)),MIN(IF('Match History'!N:N=B40,'Match History'!P:P,999)),MIN(IF('Match History'!R:R=B40,'Match History'!T:T,999)),MIN(IF('Match History'!V:V=B40,'Match History'!X:X,999)),MIN(IF('Match History'!Z:Z=B40,'Match History'!AB:AB,999)),MIN(IF('Match History'!AD:AD=B40,'Match History'!AF:AF,999)),MIN(IF('Match History'!AH:AH=B40,'Match History'!AJ:AJ,999)),MIN(IF('Match History'!AL:AL=B40,'Match History'!AN:AN,999)),MIN(IF('Match History'!AV:AV=B40,'Match History'!AX:AX,999)),MIN(IF('Match History'!AZ:AZ=B40,'Match History'!BB:BB,999)),MIN(IF('Match History'!BD:BD=B40,'Match History'!BF:BF,999)),MIN(IF('Match History'!BH:BH=B40,'Match History'!BJ:BJ,999))))</f>
        <v>4</v>
      </c>
      <c r="R40" s="21">
        <f>COUNTIFS('Match History'!B:B,B40,'Match History'!A:A,"&gt;="&amp;(DATE(2022,12,31)-30))+COUNTIFS('Match History'!F:F,B40,'Match History'!A:A,"&gt;="&amp;(DATE(2022,12,31)-30))+COUNTIFS('Match History'!J:J,B40,'Match History'!A:A,"&gt;="&amp;(DATE(2022,12,31)-30))+COUNTIFS('Match History'!N:N,B40,'Match History'!A:A,"&gt;="&amp;(DATE(2022,12,31)-30))+COUNTIFS('Match History'!R:R,B40,'Match History'!A:A,"&gt;="&amp;(DATE(2022,12,31)-30))+COUNTIFS('Match History'!V:V,B40,'Match History'!A:A,"&gt;="&amp;(DATE(2022,12,31)-30))+COUNTIFS('Match History'!Z:Z,B40,'Match History'!A:A,"&gt;="&amp;(DATE(2022,12,31)-30))+COUNTIFS('Match History'!AD:AD,B40,'Match History'!A:A,"&gt;="&amp;(DATE(2022,12,31)-30))+COUNTIFS('Match History'!AH:AH,B40,'Match History'!A:A,"&gt;="&amp;(DATE(2022,12,31)-30))+COUNTIFS('Match History'!AL:AL,B40,'Match History'!A:A,"&gt;="&amp;(DATE(2022,12,31)-30))+COUNTIFS('Match History'!AV:AV,B40,'Match History'!A:A,"&gt;="&amp;(DATE(2022,12,31)-30))+COUNTIFS('Match History'!AZ:AZ,B40,'Match History'!A:A,"&gt;="&amp;(DATE(2022,12,31)-30))+COUNTIFS('Match History'!BD:BD,B40,'Match History'!A:A,"&gt;="&amp;(DATE(2022,12,31)-30))+COUNTIFS('Match History'!BH:BH,B40,'Match History'!A:A,"&gt;="&amp;(DATE(2022,12,31)-30))
</f>
        <v>10</v>
      </c>
      <c r="S40" s="21">
        <f>COUNTIFS('Match History'!B:B,B40,'Match History'!A:A,"&gt;="&amp;(DATE(2022,12,31)-365))+COUNTIFS('Match History'!F:F,B40,'Match History'!A:A,"&gt;="&amp;(DATE(2022,12,31)-365))+COUNTIFS('Match History'!J:J,B40,'Match History'!A:A,"&gt;="&amp;(DATE(2022,12,31)-365))+COUNTIFS('Match History'!N:N,B40,'Match History'!A:A,"&gt;="&amp;(DATE(2022,12,31)-365))+COUNTIFS('Match History'!R:R,B40,'Match History'!A:A,"&gt;="&amp;(DATE(2022,12,31)-365))+COUNTIFS('Match History'!V:V,B40,'Match History'!A:A,"&gt;="&amp;(DATE(2022,12,31)-365))+COUNTIFS('Match History'!Z:Z,B40,'Match History'!A:A,"&gt;="&amp;(DATE(2022,12,31)-365))+COUNTIFS('Match History'!AD:AD,B40,'Match History'!A:A,"&gt;="&amp;(DATE(2022,12,31)-365))+COUNTIFS('Match History'!AH:AH,B40,'Match History'!A:A,"&gt;="&amp;(DATE(2022,12,31)-365))+COUNTIFS('Match History'!AL:AL,B40,'Match History'!A:A,"&gt;="&amp;(DATE(2022,12,31)-365))+COUNTIFS('Match History'!AV:AV,B40,'Match History'!A:A,"&gt;="&amp;(DATE(2022,12,31)-365))+COUNTIFS('Match History'!AZ:AZ,B40,'Match History'!A:A,"&gt;="&amp;(DATE(2022,12,31)-365))+COUNTIFS('Match History'!BD:BD,B40,'Match History'!A:A,"&gt;="&amp;(DATE(2022,12,31)-365))+COUNTIFS('Match History'!BH:BH,B40,'Match History'!A:A,"&gt;="&amp;(DATE(2022,12,31)-365))
</f>
        <v>10</v>
      </c>
      <c r="T40" s="20">
        <f t="array" ref="T40">IF(F40=0,0,INDEX('Match History'!B:BK,MATCH(N40,'Match History'!A:A,0),MATCH(B40,INDEX('Match History'!B:BK,MATCH(N40,'Match History'!A:A,0),0),0)+3)-INDEX('Match History'!B:BK,MATCH(N40,'Match History'!A:A,0),MATCH(B40,INDEX('Match History'!B:BK,MATCH(N40,'Match History'!A:A,0),0),0)+1))</f>
        <v>-1.136340857</v>
      </c>
      <c r="U40" s="21">
        <f>COUNTIFS('Match History'!B:B,B40,'Match History'!A:A,"&gt;="&amp;(DATE(2022,12,31)-92))
+COUNTIFS('Match History'!F:F,B40,'Match History'!A:A,"&gt;="&amp;(DATE(2022,12,31)-92))
+COUNTIFS('Match History'!J:J,B40,'Match History'!A:A,"&gt;="&amp;(DATE(2022,12,31)-92))
+COUNTIFS('Match History'!N:N,B40,'Match History'!A:A,"&gt;="&amp;(DATE(2022,12,31)-92))
+COUNTIFS('Match History'!R:R,B40,'Match History'!A:A,"&gt;="&amp;(DATE(2022,12,31)-92))
+COUNTIFS('Match History'!V:V,B40,'Match History'!A:A,"&gt;="&amp;(DATE(2022,12,31)-92))
+COUNTIFS('Match History'!Z:Z,B40,'Match History'!A:A,"&gt;="&amp;(DATE(2022,12,31)-92))
+COUNTIFS('Match History'!AD:AD,B40,'Match History'!A:A,"&gt;="&amp;(DATE(2022,12,31)-92))
+COUNTIFS('Match History'!AH:AH,B40,'Match History'!A:A,"&gt;="&amp;(DATE(2022,12,31)-92))
+COUNTIFS('Match History'!AL:AL,B40,'Match History'!A:A,"&gt;="&amp;(DATE(2022,12,31)-92))
+COUNTIFS('Match History'!AV:AV,B40,'Match History'!A:A,"&gt;="&amp;(DATE(2022,12,31)-92))
+COUNTIFS('Match History'!AZ:AZ,B40,'Match History'!A:A,"&gt;="&amp;(DATE(2022,12,31)-92))
+COUNTIFS('Match History'!BD:BD,B40,'Match History'!A:A,"&gt;="&amp;(DATE(2022,12,31)-92))
+COUNTIFS('Match History'!BH:BH,B40,'Match History'!A:A,"&gt;="&amp;(DATE(2022,12,31)-92))
</f>
        <v>10</v>
      </c>
      <c r="V40" s="20">
        <f>IF(U40=0,0,(SUMIFS('Match History'!D:D,'Match History'!A:A,"&gt;=10/01/2022 00:00",'Match History'!A:A,"&lt;=12/31/2022 23:59",'Match History'!B:B,B40)
+SUMIFS('Match History'!H:H,'Match History'!A:A,"&gt;=10/01/2022 00:00",'Match History'!A:A,"&lt;=12/31/2022 23:59",'Match History'!F:F,B40)
+SUMIFS('Match History'!L:L,'Match History'!A:A,"&gt;=10/01/2022 00:00",'Match History'!A:A,"&lt;=12/31/2022 23:59",'Match History'!J:J,B40)
+SUMIFS('Match History'!P:P,'Match History'!A:A,"&gt;=10/01/2022 00:00",'Match History'!A:A,"&lt;=12/31/2022 23:59",'Match History'!N:N,B40)
+SUMIFS('Match History'!T:T,'Match History'!A:A,"&gt;=10/01/2022 00:00",'Match History'!A:A,"&lt;=12/31/2022 23:59",'Match History'!R:R,B40)
+SUMIFS('Match History'!X:X,'Match History'!A:A,"&gt;=10/01/2022 00:00",'Match History'!A:A,"&lt;=12/31/2022 23:59",'Match History'!V:V,B40)
+SUMIFS('Match History'!AB:AB,'Match History'!A:A,"&gt;=10/01/2022 00:00",'Match History'!A:A,"&lt;=12/31/2022 23:59",'Match History'!Z:Z,B40)
+SUMIFS('Match History'!AF:AF,'Match History'!A:A,"&gt;=10/01/2022 00:00",'Match History'!A:A,"&lt;=12/31/2022 23:59",'Match History'!AD:AD,B40)
+SUMIFS('Match History'!AJ:AJ,'Match History'!A:A,"&gt;=10/01/2022 00:00",'Match History'!A:A,"&lt;=12/31/2022 23:59",'Match History'!AH:AH,B40)
+SUMIFS('Match History'!AN:AN,'Match History'!A:A,"&gt;=10/01/2022 00:00",'Match History'!A:A,"&lt;=12/31/2022 23:59",'Match History'!AL:AL,B40)
+SUMIFS('Match History'!AX:AX,'Match History'!A:A,"&gt;=10/01/2022 00:00",'Match History'!A:A,"&lt;=12/31/2022 23:59",'Match History'!AV:AV,B40)+SUMIFS('Match History'!BB:BB,'Match History'!A:A,"&gt;=10/01/2022 00:00",'Match History'!A:A,"&lt;=12/31/2022 23:59",'Match History'!AZ:AZ,B40)
+SUMIFS('Match History'!BF:BF,'Match History'!A:A,"&gt;=10/01/2022 00:00",'Match History'!A:A,"&lt;=12/31/2022 23:59",'Match History'!BD:BD,B40)
+SUMIFS('Match History'!BJ:BJ,'Match History'!A:A,"&gt;=10/01/2022 00:00",'Match History'!A:A,"&lt;=12/31/2022 23:59",'Match History'!BH:BH,B40))/U40)
</f>
        <v>11.5</v>
      </c>
    </row>
    <row r="41" ht="21.0" customHeight="1">
      <c r="A41" s="44" t="s">
        <v>117</v>
      </c>
      <c r="B41" s="44" t="s">
        <v>117</v>
      </c>
      <c r="C41" s="12">
        <v>913.3108451469238</v>
      </c>
      <c r="D41" s="49">
        <f>NORMDIST(C41,1000,STDEV(Players!$C$2:$C$39)+0.00001,TRUE)</f>
        <v>0.1469312381</v>
      </c>
      <c r="E41" s="46"/>
      <c r="F41" s="75">
        <f>COUNTIF('Match History'!A:BK,"Evildude")</f>
        <v>50</v>
      </c>
      <c r="G41" s="58" t="s">
        <v>66</v>
      </c>
      <c r="H41" s="54" t="s">
        <v>118</v>
      </c>
      <c r="I41" s="81" t="s">
        <v>29</v>
      </c>
      <c r="J41" s="80"/>
      <c r="K41" s="43">
        <v>2.0</v>
      </c>
      <c r="L41" s="18" t="b">
        <f t="shared" si="2"/>
        <v>1</v>
      </c>
      <c r="M41" s="17" t="b">
        <v>0</v>
      </c>
      <c r="N41" s="19">
        <f t="array" ref="N41">IF(F41=0, "no war", INDEX('Match History'!A:A, MAX(MAX(('Match History'!B:B=B41)*(ROW('Match History'!B:B))),MAX(('Match History'!F:F=B41)*(ROW('Match History'!F:F))),MAX(('Match History'!J:J=B41)*(ROW('Match History'!J:J))),MAX(('Match History'!N:N=B41)*(ROW('Match History'!N:N))),MAX(('Match History'!R:R=B41)*(ROW('Match History'!R:R))),MAX(('Match History'!V:V=B41)*(ROW('Match History'!V:V))),MAX(('Match History'!Z:Z=B41)*(ROW('Match History'!Z:Z))),MAX(('Match History'!AD:AD=B41)*(ROW('Match History'!AD:AD))),MAX(('Match History'!AH:AH=B41)*(ROW('Match History'!AH:AH))),MAX(('Match History'!AL:AL=B41)*(ROW('Match History'!AL:AL))),MAX(('Match History'!AV:AV=B41)*(ROW('Match History'!AV:AV))),MAX(('Match History'!AZ:AZ=B41)*(ROW('Match History'!AZ:AZ))),MAX(('Match History'!BD:BD=B41)*(ROW('Match History'!BD:BD))),MAX(('Match History'!BH:BH=B41)*(ROW('Match History'!BH:BH)))), 1))
</f>
        <v>44926.82537</v>
      </c>
      <c r="O41" s="20">
        <f>(SUMIF('Match History'!B:B,B41,'Match History'!D:D)+SUMIF('Match History'!F:F,B41,'Match History'!H:H)+SUMIF('Match History'!J:J,B41,'Match History'!L:L)+SUMIF('Match History'!N:N,B41,'Match History'!P:P)+SUMIF('Match History'!R:R,B41,'Match History'!T:T)+SUMIF('Match History'!V:V,B41,'Match History'!X:X)+SUMIF('Match History'!Z:Z,B41,'Match History'!AB:AB)+SUMIF('Match History'!AD:AD,B41,'Match History'!AF:AF)+SUMIF('Match History'!AH:AH,B41,'Match History'!AJ:AJ)+SUMIF('Match History'!AL:AL,B41,'Match History'!AN:AN)+SUMIF('Match History'!AV:AV,B41,'Match History'!AX:AX)+SUMIF('Match History'!AZ:AZ,B41,'Match History'!BB:BB)+SUMIF('Match History'!BD:BD,B41,'Match History'!BF:BF)+SUMIF('Match History'!BH:BH,B41,'Match History'!BJ:BJ))/IF(F41=0,1,F41)</f>
        <v>17.84</v>
      </c>
      <c r="P41" s="21">
        <f t="array" ref="P41">MAX(MAX(IF('Match History'!B:B=B41,'Match History'!D:D,)),MAX(IF('Match History'!F:F=B41,'Match History'!H:H,)),MAX(IF('Match History'!J:J=B41,'Match History'!L:L,)),MAX(IF('Match History'!N:N=B41,'Match History'!P:P,)),MAX(IF('Match History'!R:R=B41,'Match History'!T:T,)),MAX(IF('Match History'!V:V=B41,'Match History'!X:X,)),MAX(IF('Match History'!Z:Z=B41,'Match History'!AB:AB,)),MAX(IF('Match History'!AD:AD=B41,'Match History'!AF:AF,)),MAX(IF('Match History'!AH:AH=B41,'Match History'!AJ:AJ,)),MAX(IF('Match History'!AL:AL=B41,'Match History'!AN:AN,)),MAX(IF('Match History'!AV:AV=B41,'Match History'!AX:AX,)),MAX(IF('Match History'!AZ:AZ=B41,'Match History'!BB:BB,)),MAX(IF('Match History'!BD:BD=B41,'Match History'!BF:BF,)),MAX(IF('Match History'!BH:BH=B41,'Match History'!BJ:BJ,)))</f>
        <v>33</v>
      </c>
      <c r="Q41" s="21">
        <f t="array" ref="Q41">IF(F41=0,0,MIN(MIN(IF('Match History'!B:B=B41,'Match History'!D:D,999)),MIN(IF('Match History'!F:F=B41,'Match History'!H:H,999)),MIN(IF('Match History'!J:J=B41,'Match History'!L:L,999)),MIN(IF('Match History'!N:N=B41,'Match History'!P:P,999)),MIN(IF('Match History'!R:R=B41,'Match History'!T:T,999)),MIN(IF('Match History'!V:V=B41,'Match History'!X:X,999)),MIN(IF('Match History'!Z:Z=B41,'Match History'!AB:AB,999)),MIN(IF('Match History'!AD:AD=B41,'Match History'!AF:AF,999)),MIN(IF('Match History'!AH:AH=B41,'Match History'!AJ:AJ,999)),MIN(IF('Match History'!AL:AL=B41,'Match History'!AN:AN,999)),MIN(IF('Match History'!AV:AV=B41,'Match History'!AX:AX,999)),MIN(IF('Match History'!AZ:AZ=B41,'Match History'!BB:BB,999)),MIN(IF('Match History'!BD:BD=B41,'Match History'!BF:BF,999)),MIN(IF('Match History'!BH:BH=B41,'Match History'!BJ:BJ,999))))</f>
        <v>6</v>
      </c>
      <c r="R41" s="21">
        <f>COUNTIFS('Match History'!B:B,B41,'Match History'!A:A,"&gt;="&amp;(DATE(2022,12,31)-30))+COUNTIFS('Match History'!F:F,B41,'Match History'!A:A,"&gt;="&amp;(DATE(2022,12,31)-30))+COUNTIFS('Match History'!J:J,B41,'Match History'!A:A,"&gt;="&amp;(DATE(2022,12,31)-30))+COUNTIFS('Match History'!N:N,B41,'Match History'!A:A,"&gt;="&amp;(DATE(2022,12,31)-30))+COUNTIFS('Match History'!R:R,B41,'Match History'!A:A,"&gt;="&amp;(DATE(2022,12,31)-30))+COUNTIFS('Match History'!V:V,B41,'Match History'!A:A,"&gt;="&amp;(DATE(2022,12,31)-30))+COUNTIFS('Match History'!Z:Z,B41,'Match History'!A:A,"&gt;="&amp;(DATE(2022,12,31)-30))+COUNTIFS('Match History'!AD:AD,B41,'Match History'!A:A,"&gt;="&amp;(DATE(2022,12,31)-30))+COUNTIFS('Match History'!AH:AH,B41,'Match History'!A:A,"&gt;="&amp;(DATE(2022,12,31)-30))+COUNTIFS('Match History'!AL:AL,B41,'Match History'!A:A,"&gt;="&amp;(DATE(2022,12,31)-30))+COUNTIFS('Match History'!AV:AV,B41,'Match History'!A:A,"&gt;="&amp;(DATE(2022,12,31)-30))+COUNTIFS('Match History'!AZ:AZ,B41,'Match History'!A:A,"&gt;="&amp;(DATE(2022,12,31)-30))+COUNTIFS('Match History'!BD:BD,B41,'Match History'!A:A,"&gt;="&amp;(DATE(2022,12,31)-30))+COUNTIFS('Match History'!BH:BH,B41,'Match History'!A:A,"&gt;="&amp;(DATE(2022,12,31)-30))
</f>
        <v>35</v>
      </c>
      <c r="S41" s="21">
        <f>COUNTIFS('Match History'!B:B,B41,'Match History'!A:A,"&gt;="&amp;(DATE(2022,12,31)-365))+COUNTIFS('Match History'!F:F,B41,'Match History'!A:A,"&gt;="&amp;(DATE(2022,12,31)-365))+COUNTIFS('Match History'!J:J,B41,'Match History'!A:A,"&gt;="&amp;(DATE(2022,12,31)-365))+COUNTIFS('Match History'!N:N,B41,'Match History'!A:A,"&gt;="&amp;(DATE(2022,12,31)-365))+COUNTIFS('Match History'!R:R,B41,'Match History'!A:A,"&gt;="&amp;(DATE(2022,12,31)-365))+COUNTIFS('Match History'!V:V,B41,'Match History'!A:A,"&gt;="&amp;(DATE(2022,12,31)-365))+COUNTIFS('Match History'!Z:Z,B41,'Match History'!A:A,"&gt;="&amp;(DATE(2022,12,31)-365))+COUNTIFS('Match History'!AD:AD,B41,'Match History'!A:A,"&gt;="&amp;(DATE(2022,12,31)-365))+COUNTIFS('Match History'!AH:AH,B41,'Match History'!A:A,"&gt;="&amp;(DATE(2022,12,31)-365))+COUNTIFS('Match History'!AL:AL,B41,'Match History'!A:A,"&gt;="&amp;(DATE(2022,12,31)-365))+COUNTIFS('Match History'!AV:AV,B41,'Match History'!A:A,"&gt;="&amp;(DATE(2022,12,31)-365))+COUNTIFS('Match History'!AZ:AZ,B41,'Match History'!A:A,"&gt;="&amp;(DATE(2022,12,31)-365))+COUNTIFS('Match History'!BD:BD,B41,'Match History'!A:A,"&gt;="&amp;(DATE(2022,12,31)-365))+COUNTIFS('Match History'!BH:BH,B41,'Match History'!A:A,"&gt;="&amp;(DATE(2022,12,31)-365))
</f>
        <v>50</v>
      </c>
      <c r="T41" s="20">
        <f t="array" ref="T41">IF(F41=0,0,INDEX('Match History'!B:BK,MATCH(N41,'Match History'!A:A,0),MATCH(B41,INDEX('Match History'!B:BK,MATCH(N41,'Match History'!A:A,0),0),0)+3)-INDEX('Match History'!B:BK,MATCH(N41,'Match History'!A:A,0),MATCH(B41,INDEX('Match History'!B:BK,MATCH(N41,'Match History'!A:A,0),0),0)+1))</f>
        <v>-0.6338763338</v>
      </c>
      <c r="U41" s="21">
        <f>COUNTIFS('Match History'!B:B,B41,'Match History'!A:A,"&gt;="&amp;(DATE(2022,12,31)-92))
+COUNTIFS('Match History'!F:F,B41,'Match History'!A:A,"&gt;="&amp;(DATE(2022,12,31)-92))
+COUNTIFS('Match History'!J:J,B41,'Match History'!A:A,"&gt;="&amp;(DATE(2022,12,31)-92))
+COUNTIFS('Match History'!N:N,B41,'Match History'!A:A,"&gt;="&amp;(DATE(2022,12,31)-92))
+COUNTIFS('Match History'!R:R,B41,'Match History'!A:A,"&gt;="&amp;(DATE(2022,12,31)-92))
+COUNTIFS('Match History'!V:V,B41,'Match History'!A:A,"&gt;="&amp;(DATE(2022,12,31)-92))
+COUNTIFS('Match History'!Z:Z,B41,'Match History'!A:A,"&gt;="&amp;(DATE(2022,12,31)-92))
+COUNTIFS('Match History'!AD:AD,B41,'Match History'!A:A,"&gt;="&amp;(DATE(2022,12,31)-92))
+COUNTIFS('Match History'!AH:AH,B41,'Match History'!A:A,"&gt;="&amp;(DATE(2022,12,31)-92))
+COUNTIFS('Match History'!AL:AL,B41,'Match History'!A:A,"&gt;="&amp;(DATE(2022,12,31)-92))
+COUNTIFS('Match History'!AV:AV,B41,'Match History'!A:A,"&gt;="&amp;(DATE(2022,12,31)-92))
+COUNTIFS('Match History'!AZ:AZ,B41,'Match History'!A:A,"&gt;="&amp;(DATE(2022,12,31)-92))
+COUNTIFS('Match History'!BD:BD,B41,'Match History'!A:A,"&gt;="&amp;(DATE(2022,12,31)-92))
+COUNTIFS('Match History'!BH:BH,B41,'Match History'!A:A,"&gt;="&amp;(DATE(2022,12,31)-92))
</f>
        <v>48</v>
      </c>
      <c r="V41" s="20">
        <f>IF(U41=0,0,(SUMIFS('Match History'!D:D,'Match History'!A:A,"&gt;=10/01/2022 00:00",'Match History'!A:A,"&lt;=12/31/2022 23:59",'Match History'!B:B,B41)
+SUMIFS('Match History'!H:H,'Match History'!A:A,"&gt;=10/01/2022 00:00",'Match History'!A:A,"&lt;=12/31/2022 23:59",'Match History'!F:F,B41)
+SUMIFS('Match History'!L:L,'Match History'!A:A,"&gt;=10/01/2022 00:00",'Match History'!A:A,"&lt;=12/31/2022 23:59",'Match History'!J:J,B41)
+SUMIFS('Match History'!P:P,'Match History'!A:A,"&gt;=10/01/2022 00:00",'Match History'!A:A,"&lt;=12/31/2022 23:59",'Match History'!N:N,B41)
+SUMIFS('Match History'!T:T,'Match History'!A:A,"&gt;=10/01/2022 00:00",'Match History'!A:A,"&lt;=12/31/2022 23:59",'Match History'!R:R,B41)
+SUMIFS('Match History'!X:X,'Match History'!A:A,"&gt;=10/01/2022 00:00",'Match History'!A:A,"&lt;=12/31/2022 23:59",'Match History'!V:V,B41)
+SUMIFS('Match History'!AB:AB,'Match History'!A:A,"&gt;=10/01/2022 00:00",'Match History'!A:A,"&lt;=12/31/2022 23:59",'Match History'!Z:Z,B41)
+SUMIFS('Match History'!AF:AF,'Match History'!A:A,"&gt;=10/01/2022 00:00",'Match History'!A:A,"&lt;=12/31/2022 23:59",'Match History'!AD:AD,B41)
+SUMIFS('Match History'!AJ:AJ,'Match History'!A:A,"&gt;=10/01/2022 00:00",'Match History'!A:A,"&lt;=12/31/2022 23:59",'Match History'!AH:AH,B41)
+SUMIFS('Match History'!AN:AN,'Match History'!A:A,"&gt;=10/01/2022 00:00",'Match History'!A:A,"&lt;=12/31/2022 23:59",'Match History'!AL:AL,B41)
+SUMIFS('Match History'!AX:AX,'Match History'!A:A,"&gt;=10/01/2022 00:00",'Match History'!A:A,"&lt;=12/31/2022 23:59",'Match History'!AV:AV,B41)+SUMIFS('Match History'!BB:BB,'Match History'!A:A,"&gt;=10/01/2022 00:00",'Match History'!A:A,"&lt;=12/31/2022 23:59",'Match History'!AZ:AZ,B41)
+SUMIFS('Match History'!BF:BF,'Match History'!A:A,"&gt;=10/01/2022 00:00",'Match History'!A:A,"&lt;=12/31/2022 23:59",'Match History'!BD:BD,B41)
+SUMIFS('Match History'!BJ:BJ,'Match History'!A:A,"&gt;=10/01/2022 00:00",'Match History'!A:A,"&lt;=12/31/2022 23:59",'Match History'!BH:BH,B41))/U41)
</f>
        <v>18.04166667</v>
      </c>
    </row>
    <row r="42" ht="21.0" customHeight="1">
      <c r="A42" s="44" t="s">
        <v>119</v>
      </c>
      <c r="B42" s="44" t="s">
        <v>119</v>
      </c>
      <c r="C42" s="12">
        <v>911.863893923939</v>
      </c>
      <c r="D42" s="49">
        <f>NORMDIST(C42,1000,STDEV(Players!$C$2:$C$39)+0.00001,TRUE)</f>
        <v>0.1429392674</v>
      </c>
      <c r="E42" s="80"/>
      <c r="F42" s="50">
        <f>COUNTIF('Match History'!A:BK,"jojo")</f>
        <v>30</v>
      </c>
      <c r="G42" s="60" t="s">
        <v>66</v>
      </c>
      <c r="H42" s="43" t="s">
        <v>45</v>
      </c>
      <c r="I42" s="43"/>
      <c r="K42" s="43">
        <v>2.0</v>
      </c>
      <c r="L42" s="18" t="b">
        <f t="shared" si="2"/>
        <v>1</v>
      </c>
      <c r="M42" s="17" t="b">
        <v>0</v>
      </c>
      <c r="N42" s="19">
        <f t="array" ref="N42">IF(F42=0, "no war", INDEX('Match History'!A:A, MAX(MAX(('Match History'!B:B=B42)*(ROW('Match History'!B:B))),MAX(('Match History'!F:F=B42)*(ROW('Match History'!F:F))),MAX(('Match History'!J:J=B42)*(ROW('Match History'!J:J))),MAX(('Match History'!N:N=B42)*(ROW('Match History'!N:N))),MAX(('Match History'!R:R=B42)*(ROW('Match History'!R:R))),MAX(('Match History'!V:V=B42)*(ROW('Match History'!V:V))),MAX(('Match History'!Z:Z=B42)*(ROW('Match History'!Z:Z))),MAX(('Match History'!AD:AD=B42)*(ROW('Match History'!AD:AD))),MAX(('Match History'!AH:AH=B42)*(ROW('Match History'!AH:AH))),MAX(('Match History'!AL:AL=B42)*(ROW('Match History'!AL:AL))),MAX(('Match History'!AV:AV=B42)*(ROW('Match History'!AV:AV))),MAX(('Match History'!AZ:AZ=B42)*(ROW('Match History'!AZ:AZ))),MAX(('Match History'!BD:BD=B42)*(ROW('Match History'!BD:BD))),MAX(('Match History'!BH:BH=B42)*(ROW('Match History'!BH:BH)))), 1))
</f>
        <v>44925.08933</v>
      </c>
      <c r="O42" s="20">
        <f>(SUMIF('Match History'!B:B,B42,'Match History'!D:D)+SUMIF('Match History'!F:F,B42,'Match History'!H:H)+SUMIF('Match History'!J:J,B42,'Match History'!L:L)+SUMIF('Match History'!N:N,B42,'Match History'!P:P)+SUMIF('Match History'!R:R,B42,'Match History'!T:T)+SUMIF('Match History'!V:V,B42,'Match History'!X:X)+SUMIF('Match History'!Z:Z,B42,'Match History'!AB:AB)+SUMIF('Match History'!AD:AD,B42,'Match History'!AF:AF)+SUMIF('Match History'!AH:AH,B42,'Match History'!AJ:AJ)+SUMIF('Match History'!AL:AL,B42,'Match History'!AN:AN)+SUMIF('Match History'!AV:AV,B42,'Match History'!AX:AX)+SUMIF('Match History'!AZ:AZ,B42,'Match History'!BB:BB)+SUMIF('Match History'!BD:BD,B42,'Match History'!BF:BF)+SUMIF('Match History'!BH:BH,B42,'Match History'!BJ:BJ))/IF(F42=0,1,F42)</f>
        <v>15.76666667</v>
      </c>
      <c r="P42" s="21">
        <f t="array" ref="P42">MAX(MAX(IF('Match History'!B:B=B42,'Match History'!D:D,)),MAX(IF('Match History'!F:F=B42,'Match History'!H:H,)),MAX(IF('Match History'!J:J=B42,'Match History'!L:L,)),MAX(IF('Match History'!N:N=B42,'Match History'!P:P,)),MAX(IF('Match History'!R:R=B42,'Match History'!T:T,)),MAX(IF('Match History'!V:V=B42,'Match History'!X:X,)),MAX(IF('Match History'!Z:Z=B42,'Match History'!AB:AB,)),MAX(IF('Match History'!AD:AD=B42,'Match History'!AF:AF,)),MAX(IF('Match History'!AH:AH=B42,'Match History'!AJ:AJ,)),MAX(IF('Match History'!AL:AL=B42,'Match History'!AN:AN,)),MAX(IF('Match History'!AV:AV=B42,'Match History'!AX:AX,)),MAX(IF('Match History'!AZ:AZ=B42,'Match History'!BB:BB,)),MAX(IF('Match History'!BD:BD=B42,'Match History'!BF:BF,)),MAX(IF('Match History'!BH:BH=B42,'Match History'!BJ:BJ,)))</f>
        <v>28</v>
      </c>
      <c r="Q42" s="21">
        <f t="array" ref="Q42">IF(F42=0,0,MIN(MIN(IF('Match History'!B:B=B42,'Match History'!D:D,999)),MIN(IF('Match History'!F:F=B42,'Match History'!H:H,999)),MIN(IF('Match History'!J:J=B42,'Match History'!L:L,999)),MIN(IF('Match History'!N:N=B42,'Match History'!P:P,999)),MIN(IF('Match History'!R:R=B42,'Match History'!T:T,999)),MIN(IF('Match History'!V:V=B42,'Match History'!X:X,999)),MIN(IF('Match History'!Z:Z=B42,'Match History'!AB:AB,999)),MIN(IF('Match History'!AD:AD=B42,'Match History'!AF:AF,999)),MIN(IF('Match History'!AH:AH=B42,'Match History'!AJ:AJ,999)),MIN(IF('Match History'!AL:AL=B42,'Match History'!AN:AN,999)),MIN(IF('Match History'!AV:AV=B42,'Match History'!AX:AX,999)),MIN(IF('Match History'!AZ:AZ=B42,'Match History'!BB:BB,999)),MIN(IF('Match History'!BD:BD=B42,'Match History'!BF:BF,999)),MIN(IF('Match History'!BH:BH=B42,'Match History'!BJ:BJ,999))))</f>
        <v>11</v>
      </c>
      <c r="R42" s="21">
        <f>COUNTIFS('Match History'!B:B,B42,'Match History'!A:A,"&gt;="&amp;(DATE(2022,12,31)-30))+COUNTIFS('Match History'!F:F,B42,'Match History'!A:A,"&gt;="&amp;(DATE(2022,12,31)-30))+COUNTIFS('Match History'!J:J,B42,'Match History'!A:A,"&gt;="&amp;(DATE(2022,12,31)-30))+COUNTIFS('Match History'!N:N,B42,'Match History'!A:A,"&gt;="&amp;(DATE(2022,12,31)-30))+COUNTIFS('Match History'!R:R,B42,'Match History'!A:A,"&gt;="&amp;(DATE(2022,12,31)-30))+COUNTIFS('Match History'!V:V,B42,'Match History'!A:A,"&gt;="&amp;(DATE(2022,12,31)-30))+COUNTIFS('Match History'!Z:Z,B42,'Match History'!A:A,"&gt;="&amp;(DATE(2022,12,31)-30))+COUNTIFS('Match History'!AD:AD,B42,'Match History'!A:A,"&gt;="&amp;(DATE(2022,12,31)-30))+COUNTIFS('Match History'!AH:AH,B42,'Match History'!A:A,"&gt;="&amp;(DATE(2022,12,31)-30))+COUNTIFS('Match History'!AL:AL,B42,'Match History'!A:A,"&gt;="&amp;(DATE(2022,12,31)-30))+COUNTIFS('Match History'!AV:AV,B42,'Match History'!A:A,"&gt;="&amp;(DATE(2022,12,31)-30))+COUNTIFS('Match History'!AZ:AZ,B42,'Match History'!A:A,"&gt;="&amp;(DATE(2022,12,31)-30))+COUNTIFS('Match History'!BD:BD,B42,'Match History'!A:A,"&gt;="&amp;(DATE(2022,12,31)-30))+COUNTIFS('Match History'!BH:BH,B42,'Match History'!A:A,"&gt;="&amp;(DATE(2022,12,31)-30))
</f>
        <v>27</v>
      </c>
      <c r="S42" s="21">
        <f>COUNTIFS('Match History'!B:B,B42,'Match History'!A:A,"&gt;="&amp;(DATE(2022,12,31)-365))+COUNTIFS('Match History'!F:F,B42,'Match History'!A:A,"&gt;="&amp;(DATE(2022,12,31)-365))+COUNTIFS('Match History'!J:J,B42,'Match History'!A:A,"&gt;="&amp;(DATE(2022,12,31)-365))+COUNTIFS('Match History'!N:N,B42,'Match History'!A:A,"&gt;="&amp;(DATE(2022,12,31)-365))+COUNTIFS('Match History'!R:R,B42,'Match History'!A:A,"&gt;="&amp;(DATE(2022,12,31)-365))+COUNTIFS('Match History'!V:V,B42,'Match History'!A:A,"&gt;="&amp;(DATE(2022,12,31)-365))+COUNTIFS('Match History'!Z:Z,B42,'Match History'!A:A,"&gt;="&amp;(DATE(2022,12,31)-365))+COUNTIFS('Match History'!AD:AD,B42,'Match History'!A:A,"&gt;="&amp;(DATE(2022,12,31)-365))+COUNTIFS('Match History'!AH:AH,B42,'Match History'!A:A,"&gt;="&amp;(DATE(2022,12,31)-365))+COUNTIFS('Match History'!AL:AL,B42,'Match History'!A:A,"&gt;="&amp;(DATE(2022,12,31)-365))+COUNTIFS('Match History'!AV:AV,B42,'Match History'!A:A,"&gt;="&amp;(DATE(2022,12,31)-365))+COUNTIFS('Match History'!AZ:AZ,B42,'Match History'!A:A,"&gt;="&amp;(DATE(2022,12,31)-365))+COUNTIFS('Match History'!BD:BD,B42,'Match History'!A:A,"&gt;="&amp;(DATE(2022,12,31)-365))+COUNTIFS('Match History'!BH:BH,B42,'Match History'!A:A,"&gt;="&amp;(DATE(2022,12,31)-365))
</f>
        <v>30</v>
      </c>
      <c r="T42" s="20">
        <f t="array" ref="T42">IF(F42=0,0,INDEX('Match History'!B:BK,MATCH(N42,'Match History'!A:A,0),MATCH(B42,INDEX('Match History'!B:BK,MATCH(N42,'Match History'!A:A,0),0),0)+3)-INDEX('Match History'!B:BK,MATCH(N42,'Match History'!A:A,0),MATCH(B42,INDEX('Match History'!B:BK,MATCH(N42,'Match History'!A:A,0),0),0)+1))</f>
        <v>-2.825115184</v>
      </c>
      <c r="U42" s="21">
        <f>COUNTIFS('Match History'!B:B,B42,'Match History'!A:A,"&gt;="&amp;(DATE(2022,12,31)-92))
+COUNTIFS('Match History'!F:F,B42,'Match History'!A:A,"&gt;="&amp;(DATE(2022,12,31)-92))
+COUNTIFS('Match History'!J:J,B42,'Match History'!A:A,"&gt;="&amp;(DATE(2022,12,31)-92))
+COUNTIFS('Match History'!N:N,B42,'Match History'!A:A,"&gt;="&amp;(DATE(2022,12,31)-92))
+COUNTIFS('Match History'!R:R,B42,'Match History'!A:A,"&gt;="&amp;(DATE(2022,12,31)-92))
+COUNTIFS('Match History'!V:V,B42,'Match History'!A:A,"&gt;="&amp;(DATE(2022,12,31)-92))
+COUNTIFS('Match History'!Z:Z,B42,'Match History'!A:A,"&gt;="&amp;(DATE(2022,12,31)-92))
+COUNTIFS('Match History'!AD:AD,B42,'Match History'!A:A,"&gt;="&amp;(DATE(2022,12,31)-92))
+COUNTIFS('Match History'!AH:AH,B42,'Match History'!A:A,"&gt;="&amp;(DATE(2022,12,31)-92))
+COUNTIFS('Match History'!AL:AL,B42,'Match History'!A:A,"&gt;="&amp;(DATE(2022,12,31)-92))
+COUNTIFS('Match History'!AV:AV,B42,'Match History'!A:A,"&gt;="&amp;(DATE(2022,12,31)-92))
+COUNTIFS('Match History'!AZ:AZ,B42,'Match History'!A:A,"&gt;="&amp;(DATE(2022,12,31)-92))
+COUNTIFS('Match History'!BD:BD,B42,'Match History'!A:A,"&gt;="&amp;(DATE(2022,12,31)-92))
+COUNTIFS('Match History'!BH:BH,B42,'Match History'!A:A,"&gt;="&amp;(DATE(2022,12,31)-92))
</f>
        <v>30</v>
      </c>
      <c r="V42" s="20">
        <f>IF(U42=0,0,(SUMIFS('Match History'!D:D,'Match History'!A:A,"&gt;=10/01/2022 00:00",'Match History'!A:A,"&lt;=12/31/2022 23:59",'Match History'!B:B,B42)
+SUMIFS('Match History'!H:H,'Match History'!A:A,"&gt;=10/01/2022 00:00",'Match History'!A:A,"&lt;=12/31/2022 23:59",'Match History'!F:F,B42)
+SUMIFS('Match History'!L:L,'Match History'!A:A,"&gt;=10/01/2022 00:00",'Match History'!A:A,"&lt;=12/31/2022 23:59",'Match History'!J:J,B42)
+SUMIFS('Match History'!P:P,'Match History'!A:A,"&gt;=10/01/2022 00:00",'Match History'!A:A,"&lt;=12/31/2022 23:59",'Match History'!N:N,B42)
+SUMIFS('Match History'!T:T,'Match History'!A:A,"&gt;=10/01/2022 00:00",'Match History'!A:A,"&lt;=12/31/2022 23:59",'Match History'!R:R,B42)
+SUMIFS('Match History'!X:X,'Match History'!A:A,"&gt;=10/01/2022 00:00",'Match History'!A:A,"&lt;=12/31/2022 23:59",'Match History'!V:V,B42)
+SUMIFS('Match History'!AB:AB,'Match History'!A:A,"&gt;=10/01/2022 00:00",'Match History'!A:A,"&lt;=12/31/2022 23:59",'Match History'!Z:Z,B42)
+SUMIFS('Match History'!AF:AF,'Match History'!A:A,"&gt;=10/01/2022 00:00",'Match History'!A:A,"&lt;=12/31/2022 23:59",'Match History'!AD:AD,B42)
+SUMIFS('Match History'!AJ:AJ,'Match History'!A:A,"&gt;=10/01/2022 00:00",'Match History'!A:A,"&lt;=12/31/2022 23:59",'Match History'!AH:AH,B42)
+SUMIFS('Match History'!AN:AN,'Match History'!A:A,"&gt;=10/01/2022 00:00",'Match History'!A:A,"&lt;=12/31/2022 23:59",'Match History'!AL:AL,B42)
+SUMIFS('Match History'!AX:AX,'Match History'!A:A,"&gt;=10/01/2022 00:00",'Match History'!A:A,"&lt;=12/31/2022 23:59",'Match History'!AV:AV,B42)+SUMIFS('Match History'!BB:BB,'Match History'!A:A,"&gt;=10/01/2022 00:00",'Match History'!A:A,"&lt;=12/31/2022 23:59",'Match History'!AZ:AZ,B42)
+SUMIFS('Match History'!BF:BF,'Match History'!A:A,"&gt;=10/01/2022 00:00",'Match History'!A:A,"&lt;=12/31/2022 23:59",'Match History'!BD:BD,B42)
+SUMIFS('Match History'!BJ:BJ,'Match History'!A:A,"&gt;=10/01/2022 00:00",'Match History'!A:A,"&lt;=12/31/2022 23:59",'Match History'!BH:BH,B42))/U42)
</f>
        <v>15.76666667</v>
      </c>
    </row>
    <row r="43" ht="21.0" customHeight="1">
      <c r="A43" s="44" t="s">
        <v>120</v>
      </c>
      <c r="B43" s="44" t="s">
        <v>121</v>
      </c>
      <c r="C43" s="12">
        <v>903.0566233492732</v>
      </c>
      <c r="D43" s="52">
        <f>NORMDIST(C43,1000,STDEV(Players!$C$2:$C$39)+0.00001,TRUE)</f>
        <v>0.1202274492</v>
      </c>
      <c r="F43" s="75">
        <f>COUNTIF('Match History'!A:BK,"madinfo")</f>
        <v>86</v>
      </c>
      <c r="G43" s="48" t="s">
        <v>51</v>
      </c>
      <c r="H43" s="43" t="s">
        <v>29</v>
      </c>
      <c r="I43" s="29" t="s">
        <v>29</v>
      </c>
      <c r="J43" s="80"/>
      <c r="K43" s="43">
        <v>2.0</v>
      </c>
      <c r="L43" s="18" t="b">
        <f t="shared" si="2"/>
        <v>1</v>
      </c>
      <c r="M43" s="17" t="b">
        <v>0</v>
      </c>
      <c r="N43" s="19">
        <f t="array" ref="N43">IF(F43=0, "no war", INDEX('Match History'!A:A, MAX(MAX(('Match History'!B:B=B43)*(ROW('Match History'!B:B))),MAX(('Match History'!F:F=B43)*(ROW('Match History'!F:F))),MAX(('Match History'!J:J=B43)*(ROW('Match History'!J:J))),MAX(('Match History'!N:N=B43)*(ROW('Match History'!N:N))),MAX(('Match History'!R:R=B43)*(ROW('Match History'!R:R))),MAX(('Match History'!V:V=B43)*(ROW('Match History'!V:V))),MAX(('Match History'!Z:Z=B43)*(ROW('Match History'!Z:Z))),MAX(('Match History'!AD:AD=B43)*(ROW('Match History'!AD:AD))),MAX(('Match History'!AH:AH=B43)*(ROW('Match History'!AH:AH))),MAX(('Match History'!AL:AL=B43)*(ROW('Match History'!AL:AL))),MAX(('Match History'!AV:AV=B43)*(ROW('Match History'!AV:AV))),MAX(('Match History'!AZ:AZ=B43)*(ROW('Match History'!AZ:AZ))),MAX(('Match History'!BD:BD=B43)*(ROW('Match History'!BD:BD))),MAX(('Match History'!BH:BH=B43)*(ROW('Match History'!BH:BH)))), 1))
</f>
        <v>44924.93817</v>
      </c>
      <c r="O43" s="20">
        <f>(SUMIF('Match History'!B:B,B43,'Match History'!D:D)+SUMIF('Match History'!F:F,B43,'Match History'!H:H)+SUMIF('Match History'!J:J,B43,'Match History'!L:L)+SUMIF('Match History'!N:N,B43,'Match History'!P:P)+SUMIF('Match History'!R:R,B43,'Match History'!T:T)+SUMIF('Match History'!V:V,B43,'Match History'!X:X)+SUMIF('Match History'!Z:Z,B43,'Match History'!AB:AB)+SUMIF('Match History'!AD:AD,B43,'Match History'!AF:AF)+SUMIF('Match History'!AH:AH,B43,'Match History'!AJ:AJ)+SUMIF('Match History'!AL:AL,B43,'Match History'!AN:AN)+SUMIF('Match History'!AV:AV,B43,'Match History'!AX:AX)+SUMIF('Match History'!AZ:AZ,B43,'Match History'!BB:BB)+SUMIF('Match History'!BD:BD,B43,'Match History'!BF:BF)+SUMIF('Match History'!BH:BH,B43,'Match History'!BJ:BJ))/IF(F43=0,1,F43)</f>
        <v>10.56976744</v>
      </c>
      <c r="P43" s="21">
        <f t="array" ref="P43">MAX(MAX(IF('Match History'!B:B=B43,'Match History'!D:D,)),MAX(IF('Match History'!F:F=B43,'Match History'!H:H,)),MAX(IF('Match History'!J:J=B43,'Match History'!L:L,)),MAX(IF('Match History'!N:N=B43,'Match History'!P:P,)),MAX(IF('Match History'!R:R=B43,'Match History'!T:T,)),MAX(IF('Match History'!V:V=B43,'Match History'!X:X,)),MAX(IF('Match History'!Z:Z=B43,'Match History'!AB:AB,)),MAX(IF('Match History'!AD:AD=B43,'Match History'!AF:AF,)),MAX(IF('Match History'!AH:AH=B43,'Match History'!AJ:AJ,)),MAX(IF('Match History'!AL:AL=B43,'Match History'!AN:AN,)),MAX(IF('Match History'!AV:AV=B43,'Match History'!AX:AX,)),MAX(IF('Match History'!AZ:AZ=B43,'Match History'!BB:BB,)),MAX(IF('Match History'!BD:BD=B43,'Match History'!BF:BF,)),MAX(IF('Match History'!BH:BH=B43,'Match History'!BJ:BJ,)))</f>
        <v>26</v>
      </c>
      <c r="Q43" s="21">
        <f t="array" ref="Q43">IF(F43=0,0,MIN(MIN(IF('Match History'!B:B=B43,'Match History'!D:D,999)),MIN(IF('Match History'!F:F=B43,'Match History'!H:H,999)),MIN(IF('Match History'!J:J=B43,'Match History'!L:L,999)),MIN(IF('Match History'!N:N=B43,'Match History'!P:P,999)),MIN(IF('Match History'!R:R=B43,'Match History'!T:T,999)),MIN(IF('Match History'!V:V=B43,'Match History'!X:X,999)),MIN(IF('Match History'!Z:Z=B43,'Match History'!AB:AB,999)),MIN(IF('Match History'!AD:AD=B43,'Match History'!AF:AF,999)),MIN(IF('Match History'!AH:AH=B43,'Match History'!AJ:AJ,999)),MIN(IF('Match History'!AL:AL=B43,'Match History'!AN:AN,999)),MIN(IF('Match History'!AV:AV=B43,'Match History'!AX:AX,999)),MIN(IF('Match History'!AZ:AZ=B43,'Match History'!BB:BB,999)),MIN(IF('Match History'!BD:BD=B43,'Match History'!BF:BF,999)),MIN(IF('Match History'!BH:BH=B43,'Match History'!BJ:BJ,999))))</f>
        <v>2</v>
      </c>
      <c r="R43" s="21">
        <f>COUNTIFS('Match History'!B:B,B43,'Match History'!A:A,"&gt;="&amp;(DATE(2022,12,31)-30))+COUNTIFS('Match History'!F:F,B43,'Match History'!A:A,"&gt;="&amp;(DATE(2022,12,31)-30))+COUNTIFS('Match History'!J:J,B43,'Match History'!A:A,"&gt;="&amp;(DATE(2022,12,31)-30))+COUNTIFS('Match History'!N:N,B43,'Match History'!A:A,"&gt;="&amp;(DATE(2022,12,31)-30))+COUNTIFS('Match History'!R:R,B43,'Match History'!A:A,"&gt;="&amp;(DATE(2022,12,31)-30))+COUNTIFS('Match History'!V:V,B43,'Match History'!A:A,"&gt;="&amp;(DATE(2022,12,31)-30))+COUNTIFS('Match History'!Z:Z,B43,'Match History'!A:A,"&gt;="&amp;(DATE(2022,12,31)-30))+COUNTIFS('Match History'!AD:AD,B43,'Match History'!A:A,"&gt;="&amp;(DATE(2022,12,31)-30))+COUNTIFS('Match History'!AH:AH,B43,'Match History'!A:A,"&gt;="&amp;(DATE(2022,12,31)-30))+COUNTIFS('Match History'!AL:AL,B43,'Match History'!A:A,"&gt;="&amp;(DATE(2022,12,31)-30))+COUNTIFS('Match History'!AV:AV,B43,'Match History'!A:A,"&gt;="&amp;(DATE(2022,12,31)-30))+COUNTIFS('Match History'!AZ:AZ,B43,'Match History'!A:A,"&gt;="&amp;(DATE(2022,12,31)-30))+COUNTIFS('Match History'!BD:BD,B43,'Match History'!A:A,"&gt;="&amp;(DATE(2022,12,31)-30))+COUNTIFS('Match History'!BH:BH,B43,'Match History'!A:A,"&gt;="&amp;(DATE(2022,12,31)-30))
</f>
        <v>5</v>
      </c>
      <c r="S43" s="21">
        <f>COUNTIFS('Match History'!B:B,B43,'Match History'!A:A,"&gt;="&amp;(DATE(2022,12,31)-365))+COUNTIFS('Match History'!F:F,B43,'Match History'!A:A,"&gt;="&amp;(DATE(2022,12,31)-365))+COUNTIFS('Match History'!J:J,B43,'Match History'!A:A,"&gt;="&amp;(DATE(2022,12,31)-365))+COUNTIFS('Match History'!N:N,B43,'Match History'!A:A,"&gt;="&amp;(DATE(2022,12,31)-365))+COUNTIFS('Match History'!R:R,B43,'Match History'!A:A,"&gt;="&amp;(DATE(2022,12,31)-365))+COUNTIFS('Match History'!V:V,B43,'Match History'!A:A,"&gt;="&amp;(DATE(2022,12,31)-365))+COUNTIFS('Match History'!Z:Z,B43,'Match History'!A:A,"&gt;="&amp;(DATE(2022,12,31)-365))+COUNTIFS('Match History'!AD:AD,B43,'Match History'!A:A,"&gt;="&amp;(DATE(2022,12,31)-365))+COUNTIFS('Match History'!AH:AH,B43,'Match History'!A:A,"&gt;="&amp;(DATE(2022,12,31)-365))+COUNTIFS('Match History'!AL:AL,B43,'Match History'!A:A,"&gt;="&amp;(DATE(2022,12,31)-365))+COUNTIFS('Match History'!AV:AV,B43,'Match History'!A:A,"&gt;="&amp;(DATE(2022,12,31)-365))+COUNTIFS('Match History'!AZ:AZ,B43,'Match History'!A:A,"&gt;="&amp;(DATE(2022,12,31)-365))+COUNTIFS('Match History'!BD:BD,B43,'Match History'!A:A,"&gt;="&amp;(DATE(2022,12,31)-365))+COUNTIFS('Match History'!BH:BH,B43,'Match History'!A:A,"&gt;="&amp;(DATE(2022,12,31)-365))
</f>
        <v>28</v>
      </c>
      <c r="T43" s="20">
        <f t="array" ref="T43">IF(F43=0,0,INDEX('Match History'!B:BK,MATCH(N43,'Match History'!A:A,0),MATCH(B43,INDEX('Match History'!B:BK,MATCH(N43,'Match History'!A:A,0),0),0)+3)-INDEX('Match History'!B:BK,MATCH(N43,'Match History'!A:A,0),MATCH(B43,INDEX('Match History'!B:BK,MATCH(N43,'Match History'!A:A,0),0),0)+1))</f>
        <v>-9.842475299</v>
      </c>
      <c r="U43" s="21">
        <f>COUNTIFS('Match History'!B:B,B43,'Match History'!A:A,"&gt;="&amp;(DATE(2022,12,31)-92))
+COUNTIFS('Match History'!F:F,B43,'Match History'!A:A,"&gt;="&amp;(DATE(2022,12,31)-92))
+COUNTIFS('Match History'!J:J,B43,'Match History'!A:A,"&gt;="&amp;(DATE(2022,12,31)-92))
+COUNTIFS('Match History'!N:N,B43,'Match History'!A:A,"&gt;="&amp;(DATE(2022,12,31)-92))
+COUNTIFS('Match History'!R:R,B43,'Match History'!A:A,"&gt;="&amp;(DATE(2022,12,31)-92))
+COUNTIFS('Match History'!V:V,B43,'Match History'!A:A,"&gt;="&amp;(DATE(2022,12,31)-92))
+COUNTIFS('Match History'!Z:Z,B43,'Match History'!A:A,"&gt;="&amp;(DATE(2022,12,31)-92))
+COUNTIFS('Match History'!AD:AD,B43,'Match History'!A:A,"&gt;="&amp;(DATE(2022,12,31)-92))
+COUNTIFS('Match History'!AH:AH,B43,'Match History'!A:A,"&gt;="&amp;(DATE(2022,12,31)-92))
+COUNTIFS('Match History'!AL:AL,B43,'Match History'!A:A,"&gt;="&amp;(DATE(2022,12,31)-92))
+COUNTIFS('Match History'!AV:AV,B43,'Match History'!A:A,"&gt;="&amp;(DATE(2022,12,31)-92))
+COUNTIFS('Match History'!AZ:AZ,B43,'Match History'!A:A,"&gt;="&amp;(DATE(2022,12,31)-92))
+COUNTIFS('Match History'!BD:BD,B43,'Match History'!A:A,"&gt;="&amp;(DATE(2022,12,31)-92))
+COUNTIFS('Match History'!BH:BH,B43,'Match History'!A:A,"&gt;="&amp;(DATE(2022,12,31)-92))
</f>
        <v>6</v>
      </c>
      <c r="V43" s="20">
        <f>IF(U43=0,0,(SUMIFS('Match History'!D:D,'Match History'!A:A,"&gt;=10/01/2022 00:00",'Match History'!A:A,"&lt;=12/31/2022 23:59",'Match History'!B:B,B43)
+SUMIFS('Match History'!H:H,'Match History'!A:A,"&gt;=10/01/2022 00:00",'Match History'!A:A,"&lt;=12/31/2022 23:59",'Match History'!F:F,B43)
+SUMIFS('Match History'!L:L,'Match History'!A:A,"&gt;=10/01/2022 00:00",'Match History'!A:A,"&lt;=12/31/2022 23:59",'Match History'!J:J,B43)
+SUMIFS('Match History'!P:P,'Match History'!A:A,"&gt;=10/01/2022 00:00",'Match History'!A:A,"&lt;=12/31/2022 23:59",'Match History'!N:N,B43)
+SUMIFS('Match History'!T:T,'Match History'!A:A,"&gt;=10/01/2022 00:00",'Match History'!A:A,"&lt;=12/31/2022 23:59",'Match History'!R:R,B43)
+SUMIFS('Match History'!X:X,'Match History'!A:A,"&gt;=10/01/2022 00:00",'Match History'!A:A,"&lt;=12/31/2022 23:59",'Match History'!V:V,B43)
+SUMIFS('Match History'!AB:AB,'Match History'!A:A,"&gt;=10/01/2022 00:00",'Match History'!A:A,"&lt;=12/31/2022 23:59",'Match History'!Z:Z,B43)
+SUMIFS('Match History'!AF:AF,'Match History'!A:A,"&gt;=10/01/2022 00:00",'Match History'!A:A,"&lt;=12/31/2022 23:59",'Match History'!AD:AD,B43)
+SUMIFS('Match History'!AJ:AJ,'Match History'!A:A,"&gt;=10/01/2022 00:00",'Match History'!A:A,"&lt;=12/31/2022 23:59",'Match History'!AH:AH,B43)
+SUMIFS('Match History'!AN:AN,'Match History'!A:A,"&gt;=10/01/2022 00:00",'Match History'!A:A,"&lt;=12/31/2022 23:59",'Match History'!AL:AL,B43)
+SUMIFS('Match History'!AX:AX,'Match History'!A:A,"&gt;=10/01/2022 00:00",'Match History'!A:A,"&lt;=12/31/2022 23:59",'Match History'!AV:AV,B43)+SUMIFS('Match History'!BB:BB,'Match History'!A:A,"&gt;=10/01/2022 00:00",'Match History'!A:A,"&lt;=12/31/2022 23:59",'Match History'!AZ:AZ,B43)
+SUMIFS('Match History'!BF:BF,'Match History'!A:A,"&gt;=10/01/2022 00:00",'Match History'!A:A,"&lt;=12/31/2022 23:59",'Match History'!BD:BD,B43)
+SUMIFS('Match History'!BJ:BJ,'Match History'!A:A,"&gt;=10/01/2022 00:00",'Match History'!A:A,"&lt;=12/31/2022 23:59",'Match History'!BH:BH,B43))/U43)
</f>
        <v>9</v>
      </c>
    </row>
    <row r="44" ht="21.0" customHeight="1">
      <c r="A44" s="51" t="s">
        <v>122</v>
      </c>
      <c r="B44" s="88" t="s">
        <v>123</v>
      </c>
      <c r="C44" s="12">
        <v>866.9839072430597</v>
      </c>
      <c r="D44" s="52">
        <f>NORMDIST(C44,1000,STDEV($C$2:$C$39)+0.00001,TRUE)</f>
        <v>0.0536289572</v>
      </c>
      <c r="E44" s="46"/>
      <c r="F44" s="75">
        <f>COUNTIF('Match History'!A:BK,"grabarz")</f>
        <v>541</v>
      </c>
      <c r="G44" s="48" t="s">
        <v>24</v>
      </c>
      <c r="H44" s="54" t="s">
        <v>93</v>
      </c>
      <c r="I44" s="81" t="s">
        <v>29</v>
      </c>
      <c r="J44" s="43">
        <v>1.0</v>
      </c>
      <c r="K44" s="43">
        <v>3.0</v>
      </c>
      <c r="L44" s="18" t="b">
        <f t="shared" si="2"/>
        <v>1</v>
      </c>
      <c r="M44" s="17" t="b">
        <v>0</v>
      </c>
      <c r="N44" s="19">
        <f t="array" ref="N44">IF(F44=0, "no war", INDEX('Match History'!A:A, MAX(MAX(('Match History'!B:B=B44)*(ROW('Match History'!B:B))),MAX(('Match History'!F:F=B44)*(ROW('Match History'!F:F))),MAX(('Match History'!J:J=B44)*(ROW('Match History'!J:J))),MAX(('Match History'!N:N=B44)*(ROW('Match History'!N:N))),MAX(('Match History'!R:R=B44)*(ROW('Match History'!R:R))),MAX(('Match History'!V:V=B44)*(ROW('Match History'!V:V))),MAX(('Match History'!Z:Z=B44)*(ROW('Match History'!Z:Z))),MAX(('Match History'!AD:AD=B44)*(ROW('Match History'!AD:AD))),MAX(('Match History'!AH:AH=B44)*(ROW('Match History'!AH:AH))),MAX(('Match History'!AL:AL=B44)*(ROW('Match History'!AL:AL))),MAX(('Match History'!AV:AV=B44)*(ROW('Match History'!AV:AV))),MAX(('Match History'!AZ:AZ=B44)*(ROW('Match History'!AZ:AZ))),MAX(('Match History'!BD:BD=B44)*(ROW('Match History'!BD:BD))),MAX(('Match History'!BH:BH=B44)*(ROW('Match History'!BH:BH)))), 1))
</f>
        <v>44926.06349</v>
      </c>
      <c r="O44" s="20">
        <f>(SUMIF('Match History'!B:B,B44,'Match History'!D:D)+SUMIF('Match History'!F:F,B44,'Match History'!H:H)+SUMIF('Match History'!J:J,B44,'Match History'!L:L)+SUMIF('Match History'!N:N,B44,'Match History'!P:P)+SUMIF('Match History'!R:R,B44,'Match History'!T:T)+SUMIF('Match History'!V:V,B44,'Match History'!X:X)+SUMIF('Match History'!Z:Z,B44,'Match History'!AB:AB)+SUMIF('Match History'!AD:AD,B44,'Match History'!AF:AF)+SUMIF('Match History'!AH:AH,B44,'Match History'!AJ:AJ)+SUMIF('Match History'!AL:AL,B44,'Match History'!AN:AN)+SUMIF('Match History'!AV:AV,B44,'Match History'!AX:AX)+SUMIF('Match History'!AZ:AZ,B44,'Match History'!BB:BB)+SUMIF('Match History'!BD:BD,B44,'Match History'!BF:BF)+SUMIF('Match History'!BH:BH,B44,'Match History'!BJ:BJ))/IF(F44=0,1,F44)</f>
        <v>13.49168207</v>
      </c>
      <c r="P44" s="21">
        <f t="array" ref="P44">MAX(MAX(IF('Match History'!B:B=B44,'Match History'!D:D,)),MAX(IF('Match History'!F:F=B44,'Match History'!H:H,)),MAX(IF('Match History'!J:J=B44,'Match History'!L:L,)),MAX(IF('Match History'!N:N=B44,'Match History'!P:P,)),MAX(IF('Match History'!R:R=B44,'Match History'!T:T,)),MAX(IF('Match History'!V:V=B44,'Match History'!X:X,)),MAX(IF('Match History'!Z:Z=B44,'Match History'!AB:AB,)),MAX(IF('Match History'!AD:AD=B44,'Match History'!AF:AF,)),MAX(IF('Match History'!AH:AH=B44,'Match History'!AJ:AJ,)),MAX(IF('Match History'!AL:AL=B44,'Match History'!AN:AN,)),MAX(IF('Match History'!AV:AV=B44,'Match History'!AX:AX,)),MAX(IF('Match History'!AZ:AZ=B44,'Match History'!BB:BB,)),MAX(IF('Match History'!BD:BD=B44,'Match History'!BF:BF,)),MAX(IF('Match History'!BH:BH=B44,'Match History'!BJ:BJ,)))</f>
        <v>34</v>
      </c>
      <c r="Q44" s="21">
        <f t="array" ref="Q44">IF(F44=0,0,MIN(MIN(IF('Match History'!B:B=B44,'Match History'!D:D,999)),MIN(IF('Match History'!F:F=B44,'Match History'!H:H,999)),MIN(IF('Match History'!J:J=B44,'Match History'!L:L,999)),MIN(IF('Match History'!N:N=B44,'Match History'!P:P,999)),MIN(IF('Match History'!R:R=B44,'Match History'!T:T,999)),MIN(IF('Match History'!V:V=B44,'Match History'!X:X,999)),MIN(IF('Match History'!Z:Z=B44,'Match History'!AB:AB,999)),MIN(IF('Match History'!AD:AD=B44,'Match History'!AF:AF,999)),MIN(IF('Match History'!AH:AH=B44,'Match History'!AJ:AJ,999)),MIN(IF('Match History'!AL:AL=B44,'Match History'!AN:AN,999)),MIN(IF('Match History'!AV:AV=B44,'Match History'!AX:AX,999)),MIN(IF('Match History'!AZ:AZ=B44,'Match History'!BB:BB,999)),MIN(IF('Match History'!BD:BD=B44,'Match History'!BF:BF,999)),MIN(IF('Match History'!BH:BH=B44,'Match History'!BJ:BJ,999))))</f>
        <v>1</v>
      </c>
      <c r="R44" s="21">
        <f>COUNTIFS('Match History'!B:B,B44,'Match History'!A:A,"&gt;="&amp;(DATE(2022,12,31)-30))+COUNTIFS('Match History'!F:F,B44,'Match History'!A:A,"&gt;="&amp;(DATE(2022,12,31)-30))+COUNTIFS('Match History'!J:J,B44,'Match History'!A:A,"&gt;="&amp;(DATE(2022,12,31)-30))+COUNTIFS('Match History'!N:N,B44,'Match History'!A:A,"&gt;="&amp;(DATE(2022,12,31)-30))+COUNTIFS('Match History'!R:R,B44,'Match History'!A:A,"&gt;="&amp;(DATE(2022,12,31)-30))+COUNTIFS('Match History'!V:V,B44,'Match History'!A:A,"&gt;="&amp;(DATE(2022,12,31)-30))+COUNTIFS('Match History'!Z:Z,B44,'Match History'!A:A,"&gt;="&amp;(DATE(2022,12,31)-30))+COUNTIFS('Match History'!AD:AD,B44,'Match History'!A:A,"&gt;="&amp;(DATE(2022,12,31)-30))+COUNTIFS('Match History'!AH:AH,B44,'Match History'!A:A,"&gt;="&amp;(DATE(2022,12,31)-30))+COUNTIFS('Match History'!AL:AL,B44,'Match History'!A:A,"&gt;="&amp;(DATE(2022,12,31)-30))+COUNTIFS('Match History'!AV:AV,B44,'Match History'!A:A,"&gt;="&amp;(DATE(2022,12,31)-30))+COUNTIFS('Match History'!AZ:AZ,B44,'Match History'!A:A,"&gt;="&amp;(DATE(2022,12,31)-30))+COUNTIFS('Match History'!BD:BD,B44,'Match History'!A:A,"&gt;="&amp;(DATE(2022,12,31)-30))+COUNTIFS('Match History'!BH:BH,B44,'Match History'!A:A,"&gt;="&amp;(DATE(2022,12,31)-30))
</f>
        <v>16</v>
      </c>
      <c r="S44" s="21">
        <f>COUNTIFS('Match History'!B:B,B44,'Match History'!A:A,"&gt;="&amp;(DATE(2022,12,31)-365))+COUNTIFS('Match History'!F:F,B44,'Match History'!A:A,"&gt;="&amp;(DATE(2022,12,31)-365))+COUNTIFS('Match History'!J:J,B44,'Match History'!A:A,"&gt;="&amp;(DATE(2022,12,31)-365))+COUNTIFS('Match History'!N:N,B44,'Match History'!A:A,"&gt;="&amp;(DATE(2022,12,31)-365))+COUNTIFS('Match History'!R:R,B44,'Match History'!A:A,"&gt;="&amp;(DATE(2022,12,31)-365))+COUNTIFS('Match History'!V:V,B44,'Match History'!A:A,"&gt;="&amp;(DATE(2022,12,31)-365))+COUNTIFS('Match History'!Z:Z,B44,'Match History'!A:A,"&gt;="&amp;(DATE(2022,12,31)-365))+COUNTIFS('Match History'!AD:AD,B44,'Match History'!A:A,"&gt;="&amp;(DATE(2022,12,31)-365))+COUNTIFS('Match History'!AH:AH,B44,'Match History'!A:A,"&gt;="&amp;(DATE(2022,12,31)-365))+COUNTIFS('Match History'!AL:AL,B44,'Match History'!A:A,"&gt;="&amp;(DATE(2022,12,31)-365))+COUNTIFS('Match History'!AV:AV,B44,'Match History'!A:A,"&gt;="&amp;(DATE(2022,12,31)-365))+COUNTIFS('Match History'!AZ:AZ,B44,'Match History'!A:A,"&gt;="&amp;(DATE(2022,12,31)-365))+COUNTIFS('Match History'!BD:BD,B44,'Match History'!A:A,"&gt;="&amp;(DATE(2022,12,31)-365))+COUNTIFS('Match History'!BH:BH,B44,'Match History'!A:A,"&gt;="&amp;(DATE(2022,12,31)-365))
</f>
        <v>214</v>
      </c>
      <c r="T44" s="20">
        <f t="array" ref="T44">IF(F44=0,0,INDEX('Match History'!B:BK,MATCH(N44,'Match History'!A:A,0),MATCH(B44,INDEX('Match History'!B:BK,MATCH(N44,'Match History'!A:A,0),0),0)+3)-INDEX('Match History'!B:BK,MATCH(N44,'Match History'!A:A,0),MATCH(B44,INDEX('Match History'!B:BK,MATCH(N44,'Match History'!A:A,0),0),0)+1))</f>
        <v>-3.534918877</v>
      </c>
      <c r="U44" s="21">
        <f>COUNTIFS('Match History'!B:B,B44,'Match History'!A:A,"&gt;="&amp;(DATE(2022,12,31)-92))
+COUNTIFS('Match History'!F:F,B44,'Match History'!A:A,"&gt;="&amp;(DATE(2022,12,31)-92))
+COUNTIFS('Match History'!J:J,B44,'Match History'!A:A,"&gt;="&amp;(DATE(2022,12,31)-92))
+COUNTIFS('Match History'!N:N,B44,'Match History'!A:A,"&gt;="&amp;(DATE(2022,12,31)-92))
+COUNTIFS('Match History'!R:R,B44,'Match History'!A:A,"&gt;="&amp;(DATE(2022,12,31)-92))
+COUNTIFS('Match History'!V:V,B44,'Match History'!A:A,"&gt;="&amp;(DATE(2022,12,31)-92))
+COUNTIFS('Match History'!Z:Z,B44,'Match History'!A:A,"&gt;="&amp;(DATE(2022,12,31)-92))
+COUNTIFS('Match History'!AD:AD,B44,'Match History'!A:A,"&gt;="&amp;(DATE(2022,12,31)-92))
+COUNTIFS('Match History'!AH:AH,B44,'Match History'!A:A,"&gt;="&amp;(DATE(2022,12,31)-92))
+COUNTIFS('Match History'!AL:AL,B44,'Match History'!A:A,"&gt;="&amp;(DATE(2022,12,31)-92))
+COUNTIFS('Match History'!AV:AV,B44,'Match History'!A:A,"&gt;="&amp;(DATE(2022,12,31)-92))
+COUNTIFS('Match History'!AZ:AZ,B44,'Match History'!A:A,"&gt;="&amp;(DATE(2022,12,31)-92))
+COUNTIFS('Match History'!BD:BD,B44,'Match History'!A:A,"&gt;="&amp;(DATE(2022,12,31)-92))
+COUNTIFS('Match History'!BH:BH,B44,'Match History'!A:A,"&gt;="&amp;(DATE(2022,12,31)-92))
</f>
        <v>42</v>
      </c>
      <c r="V44" s="20">
        <f>IF(U44=0,0,(SUMIFS('Match History'!D:D,'Match History'!A:A,"&gt;=10/01/2022 00:00",'Match History'!A:A,"&lt;=12/31/2022 23:59",'Match History'!B:B,B44)
+SUMIFS('Match History'!H:H,'Match History'!A:A,"&gt;=10/01/2022 00:00",'Match History'!A:A,"&lt;=12/31/2022 23:59",'Match History'!F:F,B44)
+SUMIFS('Match History'!L:L,'Match History'!A:A,"&gt;=10/01/2022 00:00",'Match History'!A:A,"&lt;=12/31/2022 23:59",'Match History'!J:J,B44)
+SUMIFS('Match History'!P:P,'Match History'!A:A,"&gt;=10/01/2022 00:00",'Match History'!A:A,"&lt;=12/31/2022 23:59",'Match History'!N:N,B44)
+SUMIFS('Match History'!T:T,'Match History'!A:A,"&gt;=10/01/2022 00:00",'Match History'!A:A,"&lt;=12/31/2022 23:59",'Match History'!R:R,B44)
+SUMIFS('Match History'!X:X,'Match History'!A:A,"&gt;=10/01/2022 00:00",'Match History'!A:A,"&lt;=12/31/2022 23:59",'Match History'!V:V,B44)
+SUMIFS('Match History'!AB:AB,'Match History'!A:A,"&gt;=10/01/2022 00:00",'Match History'!A:A,"&lt;=12/31/2022 23:59",'Match History'!Z:Z,B44)
+SUMIFS('Match History'!AF:AF,'Match History'!A:A,"&gt;=10/01/2022 00:00",'Match History'!A:A,"&lt;=12/31/2022 23:59",'Match History'!AD:AD,B44)
+SUMIFS('Match History'!AJ:AJ,'Match History'!A:A,"&gt;=10/01/2022 00:00",'Match History'!A:A,"&lt;=12/31/2022 23:59",'Match History'!AH:AH,B44)
+SUMIFS('Match History'!AN:AN,'Match History'!A:A,"&gt;=10/01/2022 00:00",'Match History'!A:A,"&lt;=12/31/2022 23:59",'Match History'!AL:AL,B44)
+SUMIFS('Match History'!AX:AX,'Match History'!A:A,"&gt;=10/01/2022 00:00",'Match History'!A:A,"&lt;=12/31/2022 23:59",'Match History'!AV:AV,B44)+SUMIFS('Match History'!BB:BB,'Match History'!A:A,"&gt;=10/01/2022 00:00",'Match History'!A:A,"&lt;=12/31/2022 23:59",'Match History'!AZ:AZ,B44)
+SUMIFS('Match History'!BF:BF,'Match History'!A:A,"&gt;=10/01/2022 00:00",'Match History'!A:A,"&lt;=12/31/2022 23:59",'Match History'!BD:BD,B44)
+SUMIFS('Match History'!BJ:BJ,'Match History'!A:A,"&gt;=10/01/2022 00:00",'Match History'!A:A,"&lt;=12/31/2022 23:59",'Match History'!BH:BH,B44))/U44)
</f>
        <v>12.5</v>
      </c>
    </row>
    <row r="45" ht="21.0" customHeight="1">
      <c r="A45" s="59" t="s">
        <v>124</v>
      </c>
      <c r="B45" s="59" t="s">
        <v>125</v>
      </c>
      <c r="C45" s="12">
        <v>860.9565347556269</v>
      </c>
      <c r="D45" s="13">
        <f>NORMDIST(C45,1000,STDEV(Players!$C$2:$C$39)+0.00001,TRUE)</f>
        <v>0.04612712837</v>
      </c>
      <c r="E45" s="14"/>
      <c r="F45" s="47">
        <f>COUNTIF('Match History'!A:BK,"glowa")</f>
        <v>440</v>
      </c>
      <c r="G45" s="60" t="s">
        <v>24</v>
      </c>
      <c r="H45" s="29" t="s">
        <v>126</v>
      </c>
      <c r="I45" s="29" t="s">
        <v>29</v>
      </c>
      <c r="J45" s="43">
        <v>1.0</v>
      </c>
      <c r="K45" s="43">
        <v>3.0</v>
      </c>
      <c r="L45" s="18" t="b">
        <f t="shared" si="2"/>
        <v>1</v>
      </c>
      <c r="M45" s="17" t="b">
        <v>0</v>
      </c>
      <c r="N45" s="19">
        <f t="array" ref="N45">IF(F45=0, "no war", INDEX('Match History'!A:A, MAX(MAX(('Match History'!B:B=B45)*(ROW('Match History'!B:B))),MAX(('Match History'!F:F=B45)*(ROW('Match History'!F:F))),MAX(('Match History'!J:J=B45)*(ROW('Match History'!J:J))),MAX(('Match History'!N:N=B45)*(ROW('Match History'!N:N))),MAX(('Match History'!R:R=B45)*(ROW('Match History'!R:R))),MAX(('Match History'!V:V=B45)*(ROW('Match History'!V:V))),MAX(('Match History'!Z:Z=B45)*(ROW('Match History'!Z:Z))),MAX(('Match History'!AD:AD=B45)*(ROW('Match History'!AD:AD))),MAX(('Match History'!AH:AH=B45)*(ROW('Match History'!AH:AH))),MAX(('Match History'!AL:AL=B45)*(ROW('Match History'!AL:AL))),MAX(('Match History'!AV:AV=B45)*(ROW('Match History'!AV:AV))),MAX(('Match History'!AZ:AZ=B45)*(ROW('Match History'!AZ:AZ))),MAX(('Match History'!BD:BD=B45)*(ROW('Match History'!BD:BD))),MAX(('Match History'!BH:BH=B45)*(ROW('Match History'!BH:BH)))), 1))
</f>
        <v>44926.11415</v>
      </c>
      <c r="O45" s="20">
        <f>(SUMIF('Match History'!B:B,B45,'Match History'!D:D)+SUMIF('Match History'!F:F,B45,'Match History'!H:H)+SUMIF('Match History'!J:J,B45,'Match History'!L:L)+SUMIF('Match History'!N:N,B45,'Match History'!P:P)+SUMIF('Match History'!R:R,B45,'Match History'!T:T)+SUMIF('Match History'!V:V,B45,'Match History'!X:X)+SUMIF('Match History'!Z:Z,B45,'Match History'!AB:AB)+SUMIF('Match History'!AD:AD,B45,'Match History'!AF:AF)+SUMIF('Match History'!AH:AH,B45,'Match History'!AJ:AJ)+SUMIF('Match History'!AL:AL,B45,'Match History'!AN:AN)+SUMIF('Match History'!AV:AV,B45,'Match History'!AX:AX)+SUMIF('Match History'!AZ:AZ,B45,'Match History'!BB:BB)+SUMIF('Match History'!BD:BD,B45,'Match History'!BF:BF)+SUMIF('Match History'!BH:BH,B45,'Match History'!BJ:BJ))/IF(F45=0,1,F45)</f>
        <v>13.78181818</v>
      </c>
      <c r="P45" s="21">
        <f t="array" ref="P45">MAX(MAX(IF('Match History'!B:B=B45,'Match History'!D:D,)),MAX(IF('Match History'!F:F=B45,'Match History'!H:H,)),MAX(IF('Match History'!J:J=B45,'Match History'!L:L,)),MAX(IF('Match History'!N:N=B45,'Match History'!P:P,)),MAX(IF('Match History'!R:R=B45,'Match History'!T:T,)),MAX(IF('Match History'!V:V=B45,'Match History'!X:X,)),MAX(IF('Match History'!Z:Z=B45,'Match History'!AB:AB,)),MAX(IF('Match History'!AD:AD=B45,'Match History'!AF:AF,)),MAX(IF('Match History'!AH:AH=B45,'Match History'!AJ:AJ,)),MAX(IF('Match History'!AL:AL=B45,'Match History'!AN:AN,)),MAX(IF('Match History'!AV:AV=B45,'Match History'!AX:AX,)),MAX(IF('Match History'!AZ:AZ=B45,'Match History'!BB:BB,)),MAX(IF('Match History'!BD:BD=B45,'Match History'!BF:BF,)),MAX(IF('Match History'!BH:BH=B45,'Match History'!BJ:BJ,)))</f>
        <v>37</v>
      </c>
      <c r="Q45" s="21">
        <f t="array" ref="Q45">IF(F45=0,0,MIN(MIN(IF('Match History'!B:B=B45,'Match History'!D:D,999)),MIN(IF('Match History'!F:F=B45,'Match History'!H:H,999)),MIN(IF('Match History'!J:J=B45,'Match History'!L:L,999)),MIN(IF('Match History'!N:N=B45,'Match History'!P:P,999)),MIN(IF('Match History'!R:R=B45,'Match History'!T:T,999)),MIN(IF('Match History'!V:V=B45,'Match History'!X:X,999)),MIN(IF('Match History'!Z:Z=B45,'Match History'!AB:AB,999)),MIN(IF('Match History'!AD:AD=B45,'Match History'!AF:AF,999)),MIN(IF('Match History'!AH:AH=B45,'Match History'!AJ:AJ,999)),MIN(IF('Match History'!AL:AL=B45,'Match History'!AN:AN,999)),MIN(IF('Match History'!AV:AV=B45,'Match History'!AX:AX,999)),MIN(IF('Match History'!AZ:AZ=B45,'Match History'!BB:BB,999)),MIN(IF('Match History'!BD:BD=B45,'Match History'!BF:BF,999)),MIN(IF('Match History'!BH:BH=B45,'Match History'!BJ:BJ,999))))</f>
        <v>0</v>
      </c>
      <c r="R45" s="21">
        <f>COUNTIFS('Match History'!B:B,B45,'Match History'!A:A,"&gt;="&amp;(DATE(2022,12,31)-30))+COUNTIFS('Match History'!F:F,B45,'Match History'!A:A,"&gt;="&amp;(DATE(2022,12,31)-30))+COUNTIFS('Match History'!J:J,B45,'Match History'!A:A,"&gt;="&amp;(DATE(2022,12,31)-30))+COUNTIFS('Match History'!N:N,B45,'Match History'!A:A,"&gt;="&amp;(DATE(2022,12,31)-30))+COUNTIFS('Match History'!R:R,B45,'Match History'!A:A,"&gt;="&amp;(DATE(2022,12,31)-30))+COUNTIFS('Match History'!V:V,B45,'Match History'!A:A,"&gt;="&amp;(DATE(2022,12,31)-30))+COUNTIFS('Match History'!Z:Z,B45,'Match History'!A:A,"&gt;="&amp;(DATE(2022,12,31)-30))+COUNTIFS('Match History'!AD:AD,B45,'Match History'!A:A,"&gt;="&amp;(DATE(2022,12,31)-30))+COUNTIFS('Match History'!AH:AH,B45,'Match History'!A:A,"&gt;="&amp;(DATE(2022,12,31)-30))+COUNTIFS('Match History'!AL:AL,B45,'Match History'!A:A,"&gt;="&amp;(DATE(2022,12,31)-30))+COUNTIFS('Match History'!AV:AV,B45,'Match History'!A:A,"&gt;="&amp;(DATE(2022,12,31)-30))+COUNTIFS('Match History'!AZ:AZ,B45,'Match History'!A:A,"&gt;="&amp;(DATE(2022,12,31)-30))+COUNTIFS('Match History'!BD:BD,B45,'Match History'!A:A,"&gt;="&amp;(DATE(2022,12,31)-30))+COUNTIFS('Match History'!BH:BH,B45,'Match History'!A:A,"&gt;="&amp;(DATE(2022,12,31)-30))
</f>
        <v>69</v>
      </c>
      <c r="S45" s="21">
        <f>COUNTIFS('Match History'!B:B,B45,'Match History'!A:A,"&gt;="&amp;(DATE(2022,12,31)-365))+COUNTIFS('Match History'!F:F,B45,'Match History'!A:A,"&gt;="&amp;(DATE(2022,12,31)-365))+COUNTIFS('Match History'!J:J,B45,'Match History'!A:A,"&gt;="&amp;(DATE(2022,12,31)-365))+COUNTIFS('Match History'!N:N,B45,'Match History'!A:A,"&gt;="&amp;(DATE(2022,12,31)-365))+COUNTIFS('Match History'!R:R,B45,'Match History'!A:A,"&gt;="&amp;(DATE(2022,12,31)-365))+COUNTIFS('Match History'!V:V,B45,'Match History'!A:A,"&gt;="&amp;(DATE(2022,12,31)-365))+COUNTIFS('Match History'!Z:Z,B45,'Match History'!A:A,"&gt;="&amp;(DATE(2022,12,31)-365))+COUNTIFS('Match History'!AD:AD,B45,'Match History'!A:A,"&gt;="&amp;(DATE(2022,12,31)-365))+COUNTIFS('Match History'!AH:AH,B45,'Match History'!A:A,"&gt;="&amp;(DATE(2022,12,31)-365))+COUNTIFS('Match History'!AL:AL,B45,'Match History'!A:A,"&gt;="&amp;(DATE(2022,12,31)-365))+COUNTIFS('Match History'!AV:AV,B45,'Match History'!A:A,"&gt;="&amp;(DATE(2022,12,31)-365))+COUNTIFS('Match History'!AZ:AZ,B45,'Match History'!A:A,"&gt;="&amp;(DATE(2022,12,31)-365))+COUNTIFS('Match History'!BD:BD,B45,'Match History'!A:A,"&gt;="&amp;(DATE(2022,12,31)-365))+COUNTIFS('Match History'!BH:BH,B45,'Match History'!A:A,"&gt;="&amp;(DATE(2022,12,31)-365))
</f>
        <v>379</v>
      </c>
      <c r="T45" s="20">
        <f t="array" ref="T45">IF(F45=0,0,INDEX('Match History'!B:BK,MATCH(N45,'Match History'!A:A,0),MATCH(B45,INDEX('Match History'!B:BK,MATCH(N45,'Match History'!A:A,0),0),0)+3)-INDEX('Match History'!B:BK,MATCH(N45,'Match History'!A:A,0),MATCH(B45,INDEX('Match History'!B:BK,MATCH(N45,'Match History'!A:A,0),0),0)+1))</f>
        <v>-7.189734702</v>
      </c>
      <c r="U45" s="21">
        <f>COUNTIFS('Match History'!B:B,B45,'Match History'!A:A,"&gt;="&amp;(DATE(2022,12,31)-92))
+COUNTIFS('Match History'!F:F,B45,'Match History'!A:A,"&gt;="&amp;(DATE(2022,12,31)-92))
+COUNTIFS('Match History'!J:J,B45,'Match History'!A:A,"&gt;="&amp;(DATE(2022,12,31)-92))
+COUNTIFS('Match History'!N:N,B45,'Match History'!A:A,"&gt;="&amp;(DATE(2022,12,31)-92))
+COUNTIFS('Match History'!R:R,B45,'Match History'!A:A,"&gt;="&amp;(DATE(2022,12,31)-92))
+COUNTIFS('Match History'!V:V,B45,'Match History'!A:A,"&gt;="&amp;(DATE(2022,12,31)-92))
+COUNTIFS('Match History'!Z:Z,B45,'Match History'!A:A,"&gt;="&amp;(DATE(2022,12,31)-92))
+COUNTIFS('Match History'!AD:AD,B45,'Match History'!A:A,"&gt;="&amp;(DATE(2022,12,31)-92))
+COUNTIFS('Match History'!AH:AH,B45,'Match History'!A:A,"&gt;="&amp;(DATE(2022,12,31)-92))
+COUNTIFS('Match History'!AL:AL,B45,'Match History'!A:A,"&gt;="&amp;(DATE(2022,12,31)-92))
+COUNTIFS('Match History'!AV:AV,B45,'Match History'!A:A,"&gt;="&amp;(DATE(2022,12,31)-92))
+COUNTIFS('Match History'!AZ:AZ,B45,'Match History'!A:A,"&gt;="&amp;(DATE(2022,12,31)-92))
+COUNTIFS('Match History'!BD:BD,B45,'Match History'!A:A,"&gt;="&amp;(DATE(2022,12,31)-92))
+COUNTIFS('Match History'!BH:BH,B45,'Match History'!A:A,"&gt;="&amp;(DATE(2022,12,31)-92))
</f>
        <v>148</v>
      </c>
      <c r="V45" s="20">
        <f>IF(U45=0,0,(SUMIFS('Match History'!D:D,'Match History'!A:A,"&gt;=10/01/2022 00:00",'Match History'!A:A,"&lt;=12/31/2022 23:59",'Match History'!B:B,B45)
+SUMIFS('Match History'!H:H,'Match History'!A:A,"&gt;=10/01/2022 00:00",'Match History'!A:A,"&lt;=12/31/2022 23:59",'Match History'!F:F,B45)
+SUMIFS('Match History'!L:L,'Match History'!A:A,"&gt;=10/01/2022 00:00",'Match History'!A:A,"&lt;=12/31/2022 23:59",'Match History'!J:J,B45)
+SUMIFS('Match History'!P:P,'Match History'!A:A,"&gt;=10/01/2022 00:00",'Match History'!A:A,"&lt;=12/31/2022 23:59",'Match History'!N:N,B45)
+SUMIFS('Match History'!T:T,'Match History'!A:A,"&gt;=10/01/2022 00:00",'Match History'!A:A,"&lt;=12/31/2022 23:59",'Match History'!R:R,B45)
+SUMIFS('Match History'!X:X,'Match History'!A:A,"&gt;=10/01/2022 00:00",'Match History'!A:A,"&lt;=12/31/2022 23:59",'Match History'!V:V,B45)
+SUMIFS('Match History'!AB:AB,'Match History'!A:A,"&gt;=10/01/2022 00:00",'Match History'!A:A,"&lt;=12/31/2022 23:59",'Match History'!Z:Z,B45)
+SUMIFS('Match History'!AF:AF,'Match History'!A:A,"&gt;=10/01/2022 00:00",'Match History'!A:A,"&lt;=12/31/2022 23:59",'Match History'!AD:AD,B45)
+SUMIFS('Match History'!AJ:AJ,'Match History'!A:A,"&gt;=10/01/2022 00:00",'Match History'!A:A,"&lt;=12/31/2022 23:59",'Match History'!AH:AH,B45)
+SUMIFS('Match History'!AN:AN,'Match History'!A:A,"&gt;=10/01/2022 00:00",'Match History'!A:A,"&lt;=12/31/2022 23:59",'Match History'!AL:AL,B45)
+SUMIFS('Match History'!AX:AX,'Match History'!A:A,"&gt;=10/01/2022 00:00",'Match History'!A:A,"&lt;=12/31/2022 23:59",'Match History'!AV:AV,B45)+SUMIFS('Match History'!BB:BB,'Match History'!A:A,"&gt;=10/01/2022 00:00",'Match History'!A:A,"&lt;=12/31/2022 23:59",'Match History'!AZ:AZ,B45)
+SUMIFS('Match History'!BF:BF,'Match History'!A:A,"&gt;=10/01/2022 00:00",'Match History'!A:A,"&lt;=12/31/2022 23:59",'Match History'!BD:BD,B45)
+SUMIFS('Match History'!BJ:BJ,'Match History'!A:A,"&gt;=10/01/2022 00:00",'Match History'!A:A,"&lt;=12/31/2022 23:59",'Match History'!BH:BH,B45))/U45)
</f>
        <v>14.32432432</v>
      </c>
    </row>
    <row r="46" ht="21.0" customHeight="1">
      <c r="A46" s="68" t="s">
        <v>127</v>
      </c>
      <c r="B46" s="68" t="s">
        <v>127</v>
      </c>
      <c r="C46" s="89">
        <v>732.6445600193459</v>
      </c>
      <c r="D46" s="77">
        <f>NORMDIST(C46,1000,STDEV(Players!$C$2:$C$39)+0.00001,TRUE)</f>
        <v>0.0006033208116</v>
      </c>
      <c r="E46" s="68"/>
      <c r="F46" s="75">
        <f>COUNTIF('Match History'!A:BK,"official6")</f>
        <v>67</v>
      </c>
      <c r="G46" s="75" t="s">
        <v>51</v>
      </c>
      <c r="H46" s="75" t="s">
        <v>29</v>
      </c>
      <c r="I46" s="90" t="s">
        <v>29</v>
      </c>
      <c r="L46" s="18" t="b">
        <f t="shared" si="2"/>
        <v>1</v>
      </c>
      <c r="M46" s="17" t="b">
        <v>0</v>
      </c>
      <c r="N46" s="19">
        <f t="array" ref="N46">IF(F46=0, "no war", INDEX('Match History'!A:A, MAX(MAX(('Match History'!B:B=B46)*(ROW('Match History'!B:B))),MAX(('Match History'!F:F=B46)*(ROW('Match History'!F:F))),MAX(('Match History'!J:J=B46)*(ROW('Match History'!J:J))),MAX(('Match History'!N:N=B46)*(ROW('Match History'!N:N))),MAX(('Match History'!R:R=B46)*(ROW('Match History'!R:R))),MAX(('Match History'!V:V=B46)*(ROW('Match History'!V:V))),MAX(('Match History'!Z:Z=B46)*(ROW('Match History'!Z:Z))),MAX(('Match History'!AD:AD=B46)*(ROW('Match History'!AD:AD))),MAX(('Match History'!AH:AH=B46)*(ROW('Match History'!AH:AH))),MAX(('Match History'!AL:AL=B46)*(ROW('Match History'!AL:AL))),MAX(('Match History'!AV:AV=B46)*(ROW('Match History'!AV:AV))),MAX(('Match History'!AZ:AZ=B46)*(ROW('Match History'!AZ:AZ))),MAX(('Match History'!BD:BD=B46)*(ROW('Match History'!BD:BD))),MAX(('Match History'!BH:BH=B46)*(ROW('Match History'!BH:BH)))), 1))
</f>
        <v>44926.06349</v>
      </c>
      <c r="O46" s="20">
        <f>(SUMIF('Match History'!B:B,B46,'Match History'!D:D)+SUMIF('Match History'!F:F,B46,'Match History'!H:H)+SUMIF('Match History'!J:J,B46,'Match History'!L:L)+SUMIF('Match History'!N:N,B46,'Match History'!P:P)+SUMIF('Match History'!R:R,B46,'Match History'!T:T)+SUMIF('Match History'!V:V,B46,'Match History'!X:X)+SUMIF('Match History'!Z:Z,B46,'Match History'!AB:AB)+SUMIF('Match History'!AD:AD,B46,'Match History'!AF:AF)+SUMIF('Match History'!AH:AH,B46,'Match History'!AJ:AJ)+SUMIF('Match History'!AL:AL,B46,'Match History'!AN:AN)+SUMIF('Match History'!AV:AV,B46,'Match History'!AX:AX)+SUMIF('Match History'!AZ:AZ,B46,'Match History'!BB:BB)+SUMIF('Match History'!BD:BD,B46,'Match History'!BF:BF)+SUMIF('Match History'!BH:BH,B46,'Match History'!BJ:BJ))/IF(F46=0,1,F46)</f>
        <v>6.268656716</v>
      </c>
      <c r="P46" s="21">
        <f t="array" ref="P46">MAX(MAX(IF('Match History'!B:B=B46,'Match History'!D:D,)),MAX(IF('Match History'!F:F=B46,'Match History'!H:H,)),MAX(IF('Match History'!J:J=B46,'Match History'!L:L,)),MAX(IF('Match History'!N:N=B46,'Match History'!P:P,)),MAX(IF('Match History'!R:R=B46,'Match History'!T:T,)),MAX(IF('Match History'!V:V=B46,'Match History'!X:X,)),MAX(IF('Match History'!Z:Z=B46,'Match History'!AB:AB,)),MAX(IF('Match History'!AD:AD=B46,'Match History'!AF:AF,)),MAX(IF('Match History'!AH:AH=B46,'Match History'!AJ:AJ,)),MAX(IF('Match History'!AL:AL=B46,'Match History'!AN:AN,)),MAX(IF('Match History'!AV:AV=B46,'Match History'!AX:AX,)),MAX(IF('Match History'!AZ:AZ=B46,'Match History'!BB:BB,)),MAX(IF('Match History'!BD:BD=B46,'Match History'!BF:BF,)),MAX(IF('Match History'!BH:BH=B46,'Match History'!BJ:BJ,)))</f>
        <v>18</v>
      </c>
      <c r="Q46" s="21">
        <f t="array" ref="Q46">IF(F46=0,0,MIN(MIN(IF('Match History'!B:B=B46,'Match History'!D:D,999)),MIN(IF('Match History'!F:F=B46,'Match History'!H:H,999)),MIN(IF('Match History'!J:J=B46,'Match History'!L:L,999)),MIN(IF('Match History'!N:N=B46,'Match History'!P:P,999)),MIN(IF('Match History'!R:R=B46,'Match History'!T:T,999)),MIN(IF('Match History'!V:V=B46,'Match History'!X:X,999)),MIN(IF('Match History'!Z:Z=B46,'Match History'!AB:AB,999)),MIN(IF('Match History'!AD:AD=B46,'Match History'!AF:AF,999)),MIN(IF('Match History'!AH:AH=B46,'Match History'!AJ:AJ,999)),MIN(IF('Match History'!AL:AL=B46,'Match History'!AN:AN,999)),MIN(IF('Match History'!AV:AV=B46,'Match History'!AX:AX,999)),MIN(IF('Match History'!AZ:AZ=B46,'Match History'!BB:BB,999)),MIN(IF('Match History'!BD:BD=B46,'Match History'!BF:BF,999)),MIN(IF('Match History'!BH:BH=B46,'Match History'!BJ:BJ,999))))</f>
        <v>0</v>
      </c>
      <c r="R46" s="21">
        <f>COUNTIFS('Match History'!B:B,B46,'Match History'!A:A,"&gt;="&amp;(DATE(2022,12,31)-30))+COUNTIFS('Match History'!F:F,B46,'Match History'!A:A,"&gt;="&amp;(DATE(2022,12,31)-30))+COUNTIFS('Match History'!J:J,B46,'Match History'!A:A,"&gt;="&amp;(DATE(2022,12,31)-30))+COUNTIFS('Match History'!N:N,B46,'Match History'!A:A,"&gt;="&amp;(DATE(2022,12,31)-30))+COUNTIFS('Match History'!R:R,B46,'Match History'!A:A,"&gt;="&amp;(DATE(2022,12,31)-30))+COUNTIFS('Match History'!V:V,B46,'Match History'!A:A,"&gt;="&amp;(DATE(2022,12,31)-30))+COUNTIFS('Match History'!Z:Z,B46,'Match History'!A:A,"&gt;="&amp;(DATE(2022,12,31)-30))+COUNTIFS('Match History'!AD:AD,B46,'Match History'!A:A,"&gt;="&amp;(DATE(2022,12,31)-30))+COUNTIFS('Match History'!AH:AH,B46,'Match History'!A:A,"&gt;="&amp;(DATE(2022,12,31)-30))+COUNTIFS('Match History'!AL:AL,B46,'Match History'!A:A,"&gt;="&amp;(DATE(2022,12,31)-30))+COUNTIFS('Match History'!AV:AV,B46,'Match History'!A:A,"&gt;="&amp;(DATE(2022,12,31)-30))+COUNTIFS('Match History'!AZ:AZ,B46,'Match History'!A:A,"&gt;="&amp;(DATE(2022,12,31)-30))+COUNTIFS('Match History'!BD:BD,B46,'Match History'!A:A,"&gt;="&amp;(DATE(2022,12,31)-30))+COUNTIFS('Match History'!BH:BH,B46,'Match History'!A:A,"&gt;="&amp;(DATE(2022,12,31)-30))
</f>
        <v>8</v>
      </c>
      <c r="S46" s="21">
        <f>COUNTIFS('Match History'!B:B,B46,'Match History'!A:A,"&gt;="&amp;(DATE(2022,12,31)-365))+COUNTIFS('Match History'!F:F,B46,'Match History'!A:A,"&gt;="&amp;(DATE(2022,12,31)-365))+COUNTIFS('Match History'!J:J,B46,'Match History'!A:A,"&gt;="&amp;(DATE(2022,12,31)-365))+COUNTIFS('Match History'!N:N,B46,'Match History'!A:A,"&gt;="&amp;(DATE(2022,12,31)-365))+COUNTIFS('Match History'!R:R,B46,'Match History'!A:A,"&gt;="&amp;(DATE(2022,12,31)-365))+COUNTIFS('Match History'!V:V,B46,'Match History'!A:A,"&gt;="&amp;(DATE(2022,12,31)-365))+COUNTIFS('Match History'!Z:Z,B46,'Match History'!A:A,"&gt;="&amp;(DATE(2022,12,31)-365))+COUNTIFS('Match History'!AD:AD,B46,'Match History'!A:A,"&gt;="&amp;(DATE(2022,12,31)-365))+COUNTIFS('Match History'!AH:AH,B46,'Match History'!A:A,"&gt;="&amp;(DATE(2022,12,31)-365))+COUNTIFS('Match History'!AL:AL,B46,'Match History'!A:A,"&gt;="&amp;(DATE(2022,12,31)-365))+COUNTIFS('Match History'!AV:AV,B46,'Match History'!A:A,"&gt;="&amp;(DATE(2022,12,31)-365))+COUNTIFS('Match History'!AZ:AZ,B46,'Match History'!A:A,"&gt;="&amp;(DATE(2022,12,31)-365))+COUNTIFS('Match History'!BD:BD,B46,'Match History'!A:A,"&gt;="&amp;(DATE(2022,12,31)-365))+COUNTIFS('Match History'!BH:BH,B46,'Match History'!A:A,"&gt;="&amp;(DATE(2022,12,31)-365))
</f>
        <v>10</v>
      </c>
      <c r="T46" s="20">
        <f t="array" ref="T46">IF(F46=0,0,INDEX('Match History'!B:BK,MATCH(N46,'Match History'!A:A,0),MATCH(B46,INDEX('Match History'!B:BK,MATCH(N46,'Match History'!A:A,0),0),0)+3)-INDEX('Match History'!B:BK,MATCH(N46,'Match History'!A:A,0),MATCH(B46,INDEX('Match History'!B:BK,MATCH(N46,'Match History'!A:A,0),0),0)+1))</f>
        <v>-3.32500133</v>
      </c>
      <c r="U46" s="21">
        <f>COUNTIFS('Match History'!B:B,B46,'Match History'!A:A,"&gt;="&amp;(DATE(2022,12,31)-92))
+COUNTIFS('Match History'!F:F,B46,'Match History'!A:A,"&gt;="&amp;(DATE(2022,12,31)-92))
+COUNTIFS('Match History'!J:J,B46,'Match History'!A:A,"&gt;="&amp;(DATE(2022,12,31)-92))
+COUNTIFS('Match History'!N:N,B46,'Match History'!A:A,"&gt;="&amp;(DATE(2022,12,31)-92))
+COUNTIFS('Match History'!R:R,B46,'Match History'!A:A,"&gt;="&amp;(DATE(2022,12,31)-92))
+COUNTIFS('Match History'!V:V,B46,'Match History'!A:A,"&gt;="&amp;(DATE(2022,12,31)-92))
+COUNTIFS('Match History'!Z:Z,B46,'Match History'!A:A,"&gt;="&amp;(DATE(2022,12,31)-92))
+COUNTIFS('Match History'!AD:AD,B46,'Match History'!A:A,"&gt;="&amp;(DATE(2022,12,31)-92))
+COUNTIFS('Match History'!AH:AH,B46,'Match History'!A:A,"&gt;="&amp;(DATE(2022,12,31)-92))
+COUNTIFS('Match History'!AL:AL,B46,'Match History'!A:A,"&gt;="&amp;(DATE(2022,12,31)-92))
+COUNTIFS('Match History'!AV:AV,B46,'Match History'!A:A,"&gt;="&amp;(DATE(2022,12,31)-92))
+COUNTIFS('Match History'!AZ:AZ,B46,'Match History'!A:A,"&gt;="&amp;(DATE(2022,12,31)-92))
+COUNTIFS('Match History'!BD:BD,B46,'Match History'!A:A,"&gt;="&amp;(DATE(2022,12,31)-92))
+COUNTIFS('Match History'!BH:BH,B46,'Match History'!A:A,"&gt;="&amp;(DATE(2022,12,31)-92))
</f>
        <v>8</v>
      </c>
      <c r="V46" s="20">
        <f>IF(U46=0,0,(SUMIFS('Match History'!D:D,'Match History'!A:A,"&gt;=10/01/2022 00:00",'Match History'!A:A,"&lt;=12/31/2022 23:59",'Match History'!B:B,B46)
+SUMIFS('Match History'!H:H,'Match History'!A:A,"&gt;=10/01/2022 00:00",'Match History'!A:A,"&lt;=12/31/2022 23:59",'Match History'!F:F,B46)
+SUMIFS('Match History'!L:L,'Match History'!A:A,"&gt;=10/01/2022 00:00",'Match History'!A:A,"&lt;=12/31/2022 23:59",'Match History'!J:J,B46)
+SUMIFS('Match History'!P:P,'Match History'!A:A,"&gt;=10/01/2022 00:00",'Match History'!A:A,"&lt;=12/31/2022 23:59",'Match History'!N:N,B46)
+SUMIFS('Match History'!T:T,'Match History'!A:A,"&gt;=10/01/2022 00:00",'Match History'!A:A,"&lt;=12/31/2022 23:59",'Match History'!R:R,B46)
+SUMIFS('Match History'!X:X,'Match History'!A:A,"&gt;=10/01/2022 00:00",'Match History'!A:A,"&lt;=12/31/2022 23:59",'Match History'!V:V,B46)
+SUMIFS('Match History'!AB:AB,'Match History'!A:A,"&gt;=10/01/2022 00:00",'Match History'!A:A,"&lt;=12/31/2022 23:59",'Match History'!Z:Z,B46)
+SUMIFS('Match History'!AF:AF,'Match History'!A:A,"&gt;=10/01/2022 00:00",'Match History'!A:A,"&lt;=12/31/2022 23:59",'Match History'!AD:AD,B46)
+SUMIFS('Match History'!AJ:AJ,'Match History'!A:A,"&gt;=10/01/2022 00:00",'Match History'!A:A,"&lt;=12/31/2022 23:59",'Match History'!AH:AH,B46)
+SUMIFS('Match History'!AN:AN,'Match History'!A:A,"&gt;=10/01/2022 00:00",'Match History'!A:A,"&lt;=12/31/2022 23:59",'Match History'!AL:AL,B46)
+SUMIFS('Match History'!AX:AX,'Match History'!A:A,"&gt;=10/01/2022 00:00",'Match History'!A:A,"&lt;=12/31/2022 23:59",'Match History'!AV:AV,B46)+SUMIFS('Match History'!BB:BB,'Match History'!A:A,"&gt;=10/01/2022 00:00",'Match History'!A:A,"&lt;=12/31/2022 23:59",'Match History'!AZ:AZ,B46)
+SUMIFS('Match History'!BF:BF,'Match History'!A:A,"&gt;=10/01/2022 00:00",'Match History'!A:A,"&lt;=12/31/2022 23:59",'Match History'!BD:BD,B46)
+SUMIFS('Match History'!BJ:BJ,'Match History'!A:A,"&gt;=10/01/2022 00:00",'Match History'!A:A,"&lt;=12/31/2022 23:59",'Match History'!BH:BH,B46))/U46)
</f>
        <v>8.875</v>
      </c>
    </row>
    <row r="47" ht="21.0" customHeight="1">
      <c r="A47" s="44" t="s">
        <v>128</v>
      </c>
      <c r="B47" s="44" t="s">
        <v>129</v>
      </c>
      <c r="C47" s="45">
        <v>691.7004278567392</v>
      </c>
      <c r="D47" s="52">
        <f>NORMDIST(C47,1000,STDEV(Players!$C$2:$C$39)+0.00001,TRUE)</f>
        <v>0.00009457532266</v>
      </c>
      <c r="F47" s="75">
        <f>COUNTIF('Match History'!A:BK,"pelvis")</f>
        <v>43</v>
      </c>
      <c r="G47" s="48" t="s">
        <v>51</v>
      </c>
      <c r="H47" s="43" t="s">
        <v>130</v>
      </c>
      <c r="I47" s="81" t="s">
        <v>29</v>
      </c>
      <c r="L47" s="18" t="b">
        <f t="shared" si="2"/>
        <v>1</v>
      </c>
      <c r="M47" s="17" t="b">
        <v>0</v>
      </c>
      <c r="N47" s="19">
        <f t="array" ref="N47">IF(F47=0, "no war", INDEX('Match History'!A:A, MAX(MAX(('Match History'!B:B=B47)*(ROW('Match History'!B:B))),MAX(('Match History'!F:F=B47)*(ROW('Match History'!F:F))),MAX(('Match History'!J:J=B47)*(ROW('Match History'!J:J))),MAX(('Match History'!N:N=B47)*(ROW('Match History'!N:N))),MAX(('Match History'!R:R=B47)*(ROW('Match History'!R:R))),MAX(('Match History'!V:V=B47)*(ROW('Match History'!V:V))),MAX(('Match History'!Z:Z=B47)*(ROW('Match History'!Z:Z))),MAX(('Match History'!AD:AD=B47)*(ROW('Match History'!AD:AD))),MAX(('Match History'!AH:AH=B47)*(ROW('Match History'!AH:AH))),MAX(('Match History'!AL:AL=B47)*(ROW('Match History'!AL:AL))),MAX(('Match History'!AV:AV=B47)*(ROW('Match History'!AV:AV))),MAX(('Match History'!AZ:AZ=B47)*(ROW('Match History'!AZ:AZ))),MAX(('Match History'!BD:BD=B47)*(ROW('Match History'!BD:BD))),MAX(('Match History'!BH:BH=B47)*(ROW('Match History'!BH:BH)))), 1))
</f>
        <v>44926.06349</v>
      </c>
      <c r="O47" s="20">
        <f>(SUMIF('Match History'!B:B,B47,'Match History'!D:D)+SUMIF('Match History'!F:F,B47,'Match History'!H:H)+SUMIF('Match History'!J:J,B47,'Match History'!L:L)+SUMIF('Match History'!N:N,B47,'Match History'!P:P)+SUMIF('Match History'!R:R,B47,'Match History'!T:T)+SUMIF('Match History'!V:V,B47,'Match History'!X:X)+SUMIF('Match History'!Z:Z,B47,'Match History'!AB:AB)+SUMIF('Match History'!AD:AD,B47,'Match History'!AF:AF)+SUMIF('Match History'!AH:AH,B47,'Match History'!AJ:AJ)+SUMIF('Match History'!AL:AL,B47,'Match History'!AN:AN)+SUMIF('Match History'!AV:AV,B47,'Match History'!AX:AX)+SUMIF('Match History'!AZ:AZ,B47,'Match History'!BB:BB)+SUMIF('Match History'!BD:BD,B47,'Match History'!BF:BF)+SUMIF('Match History'!BH:BH,B47,'Match History'!BJ:BJ))/IF(F47=0,1,F47)</f>
        <v>10.90697674</v>
      </c>
      <c r="P47" s="21">
        <f t="array" ref="P47">MAX(MAX(IF('Match History'!B:B=B47,'Match History'!D:D,)),MAX(IF('Match History'!F:F=B47,'Match History'!H:H,)),MAX(IF('Match History'!J:J=B47,'Match History'!L:L,)),MAX(IF('Match History'!N:N=B47,'Match History'!P:P,)),MAX(IF('Match History'!R:R=B47,'Match History'!T:T,)),MAX(IF('Match History'!V:V=B47,'Match History'!X:X,)),MAX(IF('Match History'!Z:Z=B47,'Match History'!AB:AB,)),MAX(IF('Match History'!AD:AD=B47,'Match History'!AF:AF,)),MAX(IF('Match History'!AH:AH=B47,'Match History'!AJ:AJ,)),MAX(IF('Match History'!AL:AL=B47,'Match History'!AN:AN,)),MAX(IF('Match History'!AV:AV=B47,'Match History'!AX:AX,)),MAX(IF('Match History'!AZ:AZ=B47,'Match History'!BB:BB,)),MAX(IF('Match History'!BD:BD=B47,'Match History'!BF:BF,)),MAX(IF('Match History'!BH:BH=B47,'Match History'!BJ:BJ,)))</f>
        <v>23</v>
      </c>
      <c r="Q47" s="21">
        <f t="array" ref="Q47">IF(F47=0,0,MIN(MIN(IF('Match History'!B:B=B47,'Match History'!D:D,999)),MIN(IF('Match History'!F:F=B47,'Match History'!H:H,999)),MIN(IF('Match History'!J:J=B47,'Match History'!L:L,999)),MIN(IF('Match History'!N:N=B47,'Match History'!P:P,999)),MIN(IF('Match History'!R:R=B47,'Match History'!T:T,999)),MIN(IF('Match History'!V:V=B47,'Match History'!X:X,999)),MIN(IF('Match History'!Z:Z=B47,'Match History'!AB:AB,999)),MIN(IF('Match History'!AD:AD=B47,'Match History'!AF:AF,999)),MIN(IF('Match History'!AH:AH=B47,'Match History'!AJ:AJ,999)),MIN(IF('Match History'!AL:AL=B47,'Match History'!AN:AN,999)),MIN(IF('Match History'!AV:AV=B47,'Match History'!AX:AX,999)),MIN(IF('Match History'!AZ:AZ=B47,'Match History'!BB:BB,999)),MIN(IF('Match History'!BD:BD=B47,'Match History'!BF:BF,999)),MIN(IF('Match History'!BH:BH=B47,'Match History'!BJ:BJ,999))))</f>
        <v>6</v>
      </c>
      <c r="R47" s="21">
        <f>COUNTIFS('Match History'!B:B,B47,'Match History'!A:A,"&gt;="&amp;(DATE(2022,12,31)-30))+COUNTIFS('Match History'!F:F,B47,'Match History'!A:A,"&gt;="&amp;(DATE(2022,12,31)-30))+COUNTIFS('Match History'!J:J,B47,'Match History'!A:A,"&gt;="&amp;(DATE(2022,12,31)-30))+COUNTIFS('Match History'!N:N,B47,'Match History'!A:A,"&gt;="&amp;(DATE(2022,12,31)-30))+COUNTIFS('Match History'!R:R,B47,'Match History'!A:A,"&gt;="&amp;(DATE(2022,12,31)-30))+COUNTIFS('Match History'!V:V,B47,'Match History'!A:A,"&gt;="&amp;(DATE(2022,12,31)-30))+COUNTIFS('Match History'!Z:Z,B47,'Match History'!A:A,"&gt;="&amp;(DATE(2022,12,31)-30))+COUNTIFS('Match History'!AD:AD,B47,'Match History'!A:A,"&gt;="&amp;(DATE(2022,12,31)-30))+COUNTIFS('Match History'!AH:AH,B47,'Match History'!A:A,"&gt;="&amp;(DATE(2022,12,31)-30))+COUNTIFS('Match History'!AL:AL,B47,'Match History'!A:A,"&gt;="&amp;(DATE(2022,12,31)-30))+COUNTIFS('Match History'!AV:AV,B47,'Match History'!A:A,"&gt;="&amp;(DATE(2022,12,31)-30))+COUNTIFS('Match History'!AZ:AZ,B47,'Match History'!A:A,"&gt;="&amp;(DATE(2022,12,31)-30))+COUNTIFS('Match History'!BD:BD,B47,'Match History'!A:A,"&gt;="&amp;(DATE(2022,12,31)-30))+COUNTIFS('Match History'!BH:BH,B47,'Match History'!A:A,"&gt;="&amp;(DATE(2022,12,31)-30))
</f>
        <v>8</v>
      </c>
      <c r="S47" s="21">
        <f>COUNTIFS('Match History'!B:B,B47,'Match History'!A:A,"&gt;="&amp;(DATE(2022,12,31)-365))+COUNTIFS('Match History'!F:F,B47,'Match History'!A:A,"&gt;="&amp;(DATE(2022,12,31)-365))+COUNTIFS('Match History'!J:J,B47,'Match History'!A:A,"&gt;="&amp;(DATE(2022,12,31)-365))+COUNTIFS('Match History'!N:N,B47,'Match History'!A:A,"&gt;="&amp;(DATE(2022,12,31)-365))+COUNTIFS('Match History'!R:R,B47,'Match History'!A:A,"&gt;="&amp;(DATE(2022,12,31)-365))+COUNTIFS('Match History'!V:V,B47,'Match History'!A:A,"&gt;="&amp;(DATE(2022,12,31)-365))+COUNTIFS('Match History'!Z:Z,B47,'Match History'!A:A,"&gt;="&amp;(DATE(2022,12,31)-365))+COUNTIFS('Match History'!AD:AD,B47,'Match History'!A:A,"&gt;="&amp;(DATE(2022,12,31)-365))+COUNTIFS('Match History'!AH:AH,B47,'Match History'!A:A,"&gt;="&amp;(DATE(2022,12,31)-365))+COUNTIFS('Match History'!AL:AL,B47,'Match History'!A:A,"&gt;="&amp;(DATE(2022,12,31)-365))+COUNTIFS('Match History'!AV:AV,B47,'Match History'!A:A,"&gt;="&amp;(DATE(2022,12,31)-365))+COUNTIFS('Match History'!AZ:AZ,B47,'Match History'!A:A,"&gt;="&amp;(DATE(2022,12,31)-365))+COUNTIFS('Match History'!BD:BD,B47,'Match History'!A:A,"&gt;="&amp;(DATE(2022,12,31)-365))+COUNTIFS('Match History'!BH:BH,B47,'Match History'!A:A,"&gt;="&amp;(DATE(2022,12,31)-365))
</f>
        <v>9</v>
      </c>
      <c r="T47" s="20">
        <f t="array" ref="T47">IF(F47=0,0,INDEX('Match History'!B:BK,MATCH(N47,'Match History'!A:A,0),MATCH(B47,INDEX('Match History'!B:BK,MATCH(N47,'Match History'!A:A,0),0),0)+3)-INDEX('Match History'!B:BK,MATCH(N47,'Match History'!A:A,0),MATCH(B47,INDEX('Match History'!B:BK,MATCH(N47,'Match History'!A:A,0),0),0)+1))</f>
        <v>2.195461498</v>
      </c>
      <c r="U47" s="21">
        <f>COUNTIFS('Match History'!B:B,B47,'Match History'!A:A,"&gt;="&amp;(DATE(2022,12,31)-92))
+COUNTIFS('Match History'!F:F,B47,'Match History'!A:A,"&gt;="&amp;(DATE(2022,12,31)-92))
+COUNTIFS('Match History'!J:J,B47,'Match History'!A:A,"&gt;="&amp;(DATE(2022,12,31)-92))
+COUNTIFS('Match History'!N:N,B47,'Match History'!A:A,"&gt;="&amp;(DATE(2022,12,31)-92))
+COUNTIFS('Match History'!R:R,B47,'Match History'!A:A,"&gt;="&amp;(DATE(2022,12,31)-92))
+COUNTIFS('Match History'!V:V,B47,'Match History'!A:A,"&gt;="&amp;(DATE(2022,12,31)-92))
+COUNTIFS('Match History'!Z:Z,B47,'Match History'!A:A,"&gt;="&amp;(DATE(2022,12,31)-92))
+COUNTIFS('Match History'!AD:AD,B47,'Match History'!A:A,"&gt;="&amp;(DATE(2022,12,31)-92))
+COUNTIFS('Match History'!AH:AH,B47,'Match History'!A:A,"&gt;="&amp;(DATE(2022,12,31)-92))
+COUNTIFS('Match History'!AL:AL,B47,'Match History'!A:A,"&gt;="&amp;(DATE(2022,12,31)-92))
+COUNTIFS('Match History'!AV:AV,B47,'Match History'!A:A,"&gt;="&amp;(DATE(2022,12,31)-92))
+COUNTIFS('Match History'!AZ:AZ,B47,'Match History'!A:A,"&gt;="&amp;(DATE(2022,12,31)-92))
+COUNTIFS('Match History'!BD:BD,B47,'Match History'!A:A,"&gt;="&amp;(DATE(2022,12,31)-92))
+COUNTIFS('Match History'!BH:BH,B47,'Match History'!A:A,"&gt;="&amp;(DATE(2022,12,31)-92))
</f>
        <v>8</v>
      </c>
      <c r="V47" s="20">
        <f>IF(U47=0,0,(SUMIFS('Match History'!D:D,'Match History'!A:A,"&gt;=10/01/2022 00:00",'Match History'!A:A,"&lt;=12/31/2022 23:59",'Match History'!B:B,B47)
+SUMIFS('Match History'!H:H,'Match History'!A:A,"&gt;=10/01/2022 00:00",'Match History'!A:A,"&lt;=12/31/2022 23:59",'Match History'!F:F,B47)
+SUMIFS('Match History'!L:L,'Match History'!A:A,"&gt;=10/01/2022 00:00",'Match History'!A:A,"&lt;=12/31/2022 23:59",'Match History'!J:J,B47)
+SUMIFS('Match History'!P:P,'Match History'!A:A,"&gt;=10/01/2022 00:00",'Match History'!A:A,"&lt;=12/31/2022 23:59",'Match History'!N:N,B47)
+SUMIFS('Match History'!T:T,'Match History'!A:A,"&gt;=10/01/2022 00:00",'Match History'!A:A,"&lt;=12/31/2022 23:59",'Match History'!R:R,B47)
+SUMIFS('Match History'!X:X,'Match History'!A:A,"&gt;=10/01/2022 00:00",'Match History'!A:A,"&lt;=12/31/2022 23:59",'Match History'!V:V,B47)
+SUMIFS('Match History'!AB:AB,'Match History'!A:A,"&gt;=10/01/2022 00:00",'Match History'!A:A,"&lt;=12/31/2022 23:59",'Match History'!Z:Z,B47)
+SUMIFS('Match History'!AF:AF,'Match History'!A:A,"&gt;=10/01/2022 00:00",'Match History'!A:A,"&lt;=12/31/2022 23:59",'Match History'!AD:AD,B47)
+SUMIFS('Match History'!AJ:AJ,'Match History'!A:A,"&gt;=10/01/2022 00:00",'Match History'!A:A,"&lt;=12/31/2022 23:59",'Match History'!AH:AH,B47)
+SUMIFS('Match History'!AN:AN,'Match History'!A:A,"&gt;=10/01/2022 00:00",'Match History'!A:A,"&lt;=12/31/2022 23:59",'Match History'!AL:AL,B47)
+SUMIFS('Match History'!AX:AX,'Match History'!A:A,"&gt;=10/01/2022 00:00",'Match History'!A:A,"&lt;=12/31/2022 23:59",'Match History'!AV:AV,B47)+SUMIFS('Match History'!BB:BB,'Match History'!A:A,"&gt;=10/01/2022 00:00",'Match History'!A:A,"&lt;=12/31/2022 23:59",'Match History'!AZ:AZ,B47)
+SUMIFS('Match History'!BF:BF,'Match History'!A:A,"&gt;=10/01/2022 00:00",'Match History'!A:A,"&lt;=12/31/2022 23:59",'Match History'!BD:BD,B47)
+SUMIFS('Match History'!BJ:BJ,'Match History'!A:A,"&gt;=10/01/2022 00:00",'Match History'!A:A,"&lt;=12/31/2022 23:59",'Match History'!BH:BH,B47))/U47)
</f>
        <v>11.125</v>
      </c>
    </row>
    <row r="48" ht="21.0" customHeight="1">
      <c r="A48" s="91"/>
      <c r="B48" s="91"/>
      <c r="C48" s="12"/>
      <c r="D48" s="77"/>
      <c r="E48" s="92"/>
      <c r="F48" s="83"/>
      <c r="G48" s="48"/>
      <c r="H48" s="83"/>
      <c r="I48" s="90"/>
      <c r="J48" s="80"/>
      <c r="O48" s="93"/>
      <c r="T48" s="93"/>
      <c r="V48" s="93"/>
    </row>
    <row r="49" ht="21.0" customHeight="1">
      <c r="A49" s="84"/>
      <c r="B49" s="85"/>
      <c r="C49" s="12"/>
      <c r="D49" s="49"/>
      <c r="E49" s="46"/>
      <c r="F49" s="75"/>
      <c r="G49" s="48"/>
      <c r="H49" s="43"/>
      <c r="I49" s="29"/>
      <c r="J49" s="43"/>
      <c r="K49" s="80"/>
      <c r="O49" s="93"/>
      <c r="T49" s="93"/>
      <c r="V49" s="93"/>
    </row>
    <row r="50" ht="21.0" customHeight="1">
      <c r="A50" s="84"/>
      <c r="B50" s="85"/>
      <c r="C50" s="12"/>
      <c r="D50" s="49"/>
      <c r="E50" s="46"/>
      <c r="F50" s="53"/>
      <c r="G50" s="48"/>
      <c r="H50" s="43"/>
      <c r="I50" s="29"/>
      <c r="J50" s="43"/>
      <c r="K50" s="80"/>
      <c r="O50" s="93"/>
      <c r="T50" s="93"/>
      <c r="V50" s="93"/>
    </row>
    <row r="51" ht="21.0" customHeight="1">
      <c r="A51" s="84"/>
      <c r="B51" s="85"/>
      <c r="C51" s="12"/>
      <c r="D51" s="49"/>
      <c r="E51" s="46"/>
      <c r="F51" s="53"/>
      <c r="G51" s="48"/>
      <c r="H51" s="43"/>
      <c r="I51" s="29"/>
      <c r="J51" s="43"/>
      <c r="K51" s="80"/>
      <c r="O51" s="93"/>
      <c r="T51" s="93"/>
      <c r="V51" s="93"/>
    </row>
    <row r="52" ht="21.0" customHeight="1">
      <c r="A52" s="84"/>
      <c r="B52" s="85"/>
      <c r="C52" s="12"/>
      <c r="D52" s="49"/>
      <c r="E52" s="46"/>
      <c r="F52" s="53"/>
      <c r="G52" s="48"/>
      <c r="H52" s="43"/>
      <c r="I52" s="29"/>
      <c r="J52" s="43"/>
      <c r="K52" s="80"/>
      <c r="O52" s="93"/>
      <c r="T52" s="93"/>
      <c r="V52" s="93"/>
    </row>
    <row r="53" ht="21.0" customHeight="1">
      <c r="A53" s="84"/>
      <c r="B53" s="85"/>
      <c r="C53" s="12"/>
      <c r="D53" s="49"/>
      <c r="E53" s="46"/>
      <c r="F53" s="53"/>
      <c r="G53" s="48"/>
      <c r="H53" s="43"/>
      <c r="I53" s="29"/>
      <c r="J53" s="43"/>
      <c r="K53" s="80"/>
      <c r="O53" s="93"/>
      <c r="T53" s="93"/>
      <c r="V53" s="93"/>
    </row>
    <row r="54" ht="21.0" customHeight="1">
      <c r="A54" s="84"/>
      <c r="B54" s="85"/>
      <c r="C54" s="12"/>
      <c r="D54" s="49"/>
      <c r="E54" s="46"/>
      <c r="F54" s="53"/>
      <c r="G54" s="48"/>
      <c r="H54" s="43"/>
      <c r="I54" s="29"/>
      <c r="J54" s="43"/>
      <c r="K54" s="80"/>
      <c r="O54" s="93"/>
      <c r="T54" s="93"/>
      <c r="V54" s="93"/>
    </row>
    <row r="55" ht="21.0" customHeight="1">
      <c r="A55" s="84"/>
      <c r="B55" s="85"/>
      <c r="C55" s="12"/>
      <c r="D55" s="49"/>
      <c r="E55" s="46"/>
      <c r="F55" s="53"/>
      <c r="G55" s="48"/>
      <c r="H55" s="43"/>
      <c r="I55" s="29"/>
      <c r="J55" s="43"/>
      <c r="K55" s="80"/>
      <c r="O55" s="93"/>
      <c r="T55" s="93"/>
      <c r="V55" s="93"/>
    </row>
    <row r="56" ht="21.0" customHeight="1">
      <c r="A56" s="84"/>
      <c r="B56" s="85"/>
      <c r="C56" s="12"/>
      <c r="D56" s="49"/>
      <c r="E56" s="46"/>
      <c r="F56" s="53"/>
      <c r="G56" s="48"/>
      <c r="H56" s="43"/>
      <c r="I56" s="29"/>
      <c r="J56" s="43"/>
      <c r="K56" s="80"/>
      <c r="O56" s="93"/>
      <c r="T56" s="93"/>
      <c r="V56" s="93"/>
    </row>
    <row r="57" ht="21.0" customHeight="1">
      <c r="A57" s="84"/>
      <c r="B57" s="85"/>
      <c r="C57" s="12"/>
      <c r="D57" s="49"/>
      <c r="E57" s="46"/>
      <c r="F57" s="53"/>
      <c r="G57" s="48"/>
      <c r="H57" s="43"/>
      <c r="I57" s="29"/>
      <c r="J57" s="43"/>
      <c r="K57" s="80"/>
      <c r="O57" s="93"/>
      <c r="T57" s="93"/>
      <c r="V57" s="93"/>
    </row>
    <row r="58" ht="21.0" customHeight="1">
      <c r="A58" s="84"/>
      <c r="B58" s="85"/>
      <c r="C58" s="12"/>
      <c r="D58" s="49"/>
      <c r="E58" s="46"/>
      <c r="F58" s="53"/>
      <c r="G58" s="48"/>
      <c r="H58" s="43"/>
      <c r="I58" s="29"/>
      <c r="J58" s="43"/>
      <c r="K58" s="80"/>
      <c r="O58" s="93"/>
      <c r="T58" s="93"/>
      <c r="V58" s="93"/>
    </row>
  </sheetData>
  <conditionalFormatting sqref="K21">
    <cfRule type="notContainsBlanks" dxfId="0" priority="1">
      <formula>LEN(TRIM(K21))&gt;0</formula>
    </cfRule>
  </conditionalFormatting>
  <conditionalFormatting sqref="K47">
    <cfRule type="notContainsBlanks" dxfId="0" priority="2">
      <formula>LEN(TRIM(K47))&gt;0</formula>
    </cfRule>
  </conditionalFormatting>
  <conditionalFormatting sqref="K12:K13 K24:K25">
    <cfRule type="notContainsBlanks" dxfId="0" priority="3">
      <formula>LEN(TRIM(K12))&gt;0</formula>
    </cfRule>
  </conditionalFormatting>
  <conditionalFormatting sqref="K42:K44 K46 K49:K58">
    <cfRule type="notContainsBlanks" dxfId="0" priority="4">
      <formula>LEN(TRIM(K42))&gt;0</formula>
    </cfRule>
  </conditionalFormatting>
  <conditionalFormatting sqref="K10">
    <cfRule type="notContainsBlanks" dxfId="0" priority="5">
      <formula>LEN(TRIM(K10))&gt;0</formula>
    </cfRule>
  </conditionalFormatting>
  <conditionalFormatting sqref="K38">
    <cfRule type="notContainsBlanks" dxfId="0" priority="6">
      <formula>LEN(TRIM(K38))&gt;0</formula>
    </cfRule>
  </conditionalFormatting>
  <dataValidations>
    <dataValidation type="list" allowBlank="1" sqref="G4 G6 G8 G11 G13 G20:G23 G25 G27 G29 G40 G43 G46:G48">
      <formula1>"PL,EG,EU,DE,NL,ES,BE,RU,RO,FR,UK,GR,PT,FI,AM,SE,TH,US"</formula1>
    </dataValidation>
    <dataValidation type="list" allowBlank="1" sqref="G2:G3 G5 G7 G9:G10 G12 G14:G19 G24 G26 G28 G30:G39 G41:G42 G44:G45 G49:G58">
      <formula1>"PL,EG,EU,DE,NL,ES,BE,RU,RO,FR,UK,GR,PT,FI,AM,SE,XX,JO,IR,IE,NO"</formula1>
    </dataValidation>
  </dataValidations>
  <drawing r:id="rId1"/>
  <tableParts count="11"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2729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0.13"/>
    <col customWidth="1" min="3" max="3" width="17.63"/>
    <col customWidth="1" min="4" max="4" width="13.25"/>
    <col customWidth="1" min="5" max="5" width="21.0"/>
    <col customWidth="1" min="6" max="6" width="10.0"/>
    <col customWidth="1" min="7" max="7" width="12.63"/>
  </cols>
  <sheetData>
    <row r="1">
      <c r="A1" s="94"/>
      <c r="E1" s="95" t="s">
        <v>131</v>
      </c>
    </row>
    <row r="2">
      <c r="E2" s="96">
        <f>1/(1+10^(($B$26-$B$17)/400))</f>
        <v>0.08373485419</v>
      </c>
      <c r="H2" s="44" t="s">
        <v>132</v>
      </c>
    </row>
    <row r="3">
      <c r="A3" s="97"/>
      <c r="B3" s="97"/>
      <c r="C3" s="97"/>
      <c r="E3" s="95" t="s">
        <v>133</v>
      </c>
      <c r="H3" s="44" t="s">
        <v>134</v>
      </c>
    </row>
    <row r="4">
      <c r="A4" s="97" t="s">
        <v>135</v>
      </c>
      <c r="E4" s="96">
        <f>1/(1+10^(($B$17-$B$26)/400))</f>
        <v>0.9162651458</v>
      </c>
    </row>
    <row r="5">
      <c r="A5" s="98" t="s">
        <v>136</v>
      </c>
      <c r="B5" s="97"/>
      <c r="C5" s="99"/>
    </row>
    <row r="6">
      <c r="A6" s="98" t="s">
        <v>137</v>
      </c>
      <c r="B6" s="97"/>
      <c r="C6" s="99"/>
      <c r="F6" s="100"/>
    </row>
    <row r="7">
      <c r="A7" s="98" t="s">
        <v>138</v>
      </c>
      <c r="B7" s="97"/>
      <c r="C7" s="99"/>
    </row>
    <row r="8">
      <c r="A8" s="98" t="s">
        <v>139</v>
      </c>
      <c r="B8" s="97"/>
      <c r="C8" s="99"/>
    </row>
    <row r="9">
      <c r="A9" s="98" t="s">
        <v>140</v>
      </c>
      <c r="B9" s="97"/>
      <c r="C9" s="99"/>
    </row>
    <row r="10">
      <c r="A10" s="101"/>
      <c r="B10" s="97"/>
      <c r="C10" s="99"/>
    </row>
    <row r="11">
      <c r="A11" s="102" t="s">
        <v>141</v>
      </c>
      <c r="B11" s="103" t="s">
        <v>142</v>
      </c>
      <c r="C11" s="95" t="s">
        <v>143</v>
      </c>
    </row>
    <row r="12">
      <c r="A12" s="104" t="s">
        <v>119</v>
      </c>
      <c r="B12" s="105">
        <f>VLOOKUP(A12,Players!$B$1:$C$52,2, FALSE)</f>
        <v>911.8638939</v>
      </c>
      <c r="C12" s="106"/>
      <c r="D12" s="44" t="s">
        <v>144</v>
      </c>
      <c r="E12" s="107"/>
      <c r="F12" s="107"/>
      <c r="I12" s="108"/>
      <c r="M12" s="100"/>
    </row>
    <row r="13">
      <c r="A13" s="109" t="s">
        <v>115</v>
      </c>
      <c r="B13" s="105">
        <f>VLOOKUP(A13,Players!$B$1:$C$52,2, FALSE)</f>
        <v>915.3550597</v>
      </c>
      <c r="C13" s="106"/>
      <c r="D13" s="44" t="s">
        <v>144</v>
      </c>
      <c r="I13" s="108"/>
    </row>
    <row r="14">
      <c r="A14" s="104" t="s">
        <v>65</v>
      </c>
      <c r="B14" s="105">
        <f>VLOOKUP(A14,Players!$B$1:$C$52,2, FALSE)</f>
        <v>998.8017753</v>
      </c>
      <c r="C14" s="106"/>
      <c r="D14" s="44" t="s">
        <v>144</v>
      </c>
      <c r="H14" s="91"/>
      <c r="I14" s="108"/>
    </row>
    <row r="15">
      <c r="A15" s="104" t="s">
        <v>68</v>
      </c>
      <c r="B15" s="105">
        <f>VLOOKUP(A15,Players!$B$1:$C$52,2, FALSE)</f>
        <v>998.9684419</v>
      </c>
      <c r="C15" s="106"/>
      <c r="D15" s="44" t="s">
        <v>144</v>
      </c>
      <c r="H15" s="91"/>
      <c r="I15" s="108"/>
    </row>
    <row r="16">
      <c r="A16" s="104"/>
      <c r="B16" s="110" t="str">
        <f>VLOOKUP(A16,Players!$B$1:$C$52,2, FALSE)</f>
        <v>#N/A</v>
      </c>
      <c r="C16" s="106"/>
      <c r="D16" s="44" t="s">
        <v>144</v>
      </c>
      <c r="I16" s="108"/>
    </row>
    <row r="17">
      <c r="A17" s="103" t="s">
        <v>145</v>
      </c>
      <c r="B17" s="111">
        <f t="shared" ref="B17:C17" si="1">sumif(B12:B16,"&lt;&gt;#N/A")</f>
        <v>3824.989171</v>
      </c>
      <c r="C17" s="111">
        <f t="shared" si="1"/>
        <v>0</v>
      </c>
      <c r="D17" s="107"/>
      <c r="E17" s="107"/>
      <c r="F17" s="107"/>
      <c r="H17" s="97"/>
      <c r="I17" s="108"/>
      <c r="J17" s="112"/>
    </row>
    <row r="18">
      <c r="A18" s="103" t="s">
        <v>146</v>
      </c>
      <c r="B18" s="113"/>
      <c r="C18" s="114"/>
      <c r="D18" s="44" t="s">
        <v>147</v>
      </c>
      <c r="E18" s="107"/>
      <c r="F18" s="107"/>
      <c r="H18" s="97"/>
      <c r="I18" s="115"/>
    </row>
    <row r="19">
      <c r="A19" s="97"/>
      <c r="B19" s="108"/>
      <c r="D19" s="107"/>
      <c r="F19" s="107"/>
      <c r="H19" s="97"/>
      <c r="I19" s="108"/>
    </row>
    <row r="20">
      <c r="A20" s="102" t="s">
        <v>148</v>
      </c>
      <c r="B20" s="103" t="s">
        <v>142</v>
      </c>
      <c r="C20" s="103" t="s">
        <v>143</v>
      </c>
      <c r="D20" s="115"/>
      <c r="E20" s="115"/>
      <c r="F20" s="115"/>
      <c r="H20" s="101"/>
      <c r="I20" s="97"/>
      <c r="J20" s="97"/>
    </row>
    <row r="21">
      <c r="A21" s="104" t="s">
        <v>64</v>
      </c>
      <c r="B21" s="105">
        <f>VLOOKUP(A21,Players!$B$1:$C$52,2, FALSE)</f>
        <v>1004.724899</v>
      </c>
      <c r="C21" s="106"/>
      <c r="D21" s="44" t="s">
        <v>144</v>
      </c>
      <c r="E21" s="116"/>
      <c r="F21" s="115"/>
      <c r="G21" s="100"/>
      <c r="H21" s="91"/>
      <c r="I21" s="108"/>
      <c r="J21" s="51"/>
      <c r="K21" s="92"/>
    </row>
    <row r="22">
      <c r="A22" s="104" t="s">
        <v>63</v>
      </c>
      <c r="B22" s="105">
        <f>VLOOKUP(A22,Players!$B$1:$C$52,2, FALSE)</f>
        <v>1008.351475</v>
      </c>
      <c r="C22" s="106"/>
      <c r="D22" s="44" t="s">
        <v>144</v>
      </c>
      <c r="E22" s="117"/>
      <c r="F22" s="115"/>
      <c r="H22" s="91"/>
      <c r="I22" s="108"/>
      <c r="J22" s="51"/>
    </row>
    <row r="23">
      <c r="A23" s="118" t="s">
        <v>50</v>
      </c>
      <c r="B23" s="105">
        <f>VLOOKUP(A23,Players!$B$1:$C$50,2, FALSE)</f>
        <v>1048.673355</v>
      </c>
      <c r="C23" s="106"/>
      <c r="D23" s="44" t="s">
        <v>144</v>
      </c>
      <c r="E23" s="117"/>
      <c r="F23" s="108" t="s">
        <v>149</v>
      </c>
      <c r="H23" s="91"/>
      <c r="I23" s="108"/>
      <c r="K23" s="92"/>
    </row>
    <row r="24">
      <c r="A24" s="104" t="s">
        <v>31</v>
      </c>
      <c r="B24" s="105">
        <f>VLOOKUP(A24,Players!$B$1:$C$52,2, FALSE)</f>
        <v>1178.885401</v>
      </c>
      <c r="C24" s="106"/>
      <c r="D24" s="44" t="s">
        <v>144</v>
      </c>
      <c r="E24" s="117"/>
      <c r="F24" s="108"/>
      <c r="H24" s="91"/>
      <c r="I24" s="108"/>
      <c r="J24" s="51"/>
    </row>
    <row r="25">
      <c r="A25" s="119"/>
      <c r="B25" s="110" t="str">
        <f>VLOOKUP(A25,Players!$B$1:$C$52,2, FALSE)</f>
        <v>#N/A</v>
      </c>
      <c r="C25" s="106"/>
      <c r="D25" s="44" t="s">
        <v>144</v>
      </c>
      <c r="E25" s="117"/>
      <c r="F25" s="115"/>
      <c r="H25" s="91"/>
      <c r="I25" s="108"/>
      <c r="J25" s="51"/>
      <c r="K25" s="92"/>
    </row>
    <row r="26">
      <c r="A26" s="103" t="s">
        <v>150</v>
      </c>
      <c r="B26" s="111">
        <f t="shared" ref="B26:C26" si="2">sumif(B21:B25,"&lt;&gt;#N/A")</f>
        <v>4240.63513</v>
      </c>
      <c r="C26" s="111">
        <f t="shared" si="2"/>
        <v>0</v>
      </c>
      <c r="D26" s="115"/>
      <c r="E26" s="120"/>
      <c r="F26" s="108"/>
      <c r="H26" s="97"/>
      <c r="I26" s="108"/>
      <c r="J26" s="101"/>
      <c r="K26" s="92"/>
    </row>
    <row r="27">
      <c r="A27" s="103" t="s">
        <v>146</v>
      </c>
      <c r="B27" s="113"/>
      <c r="C27" s="114"/>
      <c r="D27" s="115" t="s">
        <v>147</v>
      </c>
      <c r="E27" s="121"/>
      <c r="F27" s="121"/>
      <c r="J27" s="92"/>
      <c r="K27" s="92"/>
    </row>
    <row r="28">
      <c r="J28" s="92"/>
      <c r="K28" s="122"/>
    </row>
    <row r="29">
      <c r="A29" s="44" t="s">
        <v>151</v>
      </c>
      <c r="J29" s="92"/>
      <c r="K29" s="122"/>
    </row>
    <row r="30">
      <c r="A30" s="102" t="s">
        <v>141</v>
      </c>
      <c r="B30" s="102" t="s">
        <v>152</v>
      </c>
      <c r="C30" s="102" t="s">
        <v>148</v>
      </c>
      <c r="D30" s="102" t="s">
        <v>152</v>
      </c>
      <c r="J30" s="92"/>
      <c r="K30" s="92"/>
      <c r="L30" s="107"/>
    </row>
    <row r="31">
      <c r="A31" s="123"/>
      <c r="B31" s="124">
        <v>913.3108451469238</v>
      </c>
      <c r="C31" s="123"/>
      <c r="D31" s="125">
        <v>1004.7248990151213</v>
      </c>
      <c r="H31" s="126"/>
      <c r="J31" s="92"/>
      <c r="K31" s="92"/>
      <c r="L31" s="107"/>
    </row>
    <row r="32">
      <c r="A32" s="123"/>
      <c r="B32" s="124">
        <v>915.3550596803419</v>
      </c>
      <c r="C32" s="123"/>
      <c r="D32" s="125">
        <v>1008.3514751159204</v>
      </c>
      <c r="H32" s="127"/>
      <c r="J32" s="92"/>
      <c r="K32" s="92"/>
      <c r="L32" s="107"/>
    </row>
    <row r="33">
      <c r="A33" s="123"/>
      <c r="B33" s="124">
        <v>998.8017752622025</v>
      </c>
      <c r="C33" s="123" t="str">
        <f t="shared" ref="C33:C35" si="3">A23</f>
        <v>watson</v>
      </c>
      <c r="D33" s="124">
        <v>1048.6733545587624</v>
      </c>
      <c r="E33" s="97"/>
      <c r="F33" s="97"/>
      <c r="H33" s="127"/>
      <c r="J33" s="92"/>
      <c r="K33" s="92"/>
      <c r="L33" s="107"/>
    </row>
    <row r="34">
      <c r="A34" s="123"/>
      <c r="B34" s="124">
        <v>998.9684419288692</v>
      </c>
      <c r="C34" s="123" t="str">
        <f t="shared" si="3"/>
        <v>boogie</v>
      </c>
      <c r="D34" s="124">
        <v>1178.885401360164</v>
      </c>
      <c r="E34" s="128"/>
      <c r="F34" s="128"/>
      <c r="H34" s="127"/>
      <c r="J34" s="92"/>
      <c r="K34" s="92"/>
      <c r="L34" s="107"/>
    </row>
    <row r="35">
      <c r="A35" s="123"/>
      <c r="B35" s="124"/>
      <c r="C35" s="123" t="str">
        <f t="shared" si="3"/>
        <v/>
      </c>
      <c r="D35" s="125"/>
      <c r="E35" s="128"/>
      <c r="F35" s="128"/>
      <c r="H35" s="127"/>
      <c r="J35" s="92"/>
      <c r="K35" s="92"/>
    </row>
    <row r="36">
      <c r="B36" s="128"/>
      <c r="D36" s="128"/>
      <c r="E36" s="128"/>
      <c r="F36" s="128"/>
      <c r="H36" s="127"/>
      <c r="J36" s="92"/>
      <c r="K36" s="122"/>
    </row>
    <row r="37">
      <c r="A37" s="129" t="s">
        <v>153</v>
      </c>
      <c r="B37" s="129" t="s">
        <v>154</v>
      </c>
      <c r="D37" s="128"/>
      <c r="E37" s="128"/>
      <c r="F37" s="128"/>
      <c r="H37" s="127"/>
      <c r="L37" s="107"/>
    </row>
    <row r="38">
      <c r="A38" s="129"/>
      <c r="B38" s="129"/>
      <c r="D38" s="128"/>
      <c r="E38" s="128"/>
      <c r="F38" s="128"/>
      <c r="L38" s="107"/>
    </row>
    <row r="39">
      <c r="A39" s="129"/>
      <c r="B39" s="129"/>
      <c r="L39" s="107"/>
    </row>
    <row r="40">
      <c r="A40" s="129"/>
      <c r="B40" s="129"/>
      <c r="L40" s="107"/>
    </row>
    <row r="41">
      <c r="A41" s="129"/>
      <c r="B41" s="129"/>
      <c r="L41" s="107"/>
      <c r="M41" s="107"/>
    </row>
    <row r="42">
      <c r="A42" s="129"/>
      <c r="B42" s="129"/>
      <c r="M42" s="107"/>
    </row>
  </sheetData>
  <mergeCells count="5">
    <mergeCell ref="A1:C2"/>
    <mergeCell ref="A4:C4"/>
    <mergeCell ref="B18:C18"/>
    <mergeCell ref="I18:J18"/>
    <mergeCell ref="B27:C27"/>
  </mergeCells>
  <dataValidations>
    <dataValidation type="list" allowBlank="1" sqref="A12:A16 A21:A25">
      <formula1>Players!$B$2:$B$47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2" width="17.63"/>
    <col customWidth="1" min="3" max="3" width="10.13"/>
    <col customWidth="1" min="4" max="4" width="17.63"/>
    <col customWidth="1" min="5" max="5" width="10.13"/>
  </cols>
  <sheetData>
    <row r="1">
      <c r="A1" s="130"/>
    </row>
    <row r="2">
      <c r="A2" s="44" t="s">
        <v>155</v>
      </c>
      <c r="G2" s="128"/>
      <c r="H2" s="128"/>
      <c r="I2" s="128"/>
    </row>
    <row r="3">
      <c r="G3" s="128"/>
      <c r="H3" s="128"/>
    </row>
    <row r="4">
      <c r="A4" s="130" t="s">
        <v>135</v>
      </c>
      <c r="G4" s="128"/>
      <c r="H4" s="128"/>
      <c r="I4" s="128"/>
    </row>
    <row r="5">
      <c r="A5" s="44" t="s">
        <v>156</v>
      </c>
      <c r="G5" s="128"/>
      <c r="H5" s="128"/>
      <c r="I5" s="128"/>
    </row>
    <row r="6">
      <c r="A6" s="44" t="s">
        <v>157</v>
      </c>
      <c r="G6" s="128"/>
      <c r="H6" s="128"/>
      <c r="I6" s="128"/>
    </row>
    <row r="7">
      <c r="A7" s="44" t="s">
        <v>158</v>
      </c>
      <c r="G7" s="128"/>
      <c r="H7" s="128"/>
      <c r="I7" s="128"/>
    </row>
    <row r="8">
      <c r="G8" s="128"/>
      <c r="H8" s="128"/>
      <c r="I8" s="128"/>
    </row>
    <row r="9">
      <c r="A9" s="44" t="s">
        <v>159</v>
      </c>
    </row>
    <row r="10">
      <c r="A10" s="131">
        <v>1.0</v>
      </c>
      <c r="B10" s="103" t="s">
        <v>141</v>
      </c>
      <c r="C10" s="103" t="s">
        <v>160</v>
      </c>
      <c r="D10" s="103" t="s">
        <v>148</v>
      </c>
      <c r="E10" s="103" t="s">
        <v>160</v>
      </c>
    </row>
    <row r="11">
      <c r="A11" s="132"/>
      <c r="B11" s="133" t="s">
        <v>125</v>
      </c>
      <c r="C11" s="105">
        <f>VLOOKUP(B11,Players!$B$1:$C$47,2, FALSE)</f>
        <v>860.9565348</v>
      </c>
      <c r="D11" s="133" t="s">
        <v>50</v>
      </c>
      <c r="E11" s="105">
        <f>VLOOKUP(D11,Players!$B$1:$C$47,2, FALSE)</f>
        <v>1048.673355</v>
      </c>
    </row>
    <row r="12">
      <c r="A12" s="132"/>
      <c r="B12" s="133" t="s">
        <v>117</v>
      </c>
      <c r="C12" s="105">
        <f>VLOOKUP(B12,Players!$B$1:$C$47,2, FALSE)</f>
        <v>913.3108451</v>
      </c>
      <c r="D12" s="133" t="s">
        <v>31</v>
      </c>
      <c r="E12" s="105">
        <f>VLOOKUP(D12,Players!$B$1:$C$47,2, FALSE)</f>
        <v>1178.885401</v>
      </c>
    </row>
    <row r="13">
      <c r="A13" s="132"/>
      <c r="B13" s="133" t="s">
        <v>115</v>
      </c>
      <c r="C13" s="105">
        <f>VLOOKUP(B13,Players!$B$1:$C$47,2, FALSE)</f>
        <v>915.3550597</v>
      </c>
      <c r="D13" s="133" t="s">
        <v>64</v>
      </c>
      <c r="E13" s="105">
        <f>VLOOKUP(D13,Players!$B$1:$C$47,2, FALSE)</f>
        <v>1004.724899</v>
      </c>
    </row>
    <row r="14">
      <c r="A14" s="132"/>
      <c r="B14" s="133" t="s">
        <v>65</v>
      </c>
      <c r="C14" s="105">
        <f>VLOOKUP(B14,Players!$B$1:$C$47,2, FALSE)</f>
        <v>998.8017753</v>
      </c>
      <c r="D14" s="133" t="s">
        <v>63</v>
      </c>
      <c r="E14" s="105">
        <f>VLOOKUP(D14,Players!$B$1:$C$47,2, FALSE)</f>
        <v>1008.351475</v>
      </c>
    </row>
    <row r="15">
      <c r="A15" s="132"/>
      <c r="B15" s="133" t="s">
        <v>68</v>
      </c>
      <c r="C15" s="105">
        <f>VLOOKUP(B15,Players!$B$1:$C$47,2, FALSE)</f>
        <v>998.9684419</v>
      </c>
      <c r="D15" s="133"/>
      <c r="E15" s="110" t="str">
        <f>VLOOKUP(D15,Players!$B$1:$C$47,2, FALSE)</f>
        <v>#N/A</v>
      </c>
    </row>
    <row r="16">
      <c r="A16" s="134"/>
      <c r="B16" s="103" t="s">
        <v>145</v>
      </c>
      <c r="C16" s="111">
        <f>sumif(C11:C15,"&lt;&gt;#N/A")</f>
        <v>4687.392657</v>
      </c>
      <c r="D16" s="103" t="s">
        <v>145</v>
      </c>
      <c r="E16" s="111">
        <f>sumif(E11:E15,"&lt;&gt;#N/A")</f>
        <v>4240.63513</v>
      </c>
    </row>
    <row r="17">
      <c r="A17" s="112"/>
      <c r="B17" s="112"/>
      <c r="C17" s="112"/>
      <c r="D17" s="112"/>
      <c r="E17" s="112"/>
    </row>
    <row r="18">
      <c r="A18" s="131">
        <v>2.0</v>
      </c>
      <c r="B18" s="103" t="s">
        <v>141</v>
      </c>
      <c r="C18" s="103" t="s">
        <v>160</v>
      </c>
      <c r="D18" s="103" t="s">
        <v>148</v>
      </c>
      <c r="E18" s="103" t="s">
        <v>160</v>
      </c>
    </row>
    <row r="19">
      <c r="A19" s="132"/>
      <c r="B19" s="133" t="s">
        <v>125</v>
      </c>
      <c r="C19" s="105">
        <f>VLOOKUP(B19,Players!$B$1:$C$52,2, FALSE)</f>
        <v>860.9565348</v>
      </c>
      <c r="D19" s="133" t="s">
        <v>50</v>
      </c>
      <c r="E19" s="105">
        <f>VLOOKUP(D19,Players!$B$1:$C$47,2, FALSE)</f>
        <v>1048.673355</v>
      </c>
    </row>
    <row r="20">
      <c r="A20" s="132"/>
      <c r="B20" s="133" t="s">
        <v>117</v>
      </c>
      <c r="C20" s="105">
        <f>VLOOKUP(B20,Players!$B$1:$C$52,2, FALSE)</f>
        <v>913.3108451</v>
      </c>
      <c r="D20" s="133" t="s">
        <v>31</v>
      </c>
      <c r="E20" s="105">
        <f>VLOOKUP(D20,Players!$B$1:$C$47,2, FALSE)</f>
        <v>1178.885401</v>
      </c>
    </row>
    <row r="21">
      <c r="A21" s="132"/>
      <c r="B21" s="133" t="s">
        <v>115</v>
      </c>
      <c r="C21" s="105">
        <f>VLOOKUP(B21,Players!$B$1:$C$52,2, FALSE)</f>
        <v>915.3550597</v>
      </c>
      <c r="D21" s="133" t="s">
        <v>63</v>
      </c>
      <c r="E21" s="105">
        <f>VLOOKUP(D21,Players!$B$1:$C$47,2, FALSE)</f>
        <v>1008.351475</v>
      </c>
    </row>
    <row r="22">
      <c r="A22" s="132"/>
      <c r="B22" s="133" t="s">
        <v>64</v>
      </c>
      <c r="C22" s="105">
        <f>VLOOKUP(B22,Players!$B$1:$C$52,2, FALSE)</f>
        <v>1004.724899</v>
      </c>
      <c r="D22" s="133" t="s">
        <v>68</v>
      </c>
      <c r="E22" s="105">
        <f>VLOOKUP(D22,Players!$B$1:$C$47,2, FALSE)</f>
        <v>998.9684419</v>
      </c>
    </row>
    <row r="23">
      <c r="A23" s="132"/>
      <c r="B23" s="133" t="s">
        <v>65</v>
      </c>
      <c r="C23" s="105">
        <f>VLOOKUP(B23,Players!$B$1:$C$52,2, FALSE)</f>
        <v>998.8017753</v>
      </c>
      <c r="D23" s="133"/>
      <c r="E23" s="110" t="str">
        <f>VLOOKUP(D23,Players!$B$1:$C$42,2, FALSE)</f>
        <v>#N/A</v>
      </c>
    </row>
    <row r="24">
      <c r="A24" s="134"/>
      <c r="B24" s="103" t="s">
        <v>145</v>
      </c>
      <c r="C24" s="111">
        <f>sumif(C19:C23,"&lt;&gt;#N/A")</f>
        <v>4693.149114</v>
      </c>
      <c r="D24" s="103" t="s">
        <v>145</v>
      </c>
      <c r="E24" s="111">
        <f>sumif(E19:E23,"&lt;&gt;#N/A")</f>
        <v>4234.878673</v>
      </c>
    </row>
    <row r="25">
      <c r="A25" s="112"/>
      <c r="B25" s="112"/>
      <c r="C25" s="112"/>
      <c r="D25" s="112"/>
      <c r="E25" s="112"/>
    </row>
    <row r="26">
      <c r="A26" s="131">
        <v>3.0</v>
      </c>
      <c r="B26" s="103" t="s">
        <v>141</v>
      </c>
      <c r="C26" s="103" t="s">
        <v>160</v>
      </c>
      <c r="D26" s="103" t="s">
        <v>148</v>
      </c>
      <c r="E26" s="103" t="s">
        <v>160</v>
      </c>
    </row>
    <row r="27">
      <c r="A27" s="132"/>
      <c r="B27" s="133" t="s">
        <v>125</v>
      </c>
      <c r="C27" s="110" t="str">
        <f>VLOOKUP(B27,Players!$B$1:$C$43,2, FALSE)</f>
        <v>#N/A</v>
      </c>
      <c r="D27" s="133" t="s">
        <v>50</v>
      </c>
      <c r="E27" s="105">
        <f>VLOOKUP(D27,Players!$B$1:$C$47,2, FALSE)</f>
        <v>1048.673355</v>
      </c>
    </row>
    <row r="28">
      <c r="A28" s="132"/>
      <c r="B28" s="133" t="s">
        <v>117</v>
      </c>
      <c r="C28" s="105">
        <f>VLOOKUP(B28,Players!$B$1:$C$42,2, FALSE)</f>
        <v>913.3108451</v>
      </c>
      <c r="D28" s="133" t="s">
        <v>31</v>
      </c>
      <c r="E28" s="105">
        <f>VLOOKUP(D28,Players!$B$1:$C$47,2, FALSE)</f>
        <v>1178.885401</v>
      </c>
    </row>
    <row r="29">
      <c r="A29" s="132"/>
      <c r="B29" s="133" t="s">
        <v>115</v>
      </c>
      <c r="C29" s="110">
        <v>873.24</v>
      </c>
      <c r="D29" s="133" t="s">
        <v>63</v>
      </c>
      <c r="E29" s="105">
        <f>VLOOKUP(D29,Players!$B$1:$C$47,2, FALSE)</f>
        <v>1008.351475</v>
      </c>
    </row>
    <row r="30">
      <c r="A30" s="132"/>
      <c r="B30" s="133" t="s">
        <v>64</v>
      </c>
      <c r="C30" s="105">
        <f>VLOOKUP(B30,Players!$B$1:$C$47,2, FALSE)</f>
        <v>1004.724899</v>
      </c>
      <c r="D30" s="133" t="s">
        <v>65</v>
      </c>
      <c r="E30" s="105">
        <f>VLOOKUP(D30,Players!$B$1:$C$47,2, FALSE)</f>
        <v>998.8017753</v>
      </c>
    </row>
    <row r="31">
      <c r="A31" s="132"/>
      <c r="B31" s="133" t="s">
        <v>68</v>
      </c>
      <c r="C31" s="105">
        <f>VLOOKUP(B31,Players!$B$1:$C$43,2, FALSE)</f>
        <v>998.9684419</v>
      </c>
      <c r="D31" s="133"/>
      <c r="E31" s="110" t="str">
        <f>VLOOKUP(D31,Players!$B$1:$C$39,2, FALSE)</f>
        <v>#N/A</v>
      </c>
    </row>
    <row r="32">
      <c r="A32" s="134"/>
      <c r="B32" s="103" t="s">
        <v>145</v>
      </c>
      <c r="C32" s="111">
        <f>sumif(C27:C31,"&lt;&gt;#N/A")</f>
        <v>3790.244186</v>
      </c>
      <c r="D32" s="103" t="s">
        <v>145</v>
      </c>
      <c r="E32" s="111">
        <f>sumif(E27:E31,"&lt;&gt;#N/A")</f>
        <v>4234.712006</v>
      </c>
    </row>
    <row r="33">
      <c r="A33" s="112"/>
      <c r="B33" s="112"/>
      <c r="C33" s="112"/>
      <c r="D33" s="112"/>
      <c r="E33" s="112"/>
    </row>
    <row r="34">
      <c r="A34" s="131">
        <v>4.0</v>
      </c>
      <c r="B34" s="103" t="s">
        <v>141</v>
      </c>
      <c r="C34" s="103" t="s">
        <v>160</v>
      </c>
      <c r="D34" s="103" t="s">
        <v>148</v>
      </c>
      <c r="E34" s="103" t="s">
        <v>160</v>
      </c>
    </row>
    <row r="35">
      <c r="A35" s="132"/>
      <c r="B35" s="133" t="s">
        <v>125</v>
      </c>
      <c r="C35" s="110" t="str">
        <f>VLOOKUP(B35,Players!$B$1:$C$43,2, FALSE)</f>
        <v>#N/A</v>
      </c>
      <c r="D35" s="133" t="s">
        <v>50</v>
      </c>
      <c r="E35" s="105">
        <f>VLOOKUP(D35,Players!$B$1:$C$47,2, FALSE)</f>
        <v>1048.673355</v>
      </c>
    </row>
    <row r="36">
      <c r="A36" s="132"/>
      <c r="B36" s="133" t="s">
        <v>117</v>
      </c>
      <c r="C36" s="105">
        <f>VLOOKUP(B36,Players!$B$1:$C$42,2, FALSE)</f>
        <v>913.3108451</v>
      </c>
      <c r="D36" s="133" t="s">
        <v>31</v>
      </c>
      <c r="E36" s="105">
        <f>VLOOKUP(D36,Players!$B$1:$C$47,2, FALSE)</f>
        <v>1178.885401</v>
      </c>
    </row>
    <row r="37">
      <c r="A37" s="132"/>
      <c r="B37" s="133" t="s">
        <v>115</v>
      </c>
      <c r="C37" s="110" t="str">
        <f>VLOOKUP(B37,Players!$B$1:$C$39,2, FALSE)</f>
        <v>#N/A</v>
      </c>
      <c r="D37" s="133" t="s">
        <v>64</v>
      </c>
      <c r="E37" s="105">
        <f>VLOOKUP(D37,Players!$B$1:$C$47,2, FALSE)</f>
        <v>1004.724899</v>
      </c>
    </row>
    <row r="38">
      <c r="A38" s="132"/>
      <c r="B38" s="133" t="s">
        <v>63</v>
      </c>
      <c r="C38" s="105">
        <f>VLOOKUP(B38,Players!$B$1:$C$39,2, FALSE)</f>
        <v>1008.351475</v>
      </c>
      <c r="D38" s="133" t="s">
        <v>68</v>
      </c>
      <c r="E38" s="105">
        <f>VLOOKUP(D38,Players!$B$1:$C$47,2, FALSE)</f>
        <v>998.9684419</v>
      </c>
    </row>
    <row r="39">
      <c r="A39" s="132"/>
      <c r="B39" s="133" t="s">
        <v>65</v>
      </c>
      <c r="C39" s="105">
        <f>VLOOKUP(B39,Players!$B$1:$C$39,2, FALSE)</f>
        <v>998.8017753</v>
      </c>
      <c r="D39" s="133"/>
      <c r="E39" s="110" t="str">
        <f>VLOOKUP(D39,Players!$B$1:$C$39,2, FALSE)</f>
        <v>#N/A</v>
      </c>
    </row>
    <row r="40">
      <c r="A40" s="134"/>
      <c r="B40" s="103" t="s">
        <v>145</v>
      </c>
      <c r="C40" s="111">
        <f>sumif(C35:C39,"&lt;&gt;#N/A")</f>
        <v>2920.464096</v>
      </c>
      <c r="D40" s="103" t="s">
        <v>145</v>
      </c>
      <c r="E40" s="111">
        <f>sumif(E35:E39,"&lt;&gt;#N/A")</f>
        <v>4231.252097</v>
      </c>
    </row>
    <row r="41">
      <c r="A41" s="112"/>
      <c r="B41" s="112"/>
      <c r="C41" s="112"/>
      <c r="D41" s="112"/>
      <c r="E41" s="112"/>
    </row>
    <row r="42">
      <c r="A42" s="131">
        <v>5.0</v>
      </c>
      <c r="B42" s="103" t="s">
        <v>141</v>
      </c>
      <c r="C42" s="103" t="s">
        <v>160</v>
      </c>
      <c r="D42" s="103" t="s">
        <v>148</v>
      </c>
      <c r="E42" s="103" t="s">
        <v>160</v>
      </c>
    </row>
    <row r="43">
      <c r="A43" s="132"/>
      <c r="B43" s="133" t="s">
        <v>125</v>
      </c>
      <c r="C43" s="110" t="str">
        <f>VLOOKUP(B43,Players!$B$1:$C$39,2, FALSE)</f>
        <v>#N/A</v>
      </c>
      <c r="D43" s="133" t="s">
        <v>50</v>
      </c>
      <c r="E43" s="105">
        <f>VLOOKUP(D43,Players!$B$1:$C$47,2, FALSE)</f>
        <v>1048.673355</v>
      </c>
    </row>
    <row r="44">
      <c r="A44" s="132"/>
      <c r="B44" s="133" t="s">
        <v>117</v>
      </c>
      <c r="C44" s="110" t="str">
        <f>VLOOKUP(B44,Players!$B$1:$C$39,2, FALSE)</f>
        <v>#N/A</v>
      </c>
      <c r="D44" s="133" t="s">
        <v>31</v>
      </c>
      <c r="E44" s="105">
        <f>VLOOKUP(D44,Players!$B$1:$C$47,2, FALSE)</f>
        <v>1178.885401</v>
      </c>
    </row>
    <row r="45">
      <c r="A45" s="132"/>
      <c r="B45" s="133" t="s">
        <v>115</v>
      </c>
      <c r="C45" s="110">
        <v>914.23</v>
      </c>
      <c r="D45" s="133" t="s">
        <v>64</v>
      </c>
      <c r="E45" s="105">
        <f>VLOOKUP(D45,Players!$B$1:$C$47,2, FALSE)</f>
        <v>1004.724899</v>
      </c>
    </row>
    <row r="46">
      <c r="A46" s="132"/>
      <c r="B46" s="133" t="s">
        <v>63</v>
      </c>
      <c r="C46" s="105">
        <f>VLOOKUP(B46,Players!$B$1:$C$39,2, FALSE)</f>
        <v>1008.351475</v>
      </c>
      <c r="D46" s="133" t="s">
        <v>65</v>
      </c>
      <c r="E46" s="105">
        <f>VLOOKUP(D46,Players!$B$1:$C$47,2, FALSE)</f>
        <v>998.8017753</v>
      </c>
    </row>
    <row r="47">
      <c r="A47" s="132"/>
      <c r="B47" s="133" t="s">
        <v>68</v>
      </c>
      <c r="C47" s="105">
        <f>VLOOKUP(B47,Players!$B$1:$C$39,2, FALSE)</f>
        <v>998.9684419</v>
      </c>
      <c r="D47" s="133"/>
      <c r="E47" s="110" t="str">
        <f>VLOOKUP(D47,Players!$B$1:$C$39,2, FALSE)</f>
        <v>#N/A</v>
      </c>
    </row>
    <row r="48">
      <c r="A48" s="134"/>
      <c r="B48" s="103" t="s">
        <v>145</v>
      </c>
      <c r="C48" s="111">
        <f>sumif(C43:C47,"&lt;&gt;#N/A")</f>
        <v>2921.549917</v>
      </c>
      <c r="D48" s="103" t="s">
        <v>145</v>
      </c>
      <c r="E48" s="111">
        <f>sumif(E43:E47,"&lt;&gt;#N/A")</f>
        <v>4231.08543</v>
      </c>
    </row>
    <row r="49">
      <c r="A49" s="112"/>
      <c r="B49" s="112"/>
      <c r="C49" s="112"/>
      <c r="D49" s="112"/>
      <c r="E49" s="112"/>
    </row>
    <row r="50">
      <c r="A50" s="131">
        <v>6.0</v>
      </c>
      <c r="B50" s="103" t="s">
        <v>141</v>
      </c>
      <c r="C50" s="103" t="s">
        <v>160</v>
      </c>
      <c r="D50" s="103" t="s">
        <v>148</v>
      </c>
      <c r="E50" s="103" t="s">
        <v>160</v>
      </c>
    </row>
    <row r="51">
      <c r="A51" s="132"/>
      <c r="B51" s="133" t="s">
        <v>125</v>
      </c>
      <c r="C51" s="110" t="str">
        <f>VLOOKUP(B51,Players!$B$1:$C$39,2, FALSE)</f>
        <v>#N/A</v>
      </c>
      <c r="D51" s="133" t="s">
        <v>50</v>
      </c>
      <c r="E51" s="105">
        <f>VLOOKUP(D51,Players!$B$1:$C$39,2, FALSE)</f>
        <v>1048.673355</v>
      </c>
    </row>
    <row r="52">
      <c r="A52" s="132"/>
      <c r="B52" s="133" t="s">
        <v>117</v>
      </c>
      <c r="C52" s="110" t="str">
        <f>VLOOKUP(B52,Players!$B$1:$C$39,2, FALSE)</f>
        <v>#N/A</v>
      </c>
      <c r="D52" s="133" t="s">
        <v>31</v>
      </c>
      <c r="E52" s="105">
        <f>VLOOKUP(D52,Players!$B$1:$C$39,2, FALSE)</f>
        <v>1178.885401</v>
      </c>
    </row>
    <row r="53">
      <c r="A53" s="132"/>
      <c r="B53" s="133" t="s">
        <v>115</v>
      </c>
      <c r="C53" s="110" t="str">
        <f>VLOOKUP(B53,Players!$B$1:$C$39,2, FALSE)</f>
        <v>#N/A</v>
      </c>
      <c r="D53" s="133" t="s">
        <v>65</v>
      </c>
      <c r="E53" s="105">
        <f>VLOOKUP(D53,Players!$B$1:$C$39,2, FALSE)</f>
        <v>998.8017753</v>
      </c>
    </row>
    <row r="54">
      <c r="A54" s="132"/>
      <c r="B54" s="133" t="s">
        <v>64</v>
      </c>
      <c r="C54" s="105">
        <f>VLOOKUP(B54,Players!$B$1:$C$39,2, FALSE)</f>
        <v>1004.724899</v>
      </c>
      <c r="D54" s="133" t="s">
        <v>68</v>
      </c>
      <c r="E54" s="105">
        <f>VLOOKUP(D54,Players!$B$1:$C$39,2, FALSE)</f>
        <v>998.9684419</v>
      </c>
    </row>
    <row r="55">
      <c r="A55" s="132"/>
      <c r="B55" s="133" t="s">
        <v>63</v>
      </c>
      <c r="C55" s="105">
        <f>VLOOKUP(B55,Players!$B$1:$C$39,2, FALSE)</f>
        <v>1008.351475</v>
      </c>
      <c r="D55" s="133"/>
      <c r="E55" s="110" t="str">
        <f>VLOOKUP(D55,Players!$B$1:$C$39,2, FALSE)</f>
        <v>#N/A</v>
      </c>
    </row>
    <row r="56">
      <c r="A56" s="134"/>
      <c r="B56" s="103" t="s">
        <v>145</v>
      </c>
      <c r="C56" s="111">
        <f>sumif(C51:C55,"&lt;&gt;#N/A")</f>
        <v>2013.076374</v>
      </c>
      <c r="D56" s="103" t="s">
        <v>145</v>
      </c>
      <c r="E56" s="111">
        <f>sumif(E51:E55,"&lt;&gt;#N/A")</f>
        <v>4225.328973</v>
      </c>
    </row>
    <row r="57">
      <c r="A57" s="112"/>
      <c r="B57" s="112"/>
      <c r="C57" s="112"/>
      <c r="D57" s="112"/>
      <c r="E57" s="112"/>
    </row>
    <row r="58">
      <c r="A58" s="131">
        <v>7.0</v>
      </c>
      <c r="B58" s="103" t="s">
        <v>141</v>
      </c>
      <c r="C58" s="103" t="s">
        <v>160</v>
      </c>
      <c r="D58" s="103" t="s">
        <v>148</v>
      </c>
      <c r="E58" s="103" t="s">
        <v>160</v>
      </c>
    </row>
    <row r="59">
      <c r="A59" s="132"/>
      <c r="B59" s="133" t="s">
        <v>125</v>
      </c>
      <c r="C59" s="110">
        <v>860.96</v>
      </c>
      <c r="D59" s="133" t="s">
        <v>31</v>
      </c>
      <c r="E59" s="110">
        <v>914.23</v>
      </c>
    </row>
    <row r="60">
      <c r="A60" s="132"/>
      <c r="B60" s="133" t="s">
        <v>117</v>
      </c>
      <c r="C60" s="110">
        <v>913.94</v>
      </c>
      <c r="D60" s="133" t="s">
        <v>64</v>
      </c>
      <c r="E60" s="105">
        <f>VLOOKUP(D60,Players!$B$1:$C$39,2, FALSE)</f>
        <v>1004.724899</v>
      </c>
    </row>
    <row r="61">
      <c r="A61" s="132"/>
      <c r="B61" s="133" t="s">
        <v>50</v>
      </c>
      <c r="C61" s="105">
        <f>VLOOKUP(B61,Players!$B$1:$C$41,2, FALSE)</f>
        <v>1048.673355</v>
      </c>
      <c r="D61" s="133" t="s">
        <v>63</v>
      </c>
      <c r="E61" s="105">
        <f>VLOOKUP(D61,Players!$B$1:$C$39,2, FALSE)</f>
        <v>1008.351475</v>
      </c>
    </row>
    <row r="62">
      <c r="A62" s="132"/>
      <c r="B62" s="133" t="s">
        <v>115</v>
      </c>
      <c r="C62" s="110" t="str">
        <f>VLOOKUP(B62,Players!$B$1:$C$39,2, FALSE)</f>
        <v>#N/A</v>
      </c>
      <c r="D62" s="133" t="s">
        <v>68</v>
      </c>
      <c r="E62" s="105">
        <f>VLOOKUP(D62,Players!$B$1:$C$41,2, FALSE)</f>
        <v>998.9684419</v>
      </c>
    </row>
    <row r="63">
      <c r="A63" s="132"/>
      <c r="B63" s="133" t="s">
        <v>65</v>
      </c>
      <c r="C63" s="105">
        <f>VLOOKUP(B63,Players!$B$1:$C$39,2, FALSE)</f>
        <v>998.8017753</v>
      </c>
      <c r="D63" s="133"/>
      <c r="E63" s="110" t="str">
        <f>VLOOKUP(D63,Players!$B$1:$C$39,2, FALSE)</f>
        <v>#N/A</v>
      </c>
    </row>
    <row r="64">
      <c r="A64" s="134"/>
      <c r="B64" s="103" t="s">
        <v>145</v>
      </c>
      <c r="C64" s="111">
        <f>sumif(C59:C63,"&lt;&gt;#N/A")</f>
        <v>3822.37513</v>
      </c>
      <c r="D64" s="103" t="s">
        <v>145</v>
      </c>
      <c r="E64" s="111">
        <f>sumif(E59:E63,"&lt;&gt;#N/A")</f>
        <v>3926.274816</v>
      </c>
    </row>
    <row r="65">
      <c r="A65" s="112"/>
      <c r="B65" s="112"/>
      <c r="C65" s="112"/>
      <c r="D65" s="112"/>
      <c r="E65" s="112"/>
    </row>
    <row r="66">
      <c r="A66" s="131">
        <v>8.0</v>
      </c>
      <c r="B66" s="103" t="s">
        <v>141</v>
      </c>
      <c r="C66" s="103" t="s">
        <v>160</v>
      </c>
      <c r="D66" s="103" t="s">
        <v>148</v>
      </c>
      <c r="E66" s="103" t="s">
        <v>160</v>
      </c>
    </row>
    <row r="67">
      <c r="A67" s="132"/>
      <c r="B67" s="133" t="s">
        <v>125</v>
      </c>
      <c r="C67" s="110" t="str">
        <f>VLOOKUP(B67,Players!$B$1:$C$39,2, FALSE)</f>
        <v>#N/A</v>
      </c>
      <c r="D67" s="133" t="s">
        <v>31</v>
      </c>
      <c r="E67" s="105">
        <f>VLOOKUP(D67,Players!$B$1:$C$39,2, FALSE)</f>
        <v>1178.885401</v>
      </c>
    </row>
    <row r="68">
      <c r="A68" s="132"/>
      <c r="B68" s="133" t="s">
        <v>117</v>
      </c>
      <c r="C68" s="110" t="str">
        <f>VLOOKUP(B68,Players!$B$1:$C$39,2, FALSE)</f>
        <v>#N/A</v>
      </c>
      <c r="D68" s="133" t="s">
        <v>64</v>
      </c>
      <c r="E68" s="105">
        <f>VLOOKUP(D68,Players!$B$1:$C$39,2, FALSE)</f>
        <v>1004.724899</v>
      </c>
    </row>
    <row r="69">
      <c r="A69" s="132"/>
      <c r="B69" s="133" t="s">
        <v>50</v>
      </c>
      <c r="C69" s="105">
        <f>VLOOKUP(B69,Players!$B$1:$C$39,2, FALSE)</f>
        <v>1048.673355</v>
      </c>
      <c r="D69" s="133" t="s">
        <v>63</v>
      </c>
      <c r="E69" s="105">
        <f>VLOOKUP(D69,Players!$B$1:$C$39,2, FALSE)</f>
        <v>1008.351475</v>
      </c>
    </row>
    <row r="70">
      <c r="A70" s="132"/>
      <c r="B70" s="133" t="s">
        <v>115</v>
      </c>
      <c r="C70" s="110" t="str">
        <f>VLOOKUP(B70,Players!$B$1:$C$39,2, FALSE)</f>
        <v>#N/A</v>
      </c>
      <c r="D70" s="133" t="s">
        <v>65</v>
      </c>
      <c r="E70" s="105">
        <f>VLOOKUP(D70,Players!$B$1:$C$39,2, FALSE)</f>
        <v>998.8017753</v>
      </c>
    </row>
    <row r="71">
      <c r="A71" s="132"/>
      <c r="B71" s="133" t="s">
        <v>68</v>
      </c>
      <c r="C71" s="105">
        <f>VLOOKUP(B71,Players!$B$1:$C$39,2, FALSE)</f>
        <v>998.9684419</v>
      </c>
      <c r="D71" s="133"/>
      <c r="E71" s="110" t="str">
        <f>VLOOKUP(D71,Players!$B$1:$C$39,2, FALSE)</f>
        <v>#N/A</v>
      </c>
    </row>
    <row r="72">
      <c r="A72" s="134"/>
      <c r="B72" s="103" t="s">
        <v>145</v>
      </c>
      <c r="C72" s="111">
        <f>sumif(C67:C71,"&lt;&gt;#N/A")</f>
        <v>2047.641796</v>
      </c>
      <c r="D72" s="103" t="s">
        <v>145</v>
      </c>
      <c r="E72" s="111">
        <f>sumif(E67:E71,"&lt;&gt;#N/A")</f>
        <v>4190.763551</v>
      </c>
    </row>
    <row r="73">
      <c r="A73" s="112"/>
      <c r="B73" s="112"/>
      <c r="C73" s="112"/>
      <c r="D73" s="112"/>
      <c r="E73" s="112"/>
    </row>
    <row r="74">
      <c r="A74" s="131">
        <v>9.0</v>
      </c>
      <c r="B74" s="103" t="s">
        <v>141</v>
      </c>
      <c r="C74" s="103" t="s">
        <v>160</v>
      </c>
      <c r="D74" s="103" t="s">
        <v>148</v>
      </c>
      <c r="E74" s="103" t="s">
        <v>160</v>
      </c>
    </row>
    <row r="75">
      <c r="A75" s="132"/>
      <c r="B75" s="133" t="s">
        <v>125</v>
      </c>
      <c r="C75" s="110" t="str">
        <f>VLOOKUP(B75,Players!$B$1:$C$39,2, FALSE)</f>
        <v>#N/A</v>
      </c>
      <c r="D75" s="133" t="s">
        <v>31</v>
      </c>
      <c r="E75" s="105">
        <f>VLOOKUP(D75,Players!$B$1:$C$39,2, FALSE)</f>
        <v>1178.885401</v>
      </c>
    </row>
    <row r="76">
      <c r="A76" s="132"/>
      <c r="B76" s="133" t="s">
        <v>117</v>
      </c>
      <c r="C76" s="110" t="str">
        <f>VLOOKUP(B76,Players!$B$1:$C$39,2, FALSE)</f>
        <v>#N/A</v>
      </c>
      <c r="D76" s="133" t="s">
        <v>63</v>
      </c>
      <c r="E76" s="105">
        <f>VLOOKUP(D76,Players!$B$1:$C$39,2, FALSE)</f>
        <v>1008.351475</v>
      </c>
    </row>
    <row r="77">
      <c r="A77" s="132"/>
      <c r="B77" s="133" t="s">
        <v>50</v>
      </c>
      <c r="C77" s="105">
        <f>VLOOKUP(B77,Players!$B$1:$C$39,2, FALSE)</f>
        <v>1048.673355</v>
      </c>
      <c r="D77" s="133" t="s">
        <v>65</v>
      </c>
      <c r="E77" s="105">
        <f>VLOOKUP(D77,Players!$B$1:$C$39,2, FALSE)</f>
        <v>998.8017753</v>
      </c>
    </row>
    <row r="78">
      <c r="A78" s="132"/>
      <c r="B78" s="133" t="s">
        <v>115</v>
      </c>
      <c r="C78" s="110" t="str">
        <f>VLOOKUP(B78,Players!$B$1:$C$39,2, FALSE)</f>
        <v>#N/A</v>
      </c>
      <c r="D78" s="133" t="s">
        <v>68</v>
      </c>
      <c r="E78" s="105">
        <f>VLOOKUP(D78,Players!$B$1:$C$39,2, FALSE)</f>
        <v>998.9684419</v>
      </c>
    </row>
    <row r="79">
      <c r="A79" s="132"/>
      <c r="B79" s="133" t="s">
        <v>64</v>
      </c>
      <c r="C79" s="105">
        <f>VLOOKUP(B79,Players!$B$1:$C$39,2, FALSE)</f>
        <v>1004.724899</v>
      </c>
      <c r="D79" s="133"/>
      <c r="E79" s="110" t="str">
        <f>VLOOKUP(D79,Players!$B$1:$C$39,2, FALSE)</f>
        <v>#N/A</v>
      </c>
    </row>
    <row r="80">
      <c r="A80" s="134"/>
      <c r="B80" s="103" t="s">
        <v>145</v>
      </c>
      <c r="C80" s="111">
        <f>sumif(C75:C79,"&lt;&gt;#N/A")</f>
        <v>2053.398254</v>
      </c>
      <c r="D80" s="103" t="s">
        <v>145</v>
      </c>
      <c r="E80" s="111">
        <f>sumif(E75:E79,"&lt;&gt;#N/A")</f>
        <v>4185.007094</v>
      </c>
    </row>
    <row r="81">
      <c r="A81" s="112"/>
      <c r="B81" s="112"/>
      <c r="C81" s="112"/>
      <c r="D81" s="112"/>
      <c r="E81" s="112"/>
    </row>
    <row r="82">
      <c r="A82" s="131">
        <v>10.0</v>
      </c>
      <c r="B82" s="103" t="s">
        <v>141</v>
      </c>
      <c r="C82" s="103" t="s">
        <v>160</v>
      </c>
      <c r="D82" s="103" t="s">
        <v>148</v>
      </c>
      <c r="E82" s="103" t="s">
        <v>160</v>
      </c>
    </row>
    <row r="83">
      <c r="A83" s="132"/>
      <c r="B83" s="133" t="s">
        <v>125</v>
      </c>
      <c r="C83" s="110" t="str">
        <f>VLOOKUP(B83,Players!$B$1:$C$39,2, FALSE)</f>
        <v>#N/A</v>
      </c>
      <c r="D83" s="133" t="s">
        <v>31</v>
      </c>
      <c r="E83" s="105">
        <f>VLOOKUP(D83,Players!$B$1:$C$39,2, FALSE)</f>
        <v>1178.885401</v>
      </c>
    </row>
    <row r="84">
      <c r="A84" s="132"/>
      <c r="B84" s="133" t="s">
        <v>117</v>
      </c>
      <c r="C84" s="110" t="str">
        <f>VLOOKUP(B84,Players!$B$1:$C$39,2, FALSE)</f>
        <v>#N/A</v>
      </c>
      <c r="D84" s="133" t="s">
        <v>64</v>
      </c>
      <c r="E84" s="105">
        <f>VLOOKUP(D84,Players!$B$1:$C$39,2, FALSE)</f>
        <v>1004.724899</v>
      </c>
    </row>
    <row r="85">
      <c r="A85" s="132"/>
      <c r="B85" s="133" t="s">
        <v>50</v>
      </c>
      <c r="C85" s="105">
        <f>VLOOKUP(B85,Players!$B$1:$C$39,2, FALSE)</f>
        <v>1048.673355</v>
      </c>
      <c r="D85" s="133" t="s">
        <v>65</v>
      </c>
      <c r="E85" s="105">
        <f>VLOOKUP(D85,Players!$B$1:$C$39,2, FALSE)</f>
        <v>998.8017753</v>
      </c>
    </row>
    <row r="86">
      <c r="A86" s="132"/>
      <c r="B86" s="133" t="s">
        <v>115</v>
      </c>
      <c r="C86" s="110" t="str">
        <f>VLOOKUP(B86,Players!$B$1:$C$39,2, FALSE)</f>
        <v>#N/A</v>
      </c>
      <c r="D86" s="133" t="s">
        <v>68</v>
      </c>
      <c r="E86" s="105">
        <f>VLOOKUP(D86,Players!$B$1:$C$39,2, FALSE)</f>
        <v>998.9684419</v>
      </c>
    </row>
    <row r="87">
      <c r="A87" s="132"/>
      <c r="B87" s="133" t="s">
        <v>63</v>
      </c>
      <c r="C87" s="105">
        <f>VLOOKUP(B87,Players!$B$1:$C$39,2, FALSE)</f>
        <v>1008.351475</v>
      </c>
      <c r="D87" s="133"/>
      <c r="E87" s="110" t="str">
        <f>VLOOKUP(D87,Players!$B$1:$C$39,2, FALSE)</f>
        <v>#N/A</v>
      </c>
    </row>
    <row r="88">
      <c r="A88" s="134"/>
      <c r="B88" s="103" t="s">
        <v>145</v>
      </c>
      <c r="C88" s="111">
        <f>sumif(C83:C87,"&lt;&gt;#N/A")</f>
        <v>2057.02483</v>
      </c>
      <c r="D88" s="103" t="s">
        <v>145</v>
      </c>
      <c r="E88" s="111">
        <f>sumif(E83:E87,"&lt;&gt;#N/A")</f>
        <v>4181.380518</v>
      </c>
    </row>
  </sheetData>
  <mergeCells count="10">
    <mergeCell ref="A66:A72"/>
    <mergeCell ref="A74:A80"/>
    <mergeCell ref="A82:A88"/>
    <mergeCell ref="A10:A16"/>
    <mergeCell ref="A18:A24"/>
    <mergeCell ref="A26:A32"/>
    <mergeCell ref="A34:A40"/>
    <mergeCell ref="A42:A48"/>
    <mergeCell ref="A50:A56"/>
    <mergeCell ref="A58:A6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  <col customWidth="1" min="2" max="2" width="9.88"/>
    <col customWidth="1" min="3" max="3" width="10.63"/>
    <col customWidth="1" min="4" max="4" width="9.75"/>
    <col customWidth="1" min="5" max="5" width="11.5"/>
    <col customWidth="1" min="6" max="6" width="10.13"/>
    <col customWidth="1" min="7" max="7" width="10.63"/>
    <col customWidth="1" min="8" max="8" width="9.75"/>
    <col customWidth="1" min="9" max="9" width="11.5"/>
    <col customWidth="1" min="10" max="10" width="9.88"/>
    <col customWidth="1" min="11" max="11" width="10.63"/>
    <col customWidth="1" min="12" max="12" width="9.75"/>
    <col customWidth="1" min="13" max="13" width="11.5"/>
    <col customWidth="1" min="14" max="14" width="9.88"/>
    <col customWidth="1" min="15" max="15" width="10.63"/>
    <col customWidth="1" min="16" max="16" width="9.75"/>
    <col customWidth="1" min="17" max="17" width="11.5"/>
    <col customWidth="1" min="18" max="18" width="9.88"/>
    <col customWidth="1" min="19" max="19" width="10.63"/>
    <col customWidth="1" min="20" max="20" width="9.75"/>
    <col customWidth="1" min="21" max="21" width="11.5"/>
    <col customWidth="1" min="22" max="22" width="9.88"/>
    <col customWidth="1" min="23" max="23" width="10.63"/>
    <col customWidth="1" min="24" max="24" width="9.75"/>
    <col customWidth="1" min="25" max="25" width="11.5"/>
    <col customWidth="1" min="26" max="26" width="10.13"/>
    <col customWidth="1" min="27" max="27" width="10.63"/>
    <col customWidth="1" min="28" max="28" width="9.75"/>
    <col customWidth="1" min="29" max="29" width="11.5"/>
    <col customWidth="1" min="30" max="30" width="9.88"/>
    <col customWidth="1" min="31" max="31" width="10.63"/>
    <col customWidth="1" min="32" max="32" width="9.75"/>
    <col customWidth="1" min="33" max="33" width="11.5"/>
    <col customWidth="1" min="34" max="34" width="9.88"/>
    <col customWidth="1" min="35" max="35" width="10.63"/>
    <col customWidth="1" min="36" max="36" width="9.75"/>
    <col customWidth="1" min="37" max="37" width="11.5"/>
    <col customWidth="1" min="38" max="38" width="9.88"/>
    <col customWidth="1" min="39" max="39" width="10.63"/>
    <col customWidth="1" min="40" max="40" width="9.75"/>
    <col customWidth="1" min="41" max="41" width="11.5"/>
    <col customWidth="1" min="42" max="42" width="12.75"/>
    <col customWidth="1" min="43" max="43" width="12.5"/>
    <col customWidth="1" min="44" max="44" width="16.13"/>
    <col customWidth="1" min="45" max="45" width="40.38"/>
    <col customWidth="1" min="48" max="49" width="13.88"/>
    <col customWidth="1" min="50" max="50" width="14.38"/>
    <col customWidth="1" min="51" max="55" width="14.75"/>
    <col customWidth="1" min="56" max="56" width="15.13"/>
    <col customWidth="1" min="57" max="57" width="14.63"/>
    <col customWidth="1" min="58" max="58" width="15.0"/>
    <col customWidth="1" min="59" max="63" width="14.88"/>
  </cols>
  <sheetData>
    <row r="1">
      <c r="A1" s="135" t="s">
        <v>161</v>
      </c>
      <c r="B1" s="136" t="s">
        <v>162</v>
      </c>
      <c r="C1" s="135" t="s">
        <v>163</v>
      </c>
      <c r="D1" s="135" t="s">
        <v>164</v>
      </c>
      <c r="E1" s="137" t="s">
        <v>165</v>
      </c>
      <c r="F1" s="135" t="s">
        <v>166</v>
      </c>
      <c r="G1" s="135" t="s">
        <v>167</v>
      </c>
      <c r="H1" s="135" t="s">
        <v>168</v>
      </c>
      <c r="I1" s="135" t="s">
        <v>169</v>
      </c>
      <c r="J1" s="136" t="s">
        <v>170</v>
      </c>
      <c r="K1" s="135" t="s">
        <v>171</v>
      </c>
      <c r="L1" s="135" t="s">
        <v>172</v>
      </c>
      <c r="M1" s="137" t="s">
        <v>173</v>
      </c>
      <c r="N1" s="135" t="s">
        <v>174</v>
      </c>
      <c r="O1" s="135" t="s">
        <v>175</v>
      </c>
      <c r="P1" s="135" t="s">
        <v>176</v>
      </c>
      <c r="Q1" s="135" t="s">
        <v>177</v>
      </c>
      <c r="R1" s="136" t="s">
        <v>178</v>
      </c>
      <c r="S1" s="135" t="s">
        <v>179</v>
      </c>
      <c r="T1" s="135" t="s">
        <v>180</v>
      </c>
      <c r="U1" s="137" t="s">
        <v>181</v>
      </c>
      <c r="V1" s="135" t="s">
        <v>182</v>
      </c>
      <c r="W1" s="135" t="s">
        <v>183</v>
      </c>
      <c r="X1" s="135" t="s">
        <v>184</v>
      </c>
      <c r="Y1" s="135" t="s">
        <v>185</v>
      </c>
      <c r="Z1" s="136" t="s">
        <v>186</v>
      </c>
      <c r="AA1" s="135" t="s">
        <v>187</v>
      </c>
      <c r="AB1" s="135" t="s">
        <v>188</v>
      </c>
      <c r="AC1" s="137" t="s">
        <v>189</v>
      </c>
      <c r="AD1" s="135" t="s">
        <v>190</v>
      </c>
      <c r="AE1" s="135" t="s">
        <v>191</v>
      </c>
      <c r="AF1" s="135" t="s">
        <v>192</v>
      </c>
      <c r="AG1" s="135" t="s">
        <v>193</v>
      </c>
      <c r="AH1" s="136" t="s">
        <v>194</v>
      </c>
      <c r="AI1" s="135" t="s">
        <v>195</v>
      </c>
      <c r="AJ1" s="135" t="s">
        <v>196</v>
      </c>
      <c r="AK1" s="137" t="s">
        <v>197</v>
      </c>
      <c r="AL1" s="135" t="s">
        <v>198</v>
      </c>
      <c r="AM1" s="135" t="s">
        <v>199</v>
      </c>
      <c r="AN1" s="135" t="s">
        <v>200</v>
      </c>
      <c r="AO1" s="135" t="s">
        <v>201</v>
      </c>
      <c r="AP1" s="136" t="s">
        <v>202</v>
      </c>
      <c r="AQ1" s="136" t="s">
        <v>203</v>
      </c>
      <c r="AR1" s="135" t="s">
        <v>204</v>
      </c>
      <c r="AS1" s="135" t="s">
        <v>205</v>
      </c>
      <c r="AT1" s="44" t="s">
        <v>206</v>
      </c>
      <c r="AU1" s="44" t="s">
        <v>207</v>
      </c>
      <c r="AV1" s="135" t="s">
        <v>208</v>
      </c>
      <c r="AW1" s="138" t="s">
        <v>209</v>
      </c>
      <c r="AX1" s="135" t="s">
        <v>210</v>
      </c>
      <c r="AY1" s="138" t="s">
        <v>211</v>
      </c>
      <c r="AZ1" s="135" t="s">
        <v>212</v>
      </c>
      <c r="BA1" s="138" t="s">
        <v>213</v>
      </c>
      <c r="BB1" s="139" t="s">
        <v>214</v>
      </c>
      <c r="BC1" s="138" t="s">
        <v>215</v>
      </c>
      <c r="BD1" s="135" t="s">
        <v>216</v>
      </c>
      <c r="BE1" s="138" t="s">
        <v>217</v>
      </c>
      <c r="BF1" s="135" t="s">
        <v>218</v>
      </c>
      <c r="BG1" s="138" t="s">
        <v>219</v>
      </c>
      <c r="BH1" s="135" t="s">
        <v>220</v>
      </c>
      <c r="BI1" s="138" t="s">
        <v>221</v>
      </c>
      <c r="BJ1" s="139" t="s">
        <v>222</v>
      </c>
      <c r="BK1" s="138" t="s">
        <v>223</v>
      </c>
    </row>
    <row r="2">
      <c r="A2" s="140">
        <v>44145.959027777775</v>
      </c>
      <c r="B2" s="141" t="s">
        <v>224</v>
      </c>
      <c r="C2" s="128">
        <v>1000.0</v>
      </c>
      <c r="D2" s="128">
        <v>2.0</v>
      </c>
      <c r="E2" s="142">
        <v>994.85625</v>
      </c>
      <c r="F2" s="44" t="s">
        <v>47</v>
      </c>
      <c r="G2" s="128">
        <v>1000.0</v>
      </c>
      <c r="H2" s="128">
        <v>9.0</v>
      </c>
      <c r="I2" s="128">
        <v>995.03125</v>
      </c>
      <c r="J2" s="141" t="s">
        <v>92</v>
      </c>
      <c r="K2" s="128">
        <v>1000.0</v>
      </c>
      <c r="L2" s="128">
        <v>15.0</v>
      </c>
      <c r="M2" s="142">
        <v>995.18125</v>
      </c>
      <c r="N2" s="44" t="s">
        <v>112</v>
      </c>
      <c r="O2" s="128">
        <v>1000.0</v>
      </c>
      <c r="P2" s="128">
        <v>5.0</v>
      </c>
      <c r="Q2" s="128">
        <v>994.93125</v>
      </c>
      <c r="R2" s="141"/>
      <c r="U2" s="142"/>
      <c r="V2" s="44" t="s">
        <v>27</v>
      </c>
      <c r="W2" s="128">
        <v>1000.0</v>
      </c>
      <c r="X2" s="128">
        <v>18.0</v>
      </c>
      <c r="Y2" s="128">
        <v>1005.18125</v>
      </c>
      <c r="Z2" s="141" t="s">
        <v>23</v>
      </c>
      <c r="AA2" s="128">
        <v>1000.0</v>
      </c>
      <c r="AB2" s="128">
        <v>10.0</v>
      </c>
      <c r="AC2" s="142">
        <v>1004.98125</v>
      </c>
      <c r="AD2" s="44" t="s">
        <v>225</v>
      </c>
      <c r="AE2" s="128">
        <v>1000.0</v>
      </c>
      <c r="AF2" s="128">
        <v>4.0</v>
      </c>
      <c r="AG2" s="128">
        <v>1004.83125</v>
      </c>
      <c r="AH2" s="141" t="s">
        <v>90</v>
      </c>
      <c r="AI2" s="128">
        <v>1000.0</v>
      </c>
      <c r="AJ2" s="128">
        <v>11.0</v>
      </c>
      <c r="AK2" s="142">
        <v>1005.00625</v>
      </c>
      <c r="AP2" s="143">
        <v>5.0</v>
      </c>
      <c r="AQ2" s="128">
        <v>9.0</v>
      </c>
      <c r="AR2" s="128"/>
      <c r="AS2" s="44" t="s">
        <v>226</v>
      </c>
      <c r="AT2" s="44">
        <v>1.0</v>
      </c>
      <c r="AU2" s="144"/>
      <c r="AV2" s="128"/>
      <c r="AW2" s="145"/>
      <c r="AX2" s="128"/>
      <c r="AY2" s="145"/>
      <c r="AZ2" s="145"/>
      <c r="BA2" s="145"/>
      <c r="BB2" s="146"/>
      <c r="BC2" s="145"/>
      <c r="BD2" s="128"/>
      <c r="BE2" s="145"/>
      <c r="BF2" s="128"/>
      <c r="BG2" s="145"/>
      <c r="BH2" s="145"/>
      <c r="BI2" s="145"/>
      <c r="BJ2" s="146"/>
      <c r="BK2" s="145"/>
    </row>
    <row r="3">
      <c r="A3" s="140">
        <v>44146.91875</v>
      </c>
      <c r="B3" s="141" t="s">
        <v>47</v>
      </c>
      <c r="C3" s="128">
        <v>995.03125</v>
      </c>
      <c r="D3" s="128">
        <v>26.0</v>
      </c>
      <c r="E3" s="142">
        <v>993.1314518220007</v>
      </c>
      <c r="F3" s="44" t="s">
        <v>92</v>
      </c>
      <c r="G3" s="128">
        <v>995.18125</v>
      </c>
      <c r="H3" s="128">
        <v>23.0</v>
      </c>
      <c r="I3" s="128">
        <v>993.2500256117547</v>
      </c>
      <c r="J3" s="141" t="s">
        <v>227</v>
      </c>
      <c r="K3" s="128">
        <v>1000.0</v>
      </c>
      <c r="L3" s="128">
        <v>10.0</v>
      </c>
      <c r="M3" s="142">
        <v>997.9042830663817</v>
      </c>
      <c r="N3" s="44" t="s">
        <v>228</v>
      </c>
      <c r="O3" s="128">
        <v>1000.0</v>
      </c>
      <c r="P3" s="128">
        <v>9.0</v>
      </c>
      <c r="Q3" s="128">
        <v>997.8942830663817</v>
      </c>
      <c r="R3" s="141" t="s">
        <v>27</v>
      </c>
      <c r="S3" s="128">
        <v>1005.18125</v>
      </c>
      <c r="T3" s="128">
        <v>24.0</v>
      </c>
      <c r="U3" s="142">
        <v>1003.213706433481</v>
      </c>
      <c r="V3" s="44" t="s">
        <v>224</v>
      </c>
      <c r="W3" s="128">
        <v>994.85625</v>
      </c>
      <c r="X3" s="128">
        <v>10.0</v>
      </c>
      <c r="Y3" s="128">
        <v>996.7738458938344</v>
      </c>
      <c r="Z3" s="141" t="s">
        <v>112</v>
      </c>
      <c r="AA3" s="128">
        <v>994.93125</v>
      </c>
      <c r="AB3" s="128">
        <v>21.0</v>
      </c>
      <c r="AC3" s="142">
        <v>996.9580097619075</v>
      </c>
      <c r="AD3" s="44" t="s">
        <v>123</v>
      </c>
      <c r="AE3" s="128">
        <v>1000.0</v>
      </c>
      <c r="AF3" s="128">
        <v>18.0</v>
      </c>
      <c r="AG3" s="128">
        <v>1001.9542152984048</v>
      </c>
      <c r="AH3" s="141" t="s">
        <v>23</v>
      </c>
      <c r="AI3" s="128">
        <v>1004.98125</v>
      </c>
      <c r="AJ3" s="128">
        <v>33.0</v>
      </c>
      <c r="AK3" s="142">
        <v>1007.0719745496128</v>
      </c>
      <c r="AL3" s="44" t="s">
        <v>90</v>
      </c>
      <c r="AM3" s="128">
        <v>1005.00625</v>
      </c>
      <c r="AN3" s="128">
        <v>25.0</v>
      </c>
      <c r="AO3" s="128">
        <v>1007.0169544962405</v>
      </c>
      <c r="AP3" s="143">
        <v>13.0</v>
      </c>
      <c r="AQ3" s="128">
        <v>15.0</v>
      </c>
      <c r="AR3" s="128"/>
      <c r="AS3" s="44" t="s">
        <v>229</v>
      </c>
      <c r="AT3" s="44">
        <v>2.0</v>
      </c>
      <c r="AU3" s="44"/>
      <c r="AV3" s="128"/>
      <c r="AW3" s="145"/>
      <c r="AX3" s="128"/>
      <c r="AY3" s="145"/>
      <c r="AZ3" s="145"/>
      <c r="BA3" s="145"/>
      <c r="BB3" s="146"/>
      <c r="BC3" s="145"/>
      <c r="BD3" s="128"/>
      <c r="BE3" s="145"/>
      <c r="BF3" s="128"/>
      <c r="BG3" s="145"/>
      <c r="BH3" s="145"/>
      <c r="BI3" s="145"/>
      <c r="BJ3" s="146"/>
      <c r="BK3" s="145"/>
    </row>
    <row r="4">
      <c r="A4" s="140">
        <v>44146.98541666667</v>
      </c>
      <c r="B4" s="141" t="s">
        <v>47</v>
      </c>
      <c r="C4" s="128">
        <v>993.1314518220007</v>
      </c>
      <c r="D4" s="128">
        <v>24.0</v>
      </c>
      <c r="E4" s="142">
        <v>993.1314518220007</v>
      </c>
      <c r="F4" s="44" t="s">
        <v>92</v>
      </c>
      <c r="G4" s="128">
        <v>993.2500256117547</v>
      </c>
      <c r="H4" s="128">
        <v>32.0</v>
      </c>
      <c r="I4" s="128">
        <v>993.2500256117547</v>
      </c>
      <c r="J4" s="141" t="s">
        <v>123</v>
      </c>
      <c r="K4" s="128">
        <v>1001.9542152984048</v>
      </c>
      <c r="L4" s="128">
        <v>20.0</v>
      </c>
      <c r="M4" s="142">
        <v>1001.9542152984048</v>
      </c>
      <c r="N4" s="44" t="s">
        <v>27</v>
      </c>
      <c r="O4" s="128">
        <v>1003.213706433481</v>
      </c>
      <c r="P4" s="128">
        <v>14.0</v>
      </c>
      <c r="Q4" s="128">
        <v>1003.213706433481</v>
      </c>
      <c r="R4" s="141" t="s">
        <v>90</v>
      </c>
      <c r="S4" s="128">
        <v>1007.0169544962405</v>
      </c>
      <c r="T4" s="128">
        <v>21.0</v>
      </c>
      <c r="U4" s="142">
        <v>1007.0169544962405</v>
      </c>
      <c r="V4" s="44" t="s">
        <v>224</v>
      </c>
      <c r="W4" s="128">
        <v>996.7738458938344</v>
      </c>
      <c r="X4" s="128">
        <v>3.0</v>
      </c>
      <c r="Y4" s="128">
        <v>996.7738458938344</v>
      </c>
      <c r="Z4" s="141" t="s">
        <v>112</v>
      </c>
      <c r="AA4" s="128">
        <v>996.9580097619075</v>
      </c>
      <c r="AB4" s="128">
        <v>17.0</v>
      </c>
      <c r="AC4" s="142">
        <v>996.9580097619075</v>
      </c>
      <c r="AD4" s="44" t="s">
        <v>228</v>
      </c>
      <c r="AE4" s="128">
        <v>997.8942830663817</v>
      </c>
      <c r="AF4" s="128">
        <v>5.0</v>
      </c>
      <c r="AG4" s="128">
        <v>997.8942830663817</v>
      </c>
      <c r="AH4" s="141" t="s">
        <v>230</v>
      </c>
      <c r="AI4" s="128">
        <v>1000.0</v>
      </c>
      <c r="AJ4" s="128">
        <v>23.0</v>
      </c>
      <c r="AK4" s="142">
        <v>1000.0</v>
      </c>
      <c r="AL4" s="44" t="s">
        <v>23</v>
      </c>
      <c r="AM4" s="128">
        <v>1007.0719745496128</v>
      </c>
      <c r="AN4" s="128">
        <v>36.0</v>
      </c>
      <c r="AO4" s="128">
        <v>1007.0719745496128</v>
      </c>
      <c r="AP4" s="143">
        <v>14.0</v>
      </c>
      <c r="AQ4" s="128">
        <v>14.0</v>
      </c>
      <c r="AR4" s="128"/>
      <c r="AS4" s="44" t="s">
        <v>231</v>
      </c>
      <c r="AT4" s="44">
        <v>3.0</v>
      </c>
      <c r="AU4" s="44"/>
      <c r="AV4" s="128"/>
      <c r="AW4" s="145"/>
      <c r="AX4" s="128"/>
      <c r="AY4" s="145"/>
      <c r="AZ4" s="145"/>
      <c r="BA4" s="145"/>
      <c r="BB4" s="146"/>
      <c r="BC4" s="145"/>
      <c r="BD4" s="128"/>
      <c r="BE4" s="145"/>
      <c r="BF4" s="128"/>
      <c r="BG4" s="145"/>
      <c r="BH4" s="145"/>
      <c r="BI4" s="145"/>
      <c r="BJ4" s="146"/>
      <c r="BK4" s="145"/>
    </row>
    <row r="5">
      <c r="A5" s="140">
        <v>44147.94513888889</v>
      </c>
      <c r="B5" s="44" t="s">
        <v>92</v>
      </c>
      <c r="C5" s="128">
        <v>993.2500256117547</v>
      </c>
      <c r="D5" s="128">
        <v>34.0</v>
      </c>
      <c r="E5" s="128">
        <v>995.4185130125001</v>
      </c>
      <c r="F5" s="44" t="s">
        <v>228</v>
      </c>
      <c r="G5" s="128">
        <v>997.8942830663817</v>
      </c>
      <c r="H5" s="128">
        <v>12.0</v>
      </c>
      <c r="I5" s="128">
        <v>999.7974604220896</v>
      </c>
      <c r="J5" s="44" t="s">
        <v>227</v>
      </c>
      <c r="K5" s="128">
        <v>997.9042830663817</v>
      </c>
      <c r="L5" s="128">
        <v>13.0</v>
      </c>
      <c r="M5" s="128">
        <v>999.8173855204769</v>
      </c>
      <c r="N5" s="44" t="s">
        <v>230</v>
      </c>
      <c r="O5" s="128">
        <v>1000.0</v>
      </c>
      <c r="P5" s="128">
        <v>14.0</v>
      </c>
      <c r="Q5" s="128">
        <v>1001.90992469791</v>
      </c>
      <c r="R5" s="44" t="s">
        <v>23</v>
      </c>
      <c r="S5" s="128">
        <v>1007.0719745496128</v>
      </c>
      <c r="T5" s="128">
        <v>35.0</v>
      </c>
      <c r="U5" s="128">
        <v>1009.1772826411544</v>
      </c>
      <c r="V5" s="44" t="s">
        <v>47</v>
      </c>
      <c r="W5" s="128">
        <v>993.1314518220007</v>
      </c>
      <c r="X5" s="128">
        <v>33.0</v>
      </c>
      <c r="Y5" s="128">
        <v>991.306052580912</v>
      </c>
      <c r="Z5" s="44" t="s">
        <v>224</v>
      </c>
      <c r="AA5" s="128">
        <v>996.7738458938344</v>
      </c>
      <c r="AB5" s="128">
        <v>1.0</v>
      </c>
      <c r="AC5" s="128">
        <v>994.5941110360454</v>
      </c>
      <c r="AD5" s="44" t="s">
        <v>112</v>
      </c>
      <c r="AE5" s="128">
        <v>996.9580097619075</v>
      </c>
      <c r="AF5" s="128">
        <v>21.0</v>
      </c>
      <c r="AG5" s="128">
        <v>994.976825742876</v>
      </c>
      <c r="AH5" s="44" t="s">
        <v>27</v>
      </c>
      <c r="AI5" s="128">
        <v>1003.213706433481</v>
      </c>
      <c r="AJ5" s="128">
        <v>23.0</v>
      </c>
      <c r="AK5" s="128">
        <v>1001.2235011697462</v>
      </c>
      <c r="AL5" s="44" t="s">
        <v>90</v>
      </c>
      <c r="AM5" s="128">
        <v>1007.0169544962405</v>
      </c>
      <c r="AN5" s="128">
        <v>20.0</v>
      </c>
      <c r="AO5" s="128">
        <v>1004.9934778778844</v>
      </c>
      <c r="AP5" s="128">
        <v>15.0</v>
      </c>
      <c r="AQ5" s="128">
        <v>13.0</v>
      </c>
      <c r="AR5" s="128"/>
      <c r="AS5" s="44" t="s">
        <v>229</v>
      </c>
      <c r="AT5" s="44">
        <v>4.0</v>
      </c>
      <c r="AU5" s="44"/>
      <c r="AV5" s="128"/>
      <c r="AW5" s="145"/>
      <c r="AX5" s="128"/>
      <c r="AY5" s="145"/>
      <c r="AZ5" s="145"/>
      <c r="BA5" s="145"/>
      <c r="BB5" s="146"/>
      <c r="BC5" s="145"/>
      <c r="BD5" s="128"/>
      <c r="BE5" s="145"/>
      <c r="BF5" s="128"/>
      <c r="BG5" s="145"/>
      <c r="BH5" s="145"/>
      <c r="BI5" s="145"/>
      <c r="BJ5" s="146"/>
      <c r="BK5" s="145"/>
    </row>
    <row r="6">
      <c r="A6" s="140">
        <v>44147.98541666667</v>
      </c>
      <c r="B6" s="141" t="s">
        <v>112</v>
      </c>
      <c r="C6" s="128">
        <v>994.976825742876</v>
      </c>
      <c r="D6" s="128">
        <v>21.0</v>
      </c>
      <c r="E6" s="142">
        <v>1004.9975370566269</v>
      </c>
      <c r="F6" s="44" t="s">
        <v>92</v>
      </c>
      <c r="G6" s="128">
        <v>995.4185130125001</v>
      </c>
      <c r="H6" s="128">
        <v>21.0</v>
      </c>
      <c r="I6" s="128">
        <v>1005.4172905895504</v>
      </c>
      <c r="J6" s="141" t="s">
        <v>228</v>
      </c>
      <c r="K6" s="128">
        <v>999.7974604220896</v>
      </c>
      <c r="L6" s="128">
        <v>10.0</v>
      </c>
      <c r="M6" s="142">
        <v>1009.0798566225445</v>
      </c>
      <c r="N6" s="44" t="s">
        <v>23</v>
      </c>
      <c r="O6" s="128">
        <v>1009.1772826411544</v>
      </c>
      <c r="P6" s="128">
        <v>40.0</v>
      </c>
      <c r="Q6" s="128">
        <v>1019.8753975498983</v>
      </c>
      <c r="R6" s="141"/>
      <c r="U6" s="142"/>
      <c r="V6" s="44" t="s">
        <v>47</v>
      </c>
      <c r="W6" s="128">
        <v>991.306052580912</v>
      </c>
      <c r="X6" s="128">
        <v>25.0</v>
      </c>
      <c r="Y6" s="128">
        <v>981.8627833144624</v>
      </c>
      <c r="Z6" s="141" t="s">
        <v>27</v>
      </c>
      <c r="AA6" s="128">
        <v>1001.2235011697462</v>
      </c>
      <c r="AB6" s="128">
        <v>14.0</v>
      </c>
      <c r="AC6" s="142">
        <v>990.8700381679588</v>
      </c>
      <c r="AD6" s="44" t="s">
        <v>230</v>
      </c>
      <c r="AE6" s="128">
        <v>1001.90992469791</v>
      </c>
      <c r="AF6" s="128">
        <v>19.0</v>
      </c>
      <c r="AG6" s="128">
        <v>991.7963157477689</v>
      </c>
      <c r="AH6" s="141" t="s">
        <v>90</v>
      </c>
      <c r="AI6" s="128">
        <v>1004.9934778778844</v>
      </c>
      <c r="AJ6" s="128">
        <v>20.0</v>
      </c>
      <c r="AK6" s="142">
        <v>994.9038190962625</v>
      </c>
      <c r="AP6" s="143">
        <v>20.0</v>
      </c>
      <c r="AQ6" s="128">
        <v>8.0</v>
      </c>
      <c r="AR6" s="128"/>
      <c r="AS6" s="44" t="s">
        <v>232</v>
      </c>
      <c r="AT6" s="44">
        <v>5.0</v>
      </c>
      <c r="AU6" s="44"/>
      <c r="AV6" s="128"/>
      <c r="AW6" s="145"/>
      <c r="AX6" s="128"/>
      <c r="AY6" s="145"/>
      <c r="AZ6" s="145"/>
      <c r="BA6" s="145"/>
      <c r="BB6" s="146"/>
      <c r="BC6" s="145"/>
      <c r="BD6" s="128"/>
      <c r="BE6" s="145"/>
      <c r="BF6" s="128"/>
      <c r="BG6" s="145"/>
      <c r="BH6" s="145"/>
      <c r="BI6" s="145"/>
      <c r="BJ6" s="146"/>
      <c r="BK6" s="145"/>
    </row>
    <row r="7">
      <c r="A7" s="140">
        <v>44148.98402777778</v>
      </c>
      <c r="B7" s="141" t="s">
        <v>47</v>
      </c>
      <c r="C7" s="128">
        <v>981.8627833144624</v>
      </c>
      <c r="D7" s="128">
        <v>18.0</v>
      </c>
      <c r="E7" s="142">
        <v>977.0317909650971</v>
      </c>
      <c r="F7" s="44" t="s">
        <v>233</v>
      </c>
      <c r="G7" s="128">
        <v>1000.0</v>
      </c>
      <c r="H7" s="128">
        <v>0.0</v>
      </c>
      <c r="I7" s="128">
        <v>994.5533289403995</v>
      </c>
      <c r="J7" s="141" t="s">
        <v>234</v>
      </c>
      <c r="K7" s="128">
        <v>1000.0</v>
      </c>
      <c r="L7" s="128">
        <v>8.0</v>
      </c>
      <c r="M7" s="142">
        <v>994.7533289403995</v>
      </c>
      <c r="N7" s="44" t="s">
        <v>23</v>
      </c>
      <c r="O7" s="128">
        <v>1019.8753975498983</v>
      </c>
      <c r="P7" s="128">
        <v>40.0</v>
      </c>
      <c r="Q7" s="128">
        <v>1015.3997320184645</v>
      </c>
      <c r="R7" s="141"/>
      <c r="U7" s="142"/>
      <c r="V7" s="44" t="s">
        <v>230</v>
      </c>
      <c r="W7" s="128">
        <v>991.7963157477689</v>
      </c>
      <c r="X7" s="128">
        <v>15.0</v>
      </c>
      <c r="Y7" s="128">
        <v>996.7148653626303</v>
      </c>
      <c r="Z7" s="141" t="s">
        <v>90</v>
      </c>
      <c r="AA7" s="128">
        <v>994.9038190962625</v>
      </c>
      <c r="AB7" s="128">
        <v>25.0</v>
      </c>
      <c r="AC7" s="142">
        <v>1000.041535703351</v>
      </c>
      <c r="AD7" s="44" t="s">
        <v>123</v>
      </c>
      <c r="AE7" s="128">
        <v>1001.9542152984048</v>
      </c>
      <c r="AF7" s="128">
        <v>24.0</v>
      </c>
      <c r="AG7" s="128">
        <v>1007.0192189301863</v>
      </c>
      <c r="AH7" s="141" t="s">
        <v>112</v>
      </c>
      <c r="AI7" s="128">
        <v>1004.9975370566269</v>
      </c>
      <c r="AJ7" s="128">
        <v>17.0</v>
      </c>
      <c r="AK7" s="142">
        <v>1009.8762672028955</v>
      </c>
      <c r="AP7" s="143">
        <v>12.0</v>
      </c>
      <c r="AQ7" s="128">
        <v>16.0</v>
      </c>
      <c r="AR7" s="128"/>
      <c r="AS7" s="44" t="s">
        <v>229</v>
      </c>
      <c r="AT7" s="44">
        <v>6.0</v>
      </c>
      <c r="AU7" s="44"/>
      <c r="AV7" s="128"/>
      <c r="AW7" s="145"/>
      <c r="AX7" s="128"/>
      <c r="AY7" s="145"/>
      <c r="AZ7" s="145"/>
      <c r="BA7" s="145"/>
      <c r="BB7" s="146"/>
      <c r="BC7" s="145"/>
      <c r="BD7" s="128"/>
      <c r="BE7" s="145"/>
      <c r="BF7" s="128"/>
      <c r="BG7" s="145"/>
      <c r="BH7" s="145"/>
      <c r="BI7" s="145"/>
      <c r="BJ7" s="146"/>
      <c r="BK7" s="145"/>
    </row>
    <row r="8">
      <c r="A8" s="140">
        <v>44149.05138888889</v>
      </c>
      <c r="B8" s="141" t="s">
        <v>47</v>
      </c>
      <c r="C8" s="128">
        <v>977.0317909650971</v>
      </c>
      <c r="D8" s="128">
        <v>27.0</v>
      </c>
      <c r="E8" s="142">
        <v>987.8920375737697</v>
      </c>
      <c r="F8" s="44" t="s">
        <v>234</v>
      </c>
      <c r="G8" s="128">
        <v>994.7533289403995</v>
      </c>
      <c r="H8" s="128">
        <v>8.0</v>
      </c>
      <c r="I8" s="128">
        <v>1003.9696856885373</v>
      </c>
      <c r="J8" s="141" t="s">
        <v>112</v>
      </c>
      <c r="K8" s="128">
        <v>1009.8762672028955</v>
      </c>
      <c r="L8" s="128">
        <v>18.0</v>
      </c>
      <c r="M8" s="142">
        <v>1019.5227371761023</v>
      </c>
      <c r="N8" s="44" t="s">
        <v>23</v>
      </c>
      <c r="O8" s="128">
        <v>1015.3997320184645</v>
      </c>
      <c r="P8" s="128">
        <v>50.0</v>
      </c>
      <c r="Q8" s="128">
        <v>1026.6766586884473</v>
      </c>
      <c r="R8" s="141"/>
      <c r="U8" s="142"/>
      <c r="V8" s="44" t="s">
        <v>230</v>
      </c>
      <c r="W8" s="128">
        <v>996.7148653626303</v>
      </c>
      <c r="X8" s="128">
        <v>14.0</v>
      </c>
      <c r="Y8" s="128">
        <v>986.5073042892423</v>
      </c>
      <c r="Z8" s="141" t="s">
        <v>107</v>
      </c>
      <c r="AA8" s="128">
        <v>1000.0</v>
      </c>
      <c r="AB8" s="128">
        <v>7.0</v>
      </c>
      <c r="AC8" s="142">
        <v>989.405653271738</v>
      </c>
      <c r="AD8" s="44" t="s">
        <v>90</v>
      </c>
      <c r="AE8" s="128">
        <v>1000.041535703351</v>
      </c>
      <c r="AF8" s="128">
        <v>18.0</v>
      </c>
      <c r="AG8" s="128">
        <v>990.0106372889215</v>
      </c>
      <c r="AH8" s="141" t="s">
        <v>123</v>
      </c>
      <c r="AI8" s="128">
        <v>1007.0192189301863</v>
      </c>
      <c r="AJ8" s="128">
        <v>16.0</v>
      </c>
      <c r="AK8" s="142">
        <v>996.8520251462659</v>
      </c>
      <c r="AP8" s="143">
        <v>20.0</v>
      </c>
      <c r="AQ8" s="128">
        <v>8.0</v>
      </c>
      <c r="AR8" s="128"/>
      <c r="AS8" s="44" t="s">
        <v>229</v>
      </c>
      <c r="AT8" s="44">
        <v>7.0</v>
      </c>
      <c r="AU8" s="44"/>
      <c r="AV8" s="128"/>
      <c r="AW8" s="145"/>
      <c r="AX8" s="128"/>
      <c r="AY8" s="145"/>
      <c r="AZ8" s="145"/>
      <c r="BA8" s="145"/>
      <c r="BB8" s="146"/>
      <c r="BC8" s="145"/>
      <c r="BD8" s="128"/>
      <c r="BE8" s="145"/>
      <c r="BF8" s="128"/>
      <c r="BG8" s="145"/>
      <c r="BH8" s="145"/>
      <c r="BI8" s="145"/>
      <c r="BJ8" s="146"/>
      <c r="BK8" s="145"/>
    </row>
    <row r="9">
      <c r="A9" s="140">
        <v>44149.086805555555</v>
      </c>
      <c r="B9" s="141" t="s">
        <v>230</v>
      </c>
      <c r="C9" s="128">
        <v>999.6333501268296</v>
      </c>
      <c r="D9" s="128">
        <v>13.0</v>
      </c>
      <c r="E9" s="142">
        <v>983.3434249535668</v>
      </c>
      <c r="F9" s="44" t="s">
        <v>234</v>
      </c>
      <c r="G9" s="128">
        <v>1016.4673921804165</v>
      </c>
      <c r="H9" s="128">
        <v>6.0</v>
      </c>
      <c r="I9" s="128">
        <v>999.5442428203227</v>
      </c>
      <c r="J9" s="141" t="s">
        <v>112</v>
      </c>
      <c r="K9" s="128">
        <v>1032.8989848466358</v>
      </c>
      <c r="L9" s="128">
        <v>20.0</v>
      </c>
      <c r="M9" s="142">
        <v>1017.1120593799925</v>
      </c>
      <c r="R9" s="141"/>
      <c r="U9" s="142"/>
      <c r="V9" s="44" t="s">
        <v>47</v>
      </c>
      <c r="W9" s="128">
        <v>974.833273243726</v>
      </c>
      <c r="X9" s="128">
        <v>18.0</v>
      </c>
      <c r="Y9" s="128">
        <v>991.1894344168188</v>
      </c>
      <c r="Z9" s="141" t="s">
        <v>107</v>
      </c>
      <c r="AA9" s="128">
        <v>975.9875709300654</v>
      </c>
      <c r="AB9" s="128">
        <v>13.0</v>
      </c>
      <c r="AC9" s="142">
        <v>991.9005917266596</v>
      </c>
      <c r="AD9" s="44" t="s">
        <v>23</v>
      </c>
      <c r="AE9" s="128">
        <v>1014.1535053601635</v>
      </c>
      <c r="AF9" s="128">
        <v>31.0</v>
      </c>
      <c r="AG9" s="128">
        <v>1030.8843233904765</v>
      </c>
      <c r="AH9" s="141"/>
      <c r="AK9" s="142"/>
      <c r="AP9" s="143">
        <v>8.0</v>
      </c>
      <c r="AQ9" s="128">
        <v>20.0</v>
      </c>
      <c r="AR9" s="128"/>
      <c r="AS9" s="44" t="s">
        <v>235</v>
      </c>
      <c r="AT9" s="44">
        <v>8.0</v>
      </c>
      <c r="AU9" s="44"/>
      <c r="AV9" s="128"/>
      <c r="AW9" s="145"/>
      <c r="AX9" s="128"/>
      <c r="AY9" s="145"/>
      <c r="AZ9" s="145"/>
      <c r="BA9" s="145"/>
      <c r="BB9" s="146"/>
      <c r="BC9" s="145"/>
      <c r="BD9" s="128"/>
      <c r="BE9" s="145"/>
      <c r="BF9" s="128"/>
      <c r="BG9" s="145"/>
      <c r="BH9" s="145"/>
      <c r="BI9" s="145"/>
      <c r="BJ9" s="146"/>
      <c r="BK9" s="145"/>
    </row>
    <row r="10">
      <c r="A10" s="140">
        <v>44149.979166666664</v>
      </c>
      <c r="B10" s="141" t="s">
        <v>230</v>
      </c>
      <c r="C10" s="128">
        <v>983.3434249535668</v>
      </c>
      <c r="D10" s="128">
        <v>28.0</v>
      </c>
      <c r="E10" s="142">
        <v>985.391928117519</v>
      </c>
      <c r="F10" s="44" t="s">
        <v>90</v>
      </c>
      <c r="G10" s="128">
        <v>990.0106372889215</v>
      </c>
      <c r="H10" s="128">
        <v>28.0</v>
      </c>
      <c r="I10" s="128">
        <v>992.0264105184275</v>
      </c>
      <c r="J10" s="141" t="s">
        <v>234</v>
      </c>
      <c r="K10" s="128">
        <v>999.5442428203227</v>
      </c>
      <c r="L10" s="128">
        <v>7.0</v>
      </c>
      <c r="M10" s="142">
        <v>1001.316842916454</v>
      </c>
      <c r="N10" s="44" t="s">
        <v>92</v>
      </c>
      <c r="O10" s="128">
        <v>1005.4172905895504</v>
      </c>
      <c r="P10" s="128">
        <v>24.0</v>
      </c>
      <c r="Q10" s="128">
        <v>1007.3483542198784</v>
      </c>
      <c r="R10" s="141" t="s">
        <v>23</v>
      </c>
      <c r="S10" s="128">
        <v>1030.8843233904765</v>
      </c>
      <c r="T10" s="128">
        <v>55.0</v>
      </c>
      <c r="U10" s="142">
        <v>1033.116383270559</v>
      </c>
      <c r="V10" s="44" t="s">
        <v>27</v>
      </c>
      <c r="W10" s="128">
        <v>990.8700381679588</v>
      </c>
      <c r="X10" s="128">
        <v>20.0</v>
      </c>
      <c r="Y10" s="128">
        <v>988.8160045125602</v>
      </c>
      <c r="Z10" s="141" t="s">
        <v>47</v>
      </c>
      <c r="AA10" s="128">
        <v>991.1894344168188</v>
      </c>
      <c r="AB10" s="128">
        <v>34.0</v>
      </c>
      <c r="AC10" s="142">
        <v>989.2741260583113</v>
      </c>
      <c r="AD10" s="44" t="s">
        <v>236</v>
      </c>
      <c r="AE10" s="128">
        <v>1000.0</v>
      </c>
      <c r="AF10" s="128">
        <v>39.0</v>
      </c>
      <c r="AG10" s="128">
        <v>998.1069582573558</v>
      </c>
      <c r="AH10" s="141" t="s">
        <v>228</v>
      </c>
      <c r="AI10" s="128">
        <v>1009.0798566225445</v>
      </c>
      <c r="AJ10" s="128">
        <v>16.0</v>
      </c>
      <c r="AK10" s="142">
        <v>1006.942938991887</v>
      </c>
      <c r="AL10" s="44" t="s">
        <v>112</v>
      </c>
      <c r="AM10" s="128">
        <v>1017.1120593799925</v>
      </c>
      <c r="AN10" s="128">
        <v>30.0</v>
      </c>
      <c r="AO10" s="128">
        <v>1015.1113607672005</v>
      </c>
      <c r="AP10" s="143">
        <v>22.0</v>
      </c>
      <c r="AQ10" s="128">
        <v>20.0</v>
      </c>
      <c r="AR10" s="128"/>
      <c r="AS10" s="44" t="s">
        <v>237</v>
      </c>
      <c r="AT10" s="44">
        <v>9.0</v>
      </c>
      <c r="AU10" s="44"/>
      <c r="AV10" s="128"/>
      <c r="AW10" s="145"/>
      <c r="AX10" s="128"/>
      <c r="AY10" s="145"/>
      <c r="AZ10" s="145"/>
      <c r="BA10" s="145"/>
      <c r="BB10" s="146"/>
      <c r="BC10" s="145"/>
      <c r="BD10" s="128"/>
      <c r="BE10" s="145"/>
      <c r="BF10" s="128"/>
      <c r="BG10" s="145"/>
      <c r="BH10" s="145"/>
      <c r="BI10" s="145"/>
      <c r="BJ10" s="146"/>
      <c r="BK10" s="145"/>
    </row>
    <row r="11">
      <c r="A11" s="140">
        <v>44150.052083333336</v>
      </c>
      <c r="B11" s="141" t="s">
        <v>230</v>
      </c>
      <c r="C11" s="128">
        <v>985.391928117519</v>
      </c>
      <c r="D11" s="128">
        <v>24.0</v>
      </c>
      <c r="E11" s="142">
        <v>981.450582926961</v>
      </c>
      <c r="F11" s="44" t="s">
        <v>27</v>
      </c>
      <c r="G11" s="128">
        <v>988.8160045125602</v>
      </c>
      <c r="H11" s="128">
        <v>23.0</v>
      </c>
      <c r="I11" s="128">
        <v>984.8263323334108</v>
      </c>
      <c r="J11" s="141" t="s">
        <v>47</v>
      </c>
      <c r="K11" s="128">
        <v>989.2741260583113</v>
      </c>
      <c r="L11" s="128">
        <v>31.0</v>
      </c>
      <c r="M11" s="142">
        <v>985.4409007725855</v>
      </c>
      <c r="N11" s="44" t="s">
        <v>90</v>
      </c>
      <c r="O11" s="128">
        <v>992.0264105184275</v>
      </c>
      <c r="P11" s="128">
        <v>30.0</v>
      </c>
      <c r="Q11" s="128">
        <v>988.1531497570735</v>
      </c>
      <c r="R11" s="141" t="s">
        <v>234</v>
      </c>
      <c r="S11" s="128">
        <v>1001.316842916454</v>
      </c>
      <c r="T11" s="128">
        <v>8.0</v>
      </c>
      <c r="U11" s="142">
        <v>996.9543463332411</v>
      </c>
      <c r="V11" s="44" t="s">
        <v>228</v>
      </c>
      <c r="W11" s="128">
        <v>1006.942938991887</v>
      </c>
      <c r="X11" s="128">
        <v>23.0</v>
      </c>
      <c r="Y11" s="128">
        <v>1011.5656372900411</v>
      </c>
      <c r="Z11" s="141" t="s">
        <v>92</v>
      </c>
      <c r="AA11" s="128">
        <v>1007.3483542198784</v>
      </c>
      <c r="AB11" s="128">
        <v>47.0</v>
      </c>
      <c r="AC11" s="142">
        <v>1012.569607830745</v>
      </c>
      <c r="AD11" s="44" t="s">
        <v>112</v>
      </c>
      <c r="AE11" s="128">
        <v>1015.1113607672005</v>
      </c>
      <c r="AF11" s="128">
        <v>33.0</v>
      </c>
      <c r="AG11" s="128">
        <v>1019.9664892730943</v>
      </c>
      <c r="AH11" s="141" t="s">
        <v>23</v>
      </c>
      <c r="AI11" s="128">
        <v>1033.116383270559</v>
      </c>
      <c r="AJ11" s="128">
        <v>51.0</v>
      </c>
      <c r="AK11" s="142">
        <v>1038.4173028556445</v>
      </c>
      <c r="AP11" s="143">
        <v>19.0</v>
      </c>
      <c r="AQ11" s="128">
        <v>23.0</v>
      </c>
      <c r="AR11" s="128"/>
      <c r="AS11" s="44" t="s">
        <v>237</v>
      </c>
      <c r="AT11" s="44">
        <v>10.0</v>
      </c>
      <c r="AU11" s="44"/>
      <c r="AV11" s="128"/>
      <c r="AW11" s="145"/>
      <c r="AX11" s="128"/>
      <c r="AY11" s="145"/>
      <c r="AZ11" s="145"/>
      <c r="BA11" s="145"/>
      <c r="BB11" s="146"/>
      <c r="BC11" s="145"/>
      <c r="BD11" s="128"/>
      <c r="BE11" s="145"/>
      <c r="BF11" s="128"/>
      <c r="BG11" s="145"/>
      <c r="BH11" s="145"/>
      <c r="BI11" s="145"/>
      <c r="BJ11" s="146"/>
      <c r="BK11" s="145"/>
    </row>
    <row r="12">
      <c r="A12" s="140">
        <v>44150.97152777778</v>
      </c>
      <c r="B12" s="141" t="s">
        <v>230</v>
      </c>
      <c r="C12" s="128">
        <v>981.450582926961</v>
      </c>
      <c r="D12" s="128">
        <v>13.0</v>
      </c>
      <c r="E12" s="142">
        <v>976.153702827382</v>
      </c>
      <c r="F12" s="44" t="s">
        <v>27</v>
      </c>
      <c r="G12" s="128">
        <v>984.8263323334108</v>
      </c>
      <c r="H12" s="128">
        <v>13.0</v>
      </c>
      <c r="I12" s="128">
        <v>979.508232931109</v>
      </c>
      <c r="J12" s="141" t="s">
        <v>228</v>
      </c>
      <c r="K12" s="128">
        <v>1011.5656372900411</v>
      </c>
      <c r="L12" s="128">
        <v>9.0</v>
      </c>
      <c r="M12" s="142">
        <v>1006.0487656173035</v>
      </c>
      <c r="N12" s="44" t="s">
        <v>23</v>
      </c>
      <c r="O12" s="128">
        <v>1038.4173028556445</v>
      </c>
      <c r="P12" s="128">
        <v>34.0</v>
      </c>
      <c r="Q12" s="128">
        <v>1033.549154030263</v>
      </c>
      <c r="R12" s="141"/>
      <c r="U12" s="142"/>
      <c r="V12" s="44" t="s">
        <v>47</v>
      </c>
      <c r="W12" s="128">
        <v>985.4409007725855</v>
      </c>
      <c r="X12" s="128">
        <v>24.0</v>
      </c>
      <c r="Y12" s="128">
        <v>990.7947645686795</v>
      </c>
      <c r="Z12" s="141" t="s">
        <v>90</v>
      </c>
      <c r="AA12" s="128">
        <v>988.1531497570735</v>
      </c>
      <c r="AB12" s="128">
        <v>21.0</v>
      </c>
      <c r="AC12" s="142">
        <v>993.4085655638995</v>
      </c>
      <c r="AD12" s="44" t="s">
        <v>92</v>
      </c>
      <c r="AE12" s="128">
        <v>1012.569607830745</v>
      </c>
      <c r="AF12" s="128">
        <v>27.0</v>
      </c>
      <c r="AG12" s="128">
        <v>1017.8860927197318</v>
      </c>
      <c r="AH12" s="141" t="s">
        <v>112</v>
      </c>
      <c r="AI12" s="128">
        <v>1019.9664892730943</v>
      </c>
      <c r="AJ12" s="128">
        <v>18.0</v>
      </c>
      <c r="AK12" s="142">
        <v>1025.0407247811875</v>
      </c>
      <c r="AP12" s="143">
        <v>10.0</v>
      </c>
      <c r="AQ12" s="128">
        <v>18.0</v>
      </c>
      <c r="AR12" s="128"/>
      <c r="AS12" s="44" t="s">
        <v>232</v>
      </c>
      <c r="AT12" s="44">
        <v>11.0</v>
      </c>
      <c r="AU12" s="44"/>
      <c r="AV12" s="128"/>
      <c r="AW12" s="145"/>
      <c r="AX12" s="128"/>
      <c r="AY12" s="145"/>
      <c r="AZ12" s="145"/>
      <c r="BA12" s="145"/>
      <c r="BB12" s="146"/>
      <c r="BC12" s="145"/>
      <c r="BD12" s="128"/>
      <c r="BE12" s="145"/>
      <c r="BF12" s="128"/>
      <c r="BG12" s="145"/>
      <c r="BH12" s="145"/>
      <c r="BI12" s="145"/>
      <c r="BJ12" s="146"/>
      <c r="BK12" s="145"/>
    </row>
    <row r="13">
      <c r="A13" s="140">
        <v>44151.01458333333</v>
      </c>
      <c r="B13" s="141" t="s">
        <v>230</v>
      </c>
      <c r="C13" s="128">
        <v>976.153702827382</v>
      </c>
      <c r="D13" s="128">
        <v>15.0</v>
      </c>
      <c r="E13" s="142">
        <v>986.0316022850541</v>
      </c>
      <c r="F13" s="44" t="s">
        <v>27</v>
      </c>
      <c r="G13" s="128">
        <v>979.508232931109</v>
      </c>
      <c r="H13" s="128">
        <v>20.0</v>
      </c>
      <c r="I13" s="128">
        <v>989.5804403551962</v>
      </c>
      <c r="J13" s="141" t="s">
        <v>92</v>
      </c>
      <c r="K13" s="128">
        <v>1017.8860927197318</v>
      </c>
      <c r="L13" s="128">
        <v>23.0</v>
      </c>
      <c r="M13" s="142">
        <v>1027.789387975084</v>
      </c>
      <c r="N13" s="44" t="s">
        <v>23</v>
      </c>
      <c r="O13" s="128">
        <v>1033.549154030263</v>
      </c>
      <c r="P13" s="128">
        <v>28.0</v>
      </c>
      <c r="Q13" s="128">
        <v>1043.6957518931513</v>
      </c>
      <c r="R13" s="141"/>
      <c r="U13" s="142"/>
      <c r="V13" s="44" t="s">
        <v>47</v>
      </c>
      <c r="W13" s="128">
        <v>990.7947645686795</v>
      </c>
      <c r="X13" s="128">
        <v>14.0</v>
      </c>
      <c r="Y13" s="128">
        <v>980.8491880827072</v>
      </c>
      <c r="Z13" s="141" t="s">
        <v>90</v>
      </c>
      <c r="AA13" s="128">
        <v>993.4085655638995</v>
      </c>
      <c r="AB13" s="128">
        <v>13.0</v>
      </c>
      <c r="AC13" s="142">
        <v>983.3955238547998</v>
      </c>
      <c r="AD13" s="44" t="s">
        <v>238</v>
      </c>
      <c r="AE13" s="128">
        <v>1000.0</v>
      </c>
      <c r="AF13" s="128">
        <v>12.0</v>
      </c>
      <c r="AG13" s="128">
        <v>989.9015391242343</v>
      </c>
      <c r="AH13" s="141" t="s">
        <v>112</v>
      </c>
      <c r="AI13" s="128">
        <v>1025.0407247811875</v>
      </c>
      <c r="AJ13" s="128">
        <v>16.0</v>
      </c>
      <c r="AK13" s="142">
        <v>1015.0978038520252</v>
      </c>
      <c r="AP13" s="143">
        <v>19.0</v>
      </c>
      <c r="AQ13" s="128">
        <v>9.0</v>
      </c>
      <c r="AR13" s="128"/>
      <c r="AS13" s="44" t="s">
        <v>229</v>
      </c>
      <c r="AT13" s="44">
        <v>12.0</v>
      </c>
      <c r="AU13" s="44"/>
      <c r="AV13" s="128"/>
      <c r="AW13" s="145"/>
      <c r="AX13" s="128"/>
      <c r="AY13" s="145"/>
      <c r="AZ13" s="145"/>
      <c r="BA13" s="145"/>
      <c r="BB13" s="146"/>
      <c r="BC13" s="145"/>
      <c r="BD13" s="128"/>
      <c r="BE13" s="145"/>
      <c r="BF13" s="128"/>
      <c r="BG13" s="145"/>
      <c r="BH13" s="145"/>
      <c r="BI13" s="145"/>
      <c r="BJ13" s="146"/>
      <c r="BK13" s="145"/>
    </row>
    <row r="14">
      <c r="A14" s="140">
        <v>44151.89375</v>
      </c>
      <c r="B14" s="141" t="s">
        <v>47</v>
      </c>
      <c r="C14" s="128">
        <v>980.8491880827072</v>
      </c>
      <c r="D14" s="128">
        <v>13.0</v>
      </c>
      <c r="E14" s="142">
        <v>974.1930489638517</v>
      </c>
      <c r="F14" s="44" t="s">
        <v>112</v>
      </c>
      <c r="G14" s="128">
        <v>1015.0978038520252</v>
      </c>
      <c r="H14" s="128">
        <v>13.0</v>
      </c>
      <c r="I14" s="128">
        <v>1008.3285579731088</v>
      </c>
      <c r="J14" s="141" t="s">
        <v>92</v>
      </c>
      <c r="K14" s="128">
        <v>1027.789387975084</v>
      </c>
      <c r="L14" s="128">
        <v>19.0</v>
      </c>
      <c r="M14" s="142">
        <v>1021.214772972856</v>
      </c>
      <c r="R14" s="141"/>
      <c r="U14" s="142"/>
      <c r="V14" s="44" t="s">
        <v>90</v>
      </c>
      <c r="W14" s="128">
        <v>983.3955238547998</v>
      </c>
      <c r="X14" s="128">
        <v>23.0</v>
      </c>
      <c r="Y14" s="128">
        <v>990.2249182926382</v>
      </c>
      <c r="Z14" s="141" t="s">
        <v>27</v>
      </c>
      <c r="AA14" s="128">
        <v>989.5804403551962</v>
      </c>
      <c r="AB14" s="128">
        <v>10.0</v>
      </c>
      <c r="AC14" s="142">
        <v>995.932568257292</v>
      </c>
      <c r="AD14" s="44" t="s">
        <v>23</v>
      </c>
      <c r="AE14" s="128">
        <v>1043.6957518931513</v>
      </c>
      <c r="AF14" s="128">
        <v>27.0</v>
      </c>
      <c r="AG14" s="128">
        <v>1050.5142295532169</v>
      </c>
      <c r="AH14" s="141"/>
      <c r="AK14" s="142"/>
      <c r="AP14" s="143">
        <v>10.0</v>
      </c>
      <c r="AQ14" s="128">
        <v>18.0</v>
      </c>
      <c r="AR14" s="128"/>
      <c r="AS14" s="44" t="s">
        <v>232</v>
      </c>
      <c r="AT14" s="44">
        <v>13.0</v>
      </c>
      <c r="AU14" s="44"/>
      <c r="AV14" s="128"/>
      <c r="AW14" s="145"/>
      <c r="AX14" s="128"/>
      <c r="AY14" s="145"/>
      <c r="AZ14" s="145"/>
      <c r="BA14" s="145"/>
      <c r="BB14" s="146"/>
      <c r="BC14" s="145"/>
      <c r="BD14" s="128"/>
      <c r="BE14" s="145"/>
      <c r="BF14" s="128"/>
      <c r="BG14" s="145"/>
      <c r="BH14" s="145"/>
      <c r="BI14" s="145"/>
      <c r="BJ14" s="146"/>
      <c r="BK14" s="145"/>
    </row>
    <row r="15">
      <c r="A15" s="140">
        <v>44151.95763888889</v>
      </c>
      <c r="B15" s="141" t="s">
        <v>47</v>
      </c>
      <c r="C15" s="128">
        <v>974.1930489638517</v>
      </c>
      <c r="D15" s="128">
        <v>24.0</v>
      </c>
      <c r="E15" s="142">
        <v>978.3313585354987</v>
      </c>
      <c r="F15" s="44" t="s">
        <v>90</v>
      </c>
      <c r="G15" s="128">
        <v>990.2249182926382</v>
      </c>
      <c r="H15" s="128">
        <v>25.0</v>
      </c>
      <c r="I15" s="128">
        <v>994.3046013245482</v>
      </c>
      <c r="J15" s="141" t="s">
        <v>224</v>
      </c>
      <c r="K15" s="128">
        <v>994.5941110360454</v>
      </c>
      <c r="L15" s="128">
        <v>8.0</v>
      </c>
      <c r="M15" s="142">
        <v>998.317946232447</v>
      </c>
      <c r="N15" s="44" t="s">
        <v>27</v>
      </c>
      <c r="O15" s="128">
        <v>995.932568257292</v>
      </c>
      <c r="P15" s="128">
        <v>20.0</v>
      </c>
      <c r="Q15" s="128">
        <v>999.8920977778195</v>
      </c>
      <c r="R15" s="141" t="s">
        <v>23</v>
      </c>
      <c r="S15" s="128">
        <v>1050.5142295532169</v>
      </c>
      <c r="T15" s="128">
        <v>29.0</v>
      </c>
      <c r="U15" s="142">
        <v>1054.6128722327308</v>
      </c>
      <c r="V15" s="44" t="s">
        <v>230</v>
      </c>
      <c r="W15" s="128">
        <v>986.0316022850541</v>
      </c>
      <c r="X15" s="128">
        <v>13.0</v>
      </c>
      <c r="Y15" s="128">
        <v>981.9254310729243</v>
      </c>
      <c r="Z15" s="141" t="s">
        <v>238</v>
      </c>
      <c r="AA15" s="128">
        <v>989.9015391242343</v>
      </c>
      <c r="AB15" s="128">
        <v>17.0</v>
      </c>
      <c r="AC15" s="142">
        <v>985.8604393746466</v>
      </c>
      <c r="AD15" s="44" t="s">
        <v>239</v>
      </c>
      <c r="AE15" s="128">
        <v>1000.0</v>
      </c>
      <c r="AF15" s="128">
        <v>28.0</v>
      </c>
      <c r="AG15" s="128">
        <v>996.1489548750056</v>
      </c>
      <c r="AH15" s="141" t="s">
        <v>112</v>
      </c>
      <c r="AI15" s="128">
        <v>1008.3285579731088</v>
      </c>
      <c r="AJ15" s="128">
        <v>23.0</v>
      </c>
      <c r="AK15" s="142">
        <v>1004.3625941262259</v>
      </c>
      <c r="AL15" s="44" t="s">
        <v>92</v>
      </c>
      <c r="AM15" s="128">
        <v>1021.214772972856</v>
      </c>
      <c r="AN15" s="128">
        <v>20.0</v>
      </c>
      <c r="AO15" s="128">
        <v>1017.1790529064509</v>
      </c>
      <c r="AP15" s="143">
        <v>16.0</v>
      </c>
      <c r="AQ15" s="128">
        <v>12.0</v>
      </c>
      <c r="AR15" s="128"/>
      <c r="AS15" s="44" t="s">
        <v>229</v>
      </c>
      <c r="AT15" s="44">
        <v>14.0</v>
      </c>
      <c r="AU15" s="44"/>
      <c r="AV15" s="128"/>
      <c r="AW15" s="145"/>
      <c r="AX15" s="128"/>
      <c r="AY15" s="145"/>
      <c r="AZ15" s="145"/>
      <c r="BA15" s="145"/>
      <c r="BB15" s="146"/>
      <c r="BC15" s="145"/>
      <c r="BD15" s="128"/>
      <c r="BE15" s="145"/>
      <c r="BF15" s="128"/>
      <c r="BG15" s="145"/>
      <c r="BH15" s="145"/>
      <c r="BI15" s="145"/>
      <c r="BJ15" s="146"/>
      <c r="BK15" s="145"/>
    </row>
    <row r="16">
      <c r="A16" s="140">
        <v>44152.01388888889</v>
      </c>
      <c r="B16" s="141" t="s">
        <v>47</v>
      </c>
      <c r="C16" s="128">
        <v>978.3313585354987</v>
      </c>
      <c r="D16" s="128">
        <v>36.0</v>
      </c>
      <c r="E16" s="142">
        <v>971.0302141063291</v>
      </c>
      <c r="F16" s="44" t="s">
        <v>230</v>
      </c>
      <c r="G16" s="128">
        <v>981.9254310729243</v>
      </c>
      <c r="H16" s="128">
        <v>18.0</v>
      </c>
      <c r="I16" s="128">
        <v>973.8676966854905</v>
      </c>
      <c r="J16" s="141" t="s">
        <v>90</v>
      </c>
      <c r="K16" s="128">
        <v>994.3046013245482</v>
      </c>
      <c r="L16" s="128">
        <v>29.0</v>
      </c>
      <c r="M16" s="142">
        <v>986.5843197534737</v>
      </c>
      <c r="N16" s="44" t="s">
        <v>123</v>
      </c>
      <c r="O16" s="128">
        <v>996.8520251462659</v>
      </c>
      <c r="P16" s="128">
        <v>14.0</v>
      </c>
      <c r="Q16" s="128">
        <v>988.515782666364</v>
      </c>
      <c r="R16" s="141" t="s">
        <v>224</v>
      </c>
      <c r="S16" s="128">
        <v>998.317946232447</v>
      </c>
      <c r="T16" s="128">
        <v>8.0</v>
      </c>
      <c r="U16" s="142">
        <v>989.7333491000267</v>
      </c>
      <c r="V16" s="44" t="s">
        <v>27</v>
      </c>
      <c r="W16" s="128">
        <v>999.8920977778195</v>
      </c>
      <c r="X16" s="128">
        <v>27.0</v>
      </c>
      <c r="Y16" s="128">
        <v>1009.2509630025343</v>
      </c>
      <c r="Z16" s="141" t="s">
        <v>112</v>
      </c>
      <c r="AA16" s="128">
        <v>1004.3625941262259</v>
      </c>
      <c r="AB16" s="128">
        <v>40.0</v>
      </c>
      <c r="AC16" s="142">
        <v>1014.3280841400407</v>
      </c>
      <c r="AD16" s="44" t="s">
        <v>92</v>
      </c>
      <c r="AE16" s="128">
        <v>1017.1790529064509</v>
      </c>
      <c r="AF16" s="128">
        <v>39.0</v>
      </c>
      <c r="AG16" s="128">
        <v>1027.0265978597943</v>
      </c>
      <c r="AH16" s="141" t="s">
        <v>23</v>
      </c>
      <c r="AI16" s="128">
        <v>1054.6128722327308</v>
      </c>
      <c r="AJ16" s="128">
        <v>59.0</v>
      </c>
      <c r="AK16" s="142">
        <v>1065.4409720408578</v>
      </c>
      <c r="AP16" s="143">
        <v>15.0</v>
      </c>
      <c r="AQ16" s="128">
        <v>26.0</v>
      </c>
      <c r="AR16" s="128"/>
      <c r="AS16" s="44" t="s">
        <v>240</v>
      </c>
      <c r="AT16" s="44">
        <v>15.0</v>
      </c>
      <c r="AU16" s="44"/>
      <c r="AV16" s="128"/>
      <c r="AW16" s="145"/>
      <c r="AX16" s="128"/>
      <c r="AY16" s="145"/>
      <c r="AZ16" s="145"/>
      <c r="BA16" s="145"/>
      <c r="BB16" s="146"/>
      <c r="BC16" s="145"/>
      <c r="BD16" s="128"/>
      <c r="BE16" s="145"/>
      <c r="BF16" s="128"/>
      <c r="BG16" s="145"/>
      <c r="BH16" s="145"/>
      <c r="BI16" s="145"/>
      <c r="BJ16" s="146"/>
      <c r="BK16" s="145"/>
    </row>
    <row r="17">
      <c r="A17" s="140">
        <v>44152.92847222222</v>
      </c>
      <c r="B17" s="141" t="s">
        <v>47</v>
      </c>
      <c r="C17" s="128">
        <v>971.0302141063291</v>
      </c>
      <c r="D17" s="128">
        <v>26.0</v>
      </c>
      <c r="E17" s="147">
        <v>979.2314526938184</v>
      </c>
      <c r="F17" s="44" t="s">
        <v>230</v>
      </c>
      <c r="G17" s="128">
        <v>973.8676966854905</v>
      </c>
      <c r="H17" s="128">
        <v>27.0</v>
      </c>
      <c r="I17" s="128">
        <v>982.082871806633</v>
      </c>
      <c r="J17" s="141" t="s">
        <v>234</v>
      </c>
      <c r="K17" s="128">
        <v>996.9543463332411</v>
      </c>
      <c r="L17" s="128">
        <v>11.0</v>
      </c>
      <c r="M17" s="142">
        <v>1004.3654329428273</v>
      </c>
      <c r="N17" s="44" t="s">
        <v>27</v>
      </c>
      <c r="O17" s="128">
        <v>1009.2509630025343</v>
      </c>
      <c r="P17" s="128">
        <v>20.0</v>
      </c>
      <c r="Q17" s="128">
        <v>1016.9745544703651</v>
      </c>
      <c r="R17" s="141" t="s">
        <v>23</v>
      </c>
      <c r="S17" s="128">
        <v>1065.4409720408578</v>
      </c>
      <c r="T17" s="128">
        <v>39.0</v>
      </c>
      <c r="U17" s="142">
        <v>1073.8898802548092</v>
      </c>
      <c r="V17" s="44" t="s">
        <v>90</v>
      </c>
      <c r="W17" s="128">
        <v>986.5843197534737</v>
      </c>
      <c r="X17" s="128">
        <v>22.0</v>
      </c>
      <c r="Y17" s="128">
        <v>978.8235696161704</v>
      </c>
      <c r="Z17" s="141" t="s">
        <v>224</v>
      </c>
      <c r="AA17" s="128">
        <v>989.7333491000267</v>
      </c>
      <c r="AB17" s="128">
        <v>10.0</v>
      </c>
      <c r="AC17" s="142">
        <v>981.4786964082589</v>
      </c>
      <c r="AD17" s="44" t="s">
        <v>227</v>
      </c>
      <c r="AE17" s="128">
        <v>999.8173855204769</v>
      </c>
      <c r="AF17" s="128">
        <v>14.0</v>
      </c>
      <c r="AG17" s="128">
        <v>991.6865752958021</v>
      </c>
      <c r="AH17" s="141" t="s">
        <v>112</v>
      </c>
      <c r="AI17" s="128">
        <v>1014.3280841400407</v>
      </c>
      <c r="AJ17" s="128">
        <v>21.0</v>
      </c>
      <c r="AK17" s="142">
        <v>1006.4466727277105</v>
      </c>
      <c r="AL17" s="44" t="s">
        <v>92</v>
      </c>
      <c r="AM17" s="128">
        <v>1027.0265978597943</v>
      </c>
      <c r="AN17" s="128">
        <v>19.0</v>
      </c>
      <c r="AO17" s="128">
        <v>1019.0542223258703</v>
      </c>
      <c r="AP17" s="141">
        <v>21.0</v>
      </c>
      <c r="AQ17" s="128">
        <v>7.0</v>
      </c>
      <c r="AR17" s="128"/>
      <c r="AS17" s="44" t="s">
        <v>232</v>
      </c>
      <c r="AT17" s="44">
        <v>16.0</v>
      </c>
      <c r="AU17" s="44"/>
      <c r="AV17" s="128"/>
      <c r="AW17" s="145"/>
      <c r="AX17" s="128"/>
      <c r="AY17" s="145"/>
      <c r="AZ17" s="145"/>
      <c r="BA17" s="145"/>
      <c r="BB17" s="146"/>
      <c r="BC17" s="145"/>
      <c r="BD17" s="128"/>
      <c r="BE17" s="145"/>
      <c r="BF17" s="128"/>
      <c r="BG17" s="145"/>
      <c r="BH17" s="145"/>
      <c r="BI17" s="145"/>
      <c r="BJ17" s="146"/>
      <c r="BK17" s="145"/>
    </row>
    <row r="18">
      <c r="A18" s="140">
        <v>44152.98472222222</v>
      </c>
      <c r="B18" s="141" t="s">
        <v>90</v>
      </c>
      <c r="C18" s="128">
        <v>978.8235696161704</v>
      </c>
      <c r="D18" s="128">
        <v>31.0</v>
      </c>
      <c r="E18" s="142">
        <v>980.9409422540921</v>
      </c>
      <c r="F18" s="44" t="s">
        <v>47</v>
      </c>
      <c r="G18" s="128">
        <v>979.2314526938184</v>
      </c>
      <c r="H18" s="128">
        <v>23.0</v>
      </c>
      <c r="I18" s="128">
        <v>981.268157506751</v>
      </c>
      <c r="J18" s="141" t="s">
        <v>224</v>
      </c>
      <c r="K18" s="128">
        <v>981.4786964082589</v>
      </c>
      <c r="L18" s="128">
        <v>3.0</v>
      </c>
      <c r="M18" s="142">
        <v>983.3118166669135</v>
      </c>
      <c r="N18" s="44" t="s">
        <v>234</v>
      </c>
      <c r="O18" s="128">
        <v>1004.3654329428273</v>
      </c>
      <c r="P18" s="128">
        <v>14.0</v>
      </c>
      <c r="Q18" s="128">
        <v>1006.2822004159557</v>
      </c>
      <c r="R18" s="141" t="s">
        <v>23</v>
      </c>
      <c r="S18" s="128">
        <v>1073.8898802548092</v>
      </c>
      <c r="T18" s="128">
        <v>33.0</v>
      </c>
      <c r="U18" s="142">
        <v>1075.9859150721718</v>
      </c>
      <c r="V18" s="44" t="s">
        <v>230</v>
      </c>
      <c r="W18" s="128">
        <v>982.082871806633</v>
      </c>
      <c r="X18" s="128">
        <v>15.0</v>
      </c>
      <c r="Y18" s="128">
        <v>980.0575128311644</v>
      </c>
      <c r="Z18" s="141" t="s">
        <v>227</v>
      </c>
      <c r="AA18" s="128">
        <v>991.6865752958021</v>
      </c>
      <c r="AB18" s="128">
        <v>19.0</v>
      </c>
      <c r="AC18" s="142">
        <v>989.6895385714529</v>
      </c>
      <c r="AD18" s="44" t="s">
        <v>112</v>
      </c>
      <c r="AE18" s="128">
        <v>1006.4466727277105</v>
      </c>
      <c r="AF18" s="128">
        <v>23.0</v>
      </c>
      <c r="AG18" s="128">
        <v>1004.4774866164148</v>
      </c>
      <c r="AH18" s="141" t="s">
        <v>27</v>
      </c>
      <c r="AI18" s="128">
        <v>1016.9745544703651</v>
      </c>
      <c r="AJ18" s="128">
        <v>19.0</v>
      </c>
      <c r="AK18" s="142">
        <v>1014.9606529403519</v>
      </c>
      <c r="AL18" s="44" t="s">
        <v>92</v>
      </c>
      <c r="AM18" s="128">
        <v>1019.0542223258703</v>
      </c>
      <c r="AN18" s="128">
        <v>21.0</v>
      </c>
      <c r="AO18" s="128">
        <v>1017.0597056669969</v>
      </c>
      <c r="AP18" s="143">
        <v>15.0</v>
      </c>
      <c r="AQ18" s="128">
        <v>13.0</v>
      </c>
      <c r="AR18" s="128"/>
      <c r="AS18" s="44" t="s">
        <v>241</v>
      </c>
      <c r="AT18" s="44">
        <v>17.0</v>
      </c>
      <c r="AU18" s="44"/>
      <c r="AV18" s="128"/>
      <c r="AW18" s="145"/>
      <c r="AX18" s="128"/>
      <c r="AY18" s="145"/>
      <c r="AZ18" s="145"/>
      <c r="BA18" s="145"/>
      <c r="BB18" s="146"/>
      <c r="BC18" s="145"/>
      <c r="BD18" s="128"/>
      <c r="BE18" s="145"/>
      <c r="BF18" s="128"/>
      <c r="BG18" s="145"/>
      <c r="BH18" s="145"/>
      <c r="BI18" s="145"/>
      <c r="BJ18" s="146"/>
      <c r="BK18" s="145"/>
    </row>
    <row r="19">
      <c r="A19" s="140">
        <v>44153.03402777778</v>
      </c>
      <c r="B19" s="141" t="s">
        <v>230</v>
      </c>
      <c r="C19" s="128">
        <v>980.0575128311644</v>
      </c>
      <c r="D19" s="128">
        <v>17.0</v>
      </c>
      <c r="E19" s="142">
        <v>985.0083951202488</v>
      </c>
      <c r="F19" s="44" t="s">
        <v>90</v>
      </c>
      <c r="G19" s="128">
        <v>980.9409422540921</v>
      </c>
      <c r="H19" s="128">
        <v>15.0</v>
      </c>
      <c r="I19" s="128">
        <v>985.8384209342242</v>
      </c>
      <c r="J19" s="141" t="s">
        <v>47</v>
      </c>
      <c r="K19" s="128">
        <v>981.268157506751</v>
      </c>
      <c r="L19" s="128">
        <v>22.0</v>
      </c>
      <c r="M19" s="142">
        <v>986.3393910498928</v>
      </c>
      <c r="N19" s="44" t="s">
        <v>23</v>
      </c>
      <c r="O19" s="128">
        <v>1075.9859150721718</v>
      </c>
      <c r="P19" s="128">
        <v>26.0</v>
      </c>
      <c r="Q19" s="128">
        <v>1081.0663205598134</v>
      </c>
      <c r="R19" s="141"/>
      <c r="U19" s="142"/>
      <c r="V19" s="44" t="s">
        <v>227</v>
      </c>
      <c r="W19" s="128">
        <v>989.6895385714529</v>
      </c>
      <c r="X19" s="128">
        <v>11.0</v>
      </c>
      <c r="Y19" s="128">
        <v>984.5724965763045</v>
      </c>
      <c r="Z19" s="141" t="s">
        <v>112</v>
      </c>
      <c r="AA19" s="128">
        <v>1004.4774866164148</v>
      </c>
      <c r="AB19" s="128">
        <v>13.0</v>
      </c>
      <c r="AC19" s="142">
        <v>999.3827490899803</v>
      </c>
      <c r="AD19" s="44" t="s">
        <v>27</v>
      </c>
      <c r="AE19" s="128">
        <v>1014.9606529403519</v>
      </c>
      <c r="AF19" s="128">
        <v>24.0</v>
      </c>
      <c r="AG19" s="128">
        <v>1010.1297985528947</v>
      </c>
      <c r="AH19" s="141" t="s">
        <v>92</v>
      </c>
      <c r="AI19" s="128">
        <v>1017.0597056669969</v>
      </c>
      <c r="AJ19" s="128">
        <v>19.0</v>
      </c>
      <c r="AK19" s="142">
        <v>1012.102339576037</v>
      </c>
      <c r="AP19" s="143">
        <v>16.0</v>
      </c>
      <c r="AQ19" s="128">
        <v>12.0</v>
      </c>
      <c r="AR19" s="128"/>
      <c r="AS19" s="44" t="s">
        <v>229</v>
      </c>
      <c r="AT19" s="44">
        <v>18.0</v>
      </c>
      <c r="AU19" s="44"/>
      <c r="AV19" s="128"/>
      <c r="AW19" s="145"/>
      <c r="AX19" s="128"/>
      <c r="AY19" s="145"/>
      <c r="AZ19" s="145"/>
      <c r="BA19" s="145"/>
      <c r="BB19" s="146"/>
      <c r="BC19" s="145"/>
      <c r="BD19" s="128"/>
      <c r="BE19" s="145"/>
      <c r="BF19" s="128"/>
      <c r="BG19" s="145"/>
      <c r="BH19" s="145"/>
      <c r="BI19" s="145"/>
      <c r="BJ19" s="146"/>
      <c r="BK19" s="145"/>
    </row>
    <row r="20">
      <c r="A20" s="140">
        <v>44154.916666666664</v>
      </c>
      <c r="B20" s="44" t="s">
        <v>230</v>
      </c>
      <c r="C20" s="128">
        <v>985.0083951202488</v>
      </c>
      <c r="D20" s="128">
        <v>8.0</v>
      </c>
      <c r="E20" s="128">
        <v>990.6309878881528</v>
      </c>
      <c r="F20" s="44" t="s">
        <v>47</v>
      </c>
      <c r="G20" s="128">
        <v>986.3393910498928</v>
      </c>
      <c r="H20" s="128">
        <v>8.0</v>
      </c>
      <c r="I20" s="128">
        <v>991.9601788683649</v>
      </c>
      <c r="J20" s="44" t="s">
        <v>23</v>
      </c>
      <c r="K20" s="128">
        <v>1081.0663205598134</v>
      </c>
      <c r="L20" s="128">
        <v>14.0</v>
      </c>
      <c r="M20" s="128">
        <v>1086.8229399734373</v>
      </c>
      <c r="V20" s="44" t="s">
        <v>90</v>
      </c>
      <c r="W20" s="128">
        <v>985.8384209342242</v>
      </c>
      <c r="X20" s="128">
        <v>7.0</v>
      </c>
      <c r="Y20" s="128">
        <v>980.1830405556277</v>
      </c>
      <c r="Z20" s="44" t="s">
        <v>27</v>
      </c>
      <c r="AA20" s="128">
        <v>1010.1297985528947</v>
      </c>
      <c r="AB20" s="128">
        <v>5.0</v>
      </c>
      <c r="AC20" s="128">
        <v>1004.4012376390555</v>
      </c>
      <c r="AD20" s="44" t="s">
        <v>92</v>
      </c>
      <c r="AE20" s="128">
        <v>1012.102339576037</v>
      </c>
      <c r="AF20" s="128">
        <v>9.0</v>
      </c>
      <c r="AG20" s="128">
        <v>1006.4862808684728</v>
      </c>
      <c r="AP20" s="128">
        <v>9.0</v>
      </c>
      <c r="AQ20" s="128">
        <v>5.0</v>
      </c>
      <c r="AR20" s="128"/>
      <c r="AS20" s="44" t="s">
        <v>242</v>
      </c>
      <c r="AT20" s="44">
        <v>19.0</v>
      </c>
      <c r="AU20" s="44"/>
      <c r="AV20" s="128"/>
      <c r="AW20" s="145"/>
      <c r="AX20" s="128"/>
      <c r="AY20" s="145"/>
      <c r="AZ20" s="145"/>
      <c r="BA20" s="145"/>
      <c r="BB20" s="146"/>
      <c r="BC20" s="145"/>
      <c r="BD20" s="128"/>
      <c r="BE20" s="145"/>
      <c r="BF20" s="128"/>
      <c r="BG20" s="145"/>
      <c r="BH20" s="145"/>
      <c r="BI20" s="145"/>
      <c r="BJ20" s="146"/>
      <c r="BK20" s="145"/>
    </row>
    <row r="21">
      <c r="A21" s="140">
        <v>44155.87222222222</v>
      </c>
      <c r="B21" s="44" t="s">
        <v>224</v>
      </c>
      <c r="C21" s="128">
        <v>979.9069904177484</v>
      </c>
      <c r="D21" s="128">
        <v>4.0</v>
      </c>
      <c r="E21" s="128">
        <v>975.2261048219618</v>
      </c>
      <c r="F21" s="44" t="s">
        <v>90</v>
      </c>
      <c r="G21" s="128">
        <v>980.1830405556277</v>
      </c>
      <c r="H21" s="128">
        <v>13.0</v>
      </c>
      <c r="I21" s="128">
        <v>975.6996008301503</v>
      </c>
      <c r="J21" s="44" t="s">
        <v>123</v>
      </c>
      <c r="K21" s="128">
        <v>986.6705878359326</v>
      </c>
      <c r="L21" s="128">
        <v>16.0</v>
      </c>
      <c r="M21" s="128">
        <v>982.2409450748074</v>
      </c>
      <c r="N21" s="44" t="s">
        <v>230</v>
      </c>
      <c r="O21" s="128">
        <v>990.6309878881528</v>
      </c>
      <c r="P21" s="128">
        <v>18.0</v>
      </c>
      <c r="Q21" s="128">
        <v>986.2386878177691</v>
      </c>
      <c r="R21" s="44" t="s">
        <v>23</v>
      </c>
      <c r="S21" s="128">
        <v>1086.8229399734373</v>
      </c>
      <c r="T21" s="128">
        <v>37.0</v>
      </c>
      <c r="U21" s="128">
        <v>1082.8092081262103</v>
      </c>
      <c r="V21" s="44" t="s">
        <v>107</v>
      </c>
      <c r="W21" s="128">
        <v>989.8702024866725</v>
      </c>
      <c r="X21" s="128">
        <v>21.0</v>
      </c>
      <c r="Y21" s="128">
        <v>994.3105325633373</v>
      </c>
      <c r="Z21" s="44" t="s">
        <v>47</v>
      </c>
      <c r="AA21" s="128">
        <v>991.9601788683649</v>
      </c>
      <c r="AB21" s="128">
        <v>24.0</v>
      </c>
      <c r="AC21" s="128">
        <v>996.4628824370317</v>
      </c>
      <c r="AD21" s="44" t="s">
        <v>228</v>
      </c>
      <c r="AE21" s="128">
        <v>1003.9772460649633</v>
      </c>
      <c r="AF21" s="128">
        <v>12.0</v>
      </c>
      <c r="AG21" s="128">
        <v>1008.1986854737063</v>
      </c>
      <c r="AH21" s="44" t="s">
        <v>27</v>
      </c>
      <c r="AI21" s="128">
        <v>1004.4012376390555</v>
      </c>
      <c r="AJ21" s="128">
        <v>16.0</v>
      </c>
      <c r="AK21" s="128">
        <v>1008.7101773917047</v>
      </c>
      <c r="AL21" s="44" t="s">
        <v>92</v>
      </c>
      <c r="AM21" s="128">
        <v>1006.4862808684728</v>
      </c>
      <c r="AN21" s="128">
        <v>26.0</v>
      </c>
      <c r="AO21" s="128">
        <v>1011.0128680617489</v>
      </c>
      <c r="AP21" s="128">
        <v>12.0</v>
      </c>
      <c r="AQ21" s="128">
        <v>16.0</v>
      </c>
      <c r="AR21" s="128"/>
      <c r="AS21" s="44" t="s">
        <v>243</v>
      </c>
      <c r="AT21" s="44">
        <v>20.0</v>
      </c>
      <c r="AU21" s="44"/>
      <c r="AV21" s="128"/>
      <c r="AW21" s="145"/>
      <c r="AX21" s="128"/>
      <c r="AY21" s="145"/>
      <c r="AZ21" s="145"/>
      <c r="BA21" s="145"/>
      <c r="BB21" s="146"/>
      <c r="BC21" s="145"/>
      <c r="BD21" s="128"/>
      <c r="BE21" s="145"/>
      <c r="BF21" s="128"/>
      <c r="BG21" s="145"/>
      <c r="BH21" s="145"/>
      <c r="BI21" s="145"/>
      <c r="BJ21" s="146"/>
      <c r="BK21" s="145"/>
    </row>
    <row r="22">
      <c r="A22" s="140">
        <v>44155.873611111114</v>
      </c>
      <c r="B22" s="44" t="s">
        <v>123</v>
      </c>
      <c r="C22" s="128">
        <v>982.2409450748074</v>
      </c>
      <c r="D22" s="128">
        <v>15.0</v>
      </c>
      <c r="E22" s="128">
        <v>984.0082067025672</v>
      </c>
      <c r="F22" s="44" t="s">
        <v>107</v>
      </c>
      <c r="G22" s="128">
        <v>994.3105325633373</v>
      </c>
      <c r="H22" s="128">
        <v>10.0</v>
      </c>
      <c r="I22" s="128">
        <v>996.027815168237</v>
      </c>
      <c r="J22" s="44" t="s">
        <v>228</v>
      </c>
      <c r="K22" s="128">
        <v>1008.1986854737063</v>
      </c>
      <c r="L22" s="128">
        <v>4.0</v>
      </c>
      <c r="M22" s="128">
        <v>1009.8584159308944</v>
      </c>
      <c r="N22" s="44" t="s">
        <v>23</v>
      </c>
      <c r="O22" s="128">
        <v>1082.8092081262103</v>
      </c>
      <c r="P22" s="128">
        <v>27.0</v>
      </c>
      <c r="Q22" s="128">
        <v>1084.6649334363628</v>
      </c>
      <c r="V22" s="44" t="s">
        <v>90</v>
      </c>
      <c r="W22" s="128">
        <v>975.6996008301503</v>
      </c>
      <c r="X22" s="128">
        <v>16.0</v>
      </c>
      <c r="Y22" s="128">
        <v>973.9697210335822</v>
      </c>
      <c r="Z22" s="44" t="s">
        <v>230</v>
      </c>
      <c r="AA22" s="128">
        <v>986.2386878177691</v>
      </c>
      <c r="AB22" s="128">
        <v>14.0</v>
      </c>
      <c r="AC22" s="128">
        <v>984.4844073050956</v>
      </c>
      <c r="AD22" s="44" t="s">
        <v>47</v>
      </c>
      <c r="AE22" s="128">
        <v>996.4628824370317</v>
      </c>
      <c r="AF22" s="128">
        <v>15.0</v>
      </c>
      <c r="AG22" s="128">
        <v>994.7120010355807</v>
      </c>
      <c r="AH22" s="44" t="s">
        <v>92</v>
      </c>
      <c r="AI22" s="128">
        <v>1011.0128680617489</v>
      </c>
      <c r="AJ22" s="128">
        <v>14.0</v>
      </c>
      <c r="AK22" s="128">
        <v>1009.2479097724415</v>
      </c>
      <c r="AP22" s="128">
        <v>11.0</v>
      </c>
      <c r="AQ22" s="128">
        <v>9.0</v>
      </c>
      <c r="AR22" s="128"/>
      <c r="AS22" s="44" t="s">
        <v>229</v>
      </c>
      <c r="AT22" s="44">
        <v>21.0</v>
      </c>
      <c r="AU22" s="44"/>
      <c r="AV22" s="128"/>
      <c r="AW22" s="145"/>
      <c r="AX22" s="128"/>
      <c r="AY22" s="145"/>
      <c r="AZ22" s="145"/>
      <c r="BA22" s="145"/>
      <c r="BB22" s="146"/>
      <c r="BC22" s="145"/>
      <c r="BD22" s="128"/>
      <c r="BE22" s="145"/>
      <c r="BF22" s="128"/>
      <c r="BG22" s="145"/>
      <c r="BH22" s="145"/>
      <c r="BI22" s="145"/>
      <c r="BJ22" s="146"/>
      <c r="BK22" s="145"/>
    </row>
    <row r="23">
      <c r="A23" s="140">
        <v>44155.947916666664</v>
      </c>
      <c r="B23" s="141" t="s">
        <v>47</v>
      </c>
      <c r="C23" s="128">
        <v>994.7120010355807</v>
      </c>
      <c r="D23" s="128">
        <v>28.0</v>
      </c>
      <c r="E23" s="142">
        <v>999.0887081412561</v>
      </c>
      <c r="F23" s="44" t="s">
        <v>107</v>
      </c>
      <c r="G23" s="128">
        <v>996.027815168237</v>
      </c>
      <c r="H23" s="128">
        <v>20.0</v>
      </c>
      <c r="I23" s="128">
        <v>1000.2346236050018</v>
      </c>
      <c r="J23" s="141" t="s">
        <v>112</v>
      </c>
      <c r="K23" s="128">
        <v>999.3827490899803</v>
      </c>
      <c r="L23" s="128">
        <v>20.0</v>
      </c>
      <c r="M23" s="142">
        <v>1003.5850201830332</v>
      </c>
      <c r="N23" s="44" t="s">
        <v>92</v>
      </c>
      <c r="O23" s="128">
        <v>1009.2479097724415</v>
      </c>
      <c r="P23" s="128">
        <v>17.0</v>
      </c>
      <c r="Q23" s="128">
        <v>1013.3762955329335</v>
      </c>
      <c r="R23" s="141" t="s">
        <v>228</v>
      </c>
      <c r="S23" s="128">
        <v>1009.8584159308944</v>
      </c>
      <c r="T23" s="128">
        <v>15.0</v>
      </c>
      <c r="U23" s="142">
        <v>1013.9442435349092</v>
      </c>
      <c r="V23" s="44" t="s">
        <v>224</v>
      </c>
      <c r="W23" s="128">
        <v>975.2261048219618</v>
      </c>
      <c r="X23" s="128">
        <v>12.0</v>
      </c>
      <c r="Y23" s="128">
        <v>970.9112289609824</v>
      </c>
      <c r="Z23" s="141" t="s">
        <v>123</v>
      </c>
      <c r="AA23" s="128">
        <v>984.0082067025672</v>
      </c>
      <c r="AB23" s="128">
        <v>19.0</v>
      </c>
      <c r="AC23" s="142">
        <v>979.8227715992077</v>
      </c>
      <c r="AD23" s="44" t="s">
        <v>230</v>
      </c>
      <c r="AE23" s="128">
        <v>984.4844073050956</v>
      </c>
      <c r="AF23" s="128">
        <v>25.0</v>
      </c>
      <c r="AG23" s="128">
        <v>980.4240999286753</v>
      </c>
      <c r="AH23" s="141" t="s">
        <v>233</v>
      </c>
      <c r="AI23" s="128">
        <v>994.5533289403995</v>
      </c>
      <c r="AJ23" s="128">
        <v>1.0</v>
      </c>
      <c r="AK23" s="142">
        <v>989.9725801504358</v>
      </c>
      <c r="AL23" s="44" t="s">
        <v>23</v>
      </c>
      <c r="AM23" s="128">
        <v>1084.6649334363628</v>
      </c>
      <c r="AN23" s="128">
        <v>37.0</v>
      </c>
      <c r="AO23" s="128">
        <v>1080.8063005670858</v>
      </c>
      <c r="AP23" s="143">
        <v>16.0</v>
      </c>
      <c r="AQ23" s="128">
        <v>12.0</v>
      </c>
      <c r="AR23" s="128"/>
      <c r="AS23" s="44" t="s">
        <v>244</v>
      </c>
      <c r="AT23" s="44">
        <v>22.0</v>
      </c>
      <c r="AU23" s="44"/>
      <c r="AV23" s="128"/>
      <c r="AW23" s="145"/>
      <c r="AX23" s="128"/>
      <c r="AY23" s="145"/>
      <c r="AZ23" s="145"/>
      <c r="BA23" s="145"/>
      <c r="BB23" s="146"/>
      <c r="BC23" s="145"/>
      <c r="BD23" s="128"/>
      <c r="BE23" s="145"/>
      <c r="BF23" s="128"/>
      <c r="BG23" s="145"/>
      <c r="BH23" s="145"/>
      <c r="BI23" s="145"/>
      <c r="BJ23" s="146"/>
      <c r="BK23" s="145"/>
    </row>
    <row r="24">
      <c r="A24" s="140">
        <v>44156.01736111111</v>
      </c>
      <c r="B24" s="141" t="s">
        <v>123</v>
      </c>
      <c r="C24" s="128">
        <v>979.8227715992077</v>
      </c>
      <c r="D24" s="128">
        <v>30.0</v>
      </c>
      <c r="E24" s="142">
        <v>981.7650276150817</v>
      </c>
      <c r="F24" s="44" t="s">
        <v>230</v>
      </c>
      <c r="G24" s="128">
        <v>980.4240999286753</v>
      </c>
      <c r="H24" s="128">
        <v>41.0</v>
      </c>
      <c r="I24" s="128">
        <v>982.4751847751954</v>
      </c>
      <c r="J24" s="141" t="s">
        <v>47</v>
      </c>
      <c r="K24" s="128">
        <v>999.0887081412561</v>
      </c>
      <c r="L24" s="128">
        <v>47.0</v>
      </c>
      <c r="M24" s="142">
        <v>1001.1701149605044</v>
      </c>
      <c r="N24" s="44" t="s">
        <v>245</v>
      </c>
      <c r="O24" s="128">
        <v>1000.0</v>
      </c>
      <c r="P24" s="128">
        <v>24.0</v>
      </c>
      <c r="Q24" s="128">
        <v>1001.8502941539822</v>
      </c>
      <c r="R24" s="141" t="s">
        <v>23</v>
      </c>
      <c r="S24" s="128">
        <v>1080.8063005670858</v>
      </c>
      <c r="T24" s="128">
        <v>49.0</v>
      </c>
      <c r="U24" s="142">
        <v>1082.8812587314612</v>
      </c>
      <c r="V24" s="44" t="s">
        <v>107</v>
      </c>
      <c r="W24" s="128">
        <v>1000.2346236050018</v>
      </c>
      <c r="X24" s="128">
        <v>33.0</v>
      </c>
      <c r="Y24" s="128">
        <v>998.2684403878105</v>
      </c>
      <c r="Z24" s="141" t="s">
        <v>112</v>
      </c>
      <c r="AA24" s="128">
        <v>1003.5850201830332</v>
      </c>
      <c r="AB24" s="128">
        <v>30.0</v>
      </c>
      <c r="AC24" s="142">
        <v>1001.5859526368203</v>
      </c>
      <c r="AD24" s="44" t="s">
        <v>27</v>
      </c>
      <c r="AE24" s="128">
        <v>1008.7101773917047</v>
      </c>
      <c r="AF24" s="128">
        <v>38.0</v>
      </c>
      <c r="AG24" s="128">
        <v>1006.7872902288584</v>
      </c>
      <c r="AH24" s="141" t="s">
        <v>92</v>
      </c>
      <c r="AI24" s="128">
        <v>1013.3762955329335</v>
      </c>
      <c r="AJ24" s="128">
        <v>36.0</v>
      </c>
      <c r="AK24" s="142">
        <v>1011.430521940419</v>
      </c>
      <c r="AL24" s="44" t="s">
        <v>228</v>
      </c>
      <c r="AM24" s="128">
        <v>1013.9442435349092</v>
      </c>
      <c r="AN24" s="128">
        <v>14.0</v>
      </c>
      <c r="AO24" s="128">
        <v>1011.7781550536743</v>
      </c>
      <c r="AP24" s="143">
        <v>22.0</v>
      </c>
      <c r="AQ24" s="128">
        <v>20.0</v>
      </c>
      <c r="AR24" s="128"/>
      <c r="AS24" s="128"/>
      <c r="AT24" s="44">
        <v>23.0</v>
      </c>
      <c r="AU24" s="44"/>
      <c r="AV24" s="128"/>
      <c r="AW24" s="145"/>
      <c r="AX24" s="128"/>
      <c r="AY24" s="145"/>
      <c r="AZ24" s="145"/>
      <c r="BA24" s="145"/>
      <c r="BB24" s="146"/>
      <c r="BC24" s="145"/>
      <c r="BD24" s="128"/>
      <c r="BE24" s="145"/>
      <c r="BF24" s="128"/>
      <c r="BG24" s="145"/>
      <c r="BH24" s="145"/>
      <c r="BI24" s="145"/>
      <c r="BJ24" s="146"/>
      <c r="BK24" s="145"/>
    </row>
    <row r="25">
      <c r="A25" s="140">
        <v>44156.06041666667</v>
      </c>
      <c r="B25" s="141" t="s">
        <v>123</v>
      </c>
      <c r="C25" s="128">
        <v>981.7650276150817</v>
      </c>
      <c r="D25" s="128">
        <v>10.0</v>
      </c>
      <c r="E25" s="142">
        <v>976.684277516135</v>
      </c>
      <c r="F25" s="44" t="s">
        <v>230</v>
      </c>
      <c r="G25" s="128">
        <v>982.4751847751954</v>
      </c>
      <c r="H25" s="128">
        <v>12.0</v>
      </c>
      <c r="I25" s="128">
        <v>977.4432203695355</v>
      </c>
      <c r="J25" s="141" t="s">
        <v>107</v>
      </c>
      <c r="K25" s="128">
        <v>998.2684403878105</v>
      </c>
      <c r="L25" s="128">
        <v>5.0</v>
      </c>
      <c r="M25" s="142">
        <v>993.0389053000914</v>
      </c>
      <c r="N25" s="44" t="s">
        <v>47</v>
      </c>
      <c r="O25" s="128">
        <v>1001.1701149605044</v>
      </c>
      <c r="P25" s="128">
        <v>28.0</v>
      </c>
      <c r="Q25" s="128">
        <v>996.5123645528301</v>
      </c>
      <c r="R25" s="148"/>
      <c r="U25" s="149"/>
      <c r="V25" s="44" t="s">
        <v>112</v>
      </c>
      <c r="W25" s="128">
        <v>1001.5859526368203</v>
      </c>
      <c r="X25" s="128">
        <v>14.0</v>
      </c>
      <c r="Y25" s="128">
        <v>1007.9303447142468</v>
      </c>
      <c r="Z25" s="141" t="s">
        <v>92</v>
      </c>
      <c r="AA25" s="128">
        <v>1011.430521940419</v>
      </c>
      <c r="AB25" s="128">
        <v>28.0</v>
      </c>
      <c r="AC25" s="142">
        <v>1018.2223809935454</v>
      </c>
      <c r="AD25" s="44" t="s">
        <v>23</v>
      </c>
      <c r="AE25" s="128">
        <v>1082.8812587314612</v>
      </c>
      <c r="AF25" s="128">
        <v>31.0</v>
      </c>
      <c r="AG25" s="128">
        <v>1089.7450076009084</v>
      </c>
      <c r="AH25" s="148"/>
      <c r="AK25" s="149"/>
      <c r="AP25" s="143">
        <v>13.0</v>
      </c>
      <c r="AQ25" s="128">
        <v>15.0</v>
      </c>
      <c r="AR25" s="128"/>
      <c r="AS25" s="128"/>
      <c r="AT25" s="44">
        <v>24.0</v>
      </c>
      <c r="AU25" s="44"/>
      <c r="AV25" s="128"/>
      <c r="AW25" s="145"/>
      <c r="AX25" s="128"/>
      <c r="AY25" s="145"/>
      <c r="AZ25" s="145"/>
      <c r="BA25" s="145"/>
      <c r="BB25" s="146"/>
      <c r="BC25" s="145"/>
      <c r="BD25" s="128"/>
      <c r="BE25" s="145"/>
      <c r="BF25" s="128"/>
      <c r="BG25" s="145"/>
      <c r="BH25" s="145"/>
      <c r="BI25" s="145"/>
      <c r="BJ25" s="146"/>
      <c r="BK25" s="145"/>
    </row>
    <row r="26">
      <c r="A26" s="140">
        <v>44156.925</v>
      </c>
      <c r="B26" s="141" t="s">
        <v>224</v>
      </c>
      <c r="C26" s="128">
        <v>970.9112289609824</v>
      </c>
      <c r="D26" s="128">
        <v>6.0</v>
      </c>
      <c r="E26" s="142">
        <v>967.0157942770821</v>
      </c>
      <c r="F26" s="44" t="s">
        <v>90</v>
      </c>
      <c r="G26" s="128">
        <v>973.9697210335822</v>
      </c>
      <c r="H26" s="128">
        <v>10.0</v>
      </c>
      <c r="I26" s="128">
        <v>970.1463556475718</v>
      </c>
      <c r="J26" s="141" t="s">
        <v>230</v>
      </c>
      <c r="K26" s="128">
        <v>977.4432203695355</v>
      </c>
      <c r="L26" s="128">
        <v>16.0</v>
      </c>
      <c r="M26" s="142">
        <v>973.7296065842967</v>
      </c>
      <c r="N26" s="44" t="s">
        <v>47</v>
      </c>
      <c r="O26" s="128">
        <v>996.5123645528301</v>
      </c>
      <c r="P26" s="128">
        <v>17.0</v>
      </c>
      <c r="Q26" s="128">
        <v>992.7988709829799</v>
      </c>
      <c r="R26" s="141" t="s">
        <v>112</v>
      </c>
      <c r="S26" s="128">
        <v>1007.9303447142468</v>
      </c>
      <c r="T26" s="128">
        <v>10.0</v>
      </c>
      <c r="U26" s="142">
        <v>1004.0762521392465</v>
      </c>
      <c r="V26" s="44" t="s">
        <v>246</v>
      </c>
      <c r="W26" s="128">
        <v>1000.0</v>
      </c>
      <c r="X26" s="128">
        <v>38.0</v>
      </c>
      <c r="Y26" s="128">
        <v>1004.0831978459464</v>
      </c>
      <c r="Z26" s="141" t="s">
        <v>27</v>
      </c>
      <c r="AA26" s="128">
        <v>1006.7872902288584</v>
      </c>
      <c r="AB26" s="128">
        <v>22.0</v>
      </c>
      <c r="AC26" s="142">
        <v>1010.5585077488962</v>
      </c>
      <c r="AD26" s="44" t="s">
        <v>228</v>
      </c>
      <c r="AE26" s="128">
        <v>1011.7781550536743</v>
      </c>
      <c r="AF26" s="128">
        <v>6.0</v>
      </c>
      <c r="AG26" s="128">
        <v>1015.2405848087274</v>
      </c>
      <c r="AH26" s="141" t="s">
        <v>92</v>
      </c>
      <c r="AI26" s="128">
        <v>1018.2223809935454</v>
      </c>
      <c r="AJ26" s="128">
        <v>26.0</v>
      </c>
      <c r="AK26" s="142">
        <v>1022.0598732571445</v>
      </c>
      <c r="AL26" s="44" t="s">
        <v>23</v>
      </c>
      <c r="AM26" s="128">
        <v>1089.7450076009084</v>
      </c>
      <c r="AN26" s="128">
        <v>27.0</v>
      </c>
      <c r="AO26" s="128">
        <v>1093.590670216272</v>
      </c>
      <c r="AP26" s="143">
        <v>7.0</v>
      </c>
      <c r="AQ26" s="128">
        <v>21.0</v>
      </c>
      <c r="AR26" s="128"/>
      <c r="AS26" s="128"/>
      <c r="AT26" s="44">
        <v>25.0</v>
      </c>
      <c r="AU26" s="44"/>
      <c r="AV26" s="128"/>
      <c r="AW26" s="145"/>
      <c r="AX26" s="128"/>
      <c r="AY26" s="145"/>
      <c r="AZ26" s="145"/>
      <c r="BA26" s="145"/>
      <c r="BB26" s="146"/>
      <c r="BC26" s="145"/>
      <c r="BD26" s="128"/>
      <c r="BE26" s="145"/>
      <c r="BF26" s="128"/>
      <c r="BG26" s="145"/>
      <c r="BH26" s="145"/>
      <c r="BI26" s="145"/>
      <c r="BJ26" s="146"/>
      <c r="BK26" s="145"/>
    </row>
    <row r="27">
      <c r="A27" s="140">
        <v>44156.97708333333</v>
      </c>
      <c r="B27" s="141" t="s">
        <v>224</v>
      </c>
      <c r="C27" s="128">
        <v>967.0157942770821</v>
      </c>
      <c r="D27" s="128">
        <v>7.0</v>
      </c>
      <c r="E27" s="142">
        <v>974.451832311415</v>
      </c>
      <c r="F27" s="44" t="s">
        <v>90</v>
      </c>
      <c r="G27" s="128">
        <v>970.1463556475718</v>
      </c>
      <c r="H27" s="128">
        <v>24.0</v>
      </c>
      <c r="I27" s="128">
        <v>978.2466261695089</v>
      </c>
      <c r="J27" s="141" t="s">
        <v>47</v>
      </c>
      <c r="K27" s="128">
        <v>992.7988709829799</v>
      </c>
      <c r="L27" s="128">
        <v>24.0</v>
      </c>
      <c r="M27" s="142">
        <v>1000.8057348498037</v>
      </c>
      <c r="N27" s="44" t="s">
        <v>112</v>
      </c>
      <c r="O27" s="128">
        <v>1004.0762521392465</v>
      </c>
      <c r="P27" s="128">
        <v>16.0</v>
      </c>
      <c r="Q27" s="128">
        <v>1011.731132041291</v>
      </c>
      <c r="R27" s="141" t="s">
        <v>23</v>
      </c>
      <c r="S27" s="128">
        <v>1093.590670216272</v>
      </c>
      <c r="T27" s="128">
        <v>46.0</v>
      </c>
      <c r="U27" s="142">
        <v>1102.3926178911338</v>
      </c>
      <c r="V27" s="44" t="s">
        <v>230</v>
      </c>
      <c r="W27" s="128">
        <v>973.7296065842967</v>
      </c>
      <c r="X27" s="128">
        <v>31.0</v>
      </c>
      <c r="Y27" s="128">
        <v>966.3456906076387</v>
      </c>
      <c r="Z27" s="141" t="s">
        <v>234</v>
      </c>
      <c r="AA27" s="128">
        <v>1006.2822004159557</v>
      </c>
      <c r="AB27" s="128">
        <v>9.0</v>
      </c>
      <c r="AC27" s="142">
        <v>997.937694029657</v>
      </c>
      <c r="AD27" s="44" t="s">
        <v>27</v>
      </c>
      <c r="AE27" s="128">
        <v>1010.5585077488962</v>
      </c>
      <c r="AF27" s="128">
        <v>17.0</v>
      </c>
      <c r="AG27" s="128">
        <v>1002.527615172213</v>
      </c>
      <c r="AH27" s="141" t="s">
        <v>228</v>
      </c>
      <c r="AI27" s="128">
        <v>1015.2405848087274</v>
      </c>
      <c r="AJ27" s="128">
        <v>9.0</v>
      </c>
      <c r="AK27" s="142">
        <v>1006.8837181850109</v>
      </c>
      <c r="AL27" s="44" t="s">
        <v>92</v>
      </c>
      <c r="AM27" s="128">
        <v>1022.0598732571445</v>
      </c>
      <c r="AN27" s="128">
        <v>21.0</v>
      </c>
      <c r="AO27" s="128">
        <v>1014.1760548205008</v>
      </c>
      <c r="AP27" s="143">
        <v>21.0</v>
      </c>
      <c r="AQ27" s="128">
        <v>7.0</v>
      </c>
      <c r="AR27" s="128"/>
      <c r="AS27" s="128"/>
      <c r="AT27" s="44">
        <v>26.0</v>
      </c>
      <c r="AU27" s="44"/>
      <c r="AV27" s="128"/>
      <c r="AW27" s="145"/>
      <c r="AX27" s="128"/>
      <c r="AY27" s="145"/>
      <c r="AZ27" s="145"/>
      <c r="BA27" s="145"/>
      <c r="BB27" s="146"/>
      <c r="BC27" s="145"/>
      <c r="BD27" s="128"/>
      <c r="BE27" s="145"/>
      <c r="BF27" s="128"/>
      <c r="BG27" s="145"/>
      <c r="BH27" s="145"/>
      <c r="BI27" s="145"/>
      <c r="BJ27" s="146"/>
      <c r="BK27" s="145"/>
    </row>
    <row r="28">
      <c r="A28" s="140">
        <v>44157.07083333333</v>
      </c>
      <c r="B28" s="141" t="s">
        <v>230</v>
      </c>
      <c r="C28" s="128">
        <v>966.3456906076387</v>
      </c>
      <c r="D28" s="128">
        <v>41.0</v>
      </c>
      <c r="E28" s="142">
        <v>962.5801355085468</v>
      </c>
      <c r="F28" s="44" t="s">
        <v>224</v>
      </c>
      <c r="G28" s="128">
        <v>974.451832311415</v>
      </c>
      <c r="H28" s="128">
        <v>18.0</v>
      </c>
      <c r="I28" s="128">
        <v>970.2007799137837</v>
      </c>
      <c r="J28" s="141" t="s">
        <v>90</v>
      </c>
      <c r="K28" s="128">
        <v>978.2466261695089</v>
      </c>
      <c r="L28" s="128">
        <v>33.0</v>
      </c>
      <c r="M28" s="142">
        <v>974.2846124488949</v>
      </c>
      <c r="N28" s="44" t="s">
        <v>234</v>
      </c>
      <c r="O28" s="128">
        <v>997.937694029657</v>
      </c>
      <c r="P28" s="128">
        <v>13.0</v>
      </c>
      <c r="Q28" s="128">
        <v>993.529591921008</v>
      </c>
      <c r="R28" s="141" t="s">
        <v>47</v>
      </c>
      <c r="S28" s="128">
        <v>1000.8057348498037</v>
      </c>
      <c r="T28" s="128">
        <v>53.0</v>
      </c>
      <c r="U28" s="142">
        <v>997.1924581757901</v>
      </c>
      <c r="V28" s="44" t="s">
        <v>228</v>
      </c>
      <c r="W28" s="128">
        <v>1006.8837181850109</v>
      </c>
      <c r="X28" s="128">
        <v>16.0</v>
      </c>
      <c r="Y28" s="128">
        <v>1011.0003095049053</v>
      </c>
      <c r="Z28" s="141" t="s">
        <v>112</v>
      </c>
      <c r="AA28" s="128">
        <v>1011.731132041291</v>
      </c>
      <c r="AB28" s="128">
        <v>37.0</v>
      </c>
      <c r="AC28" s="142">
        <v>1016.3603959209237</v>
      </c>
      <c r="AD28" s="44" t="s">
        <v>92</v>
      </c>
      <c r="AE28" s="128">
        <v>1014.1760548205008</v>
      </c>
      <c r="AF28" s="128">
        <v>63.0</v>
      </c>
      <c r="AG28" s="128">
        <v>1019.4498126944945</v>
      </c>
      <c r="AH28" s="141" t="s">
        <v>23</v>
      </c>
      <c r="AI28" s="128">
        <v>1102.3926178911338</v>
      </c>
      <c r="AJ28" s="128">
        <v>93.0</v>
      </c>
      <c r="AK28" s="142">
        <v>1108.373004817613</v>
      </c>
      <c r="AP28" s="143">
        <v>26.0</v>
      </c>
      <c r="AQ28" s="128">
        <v>30.0</v>
      </c>
      <c r="AR28" s="128"/>
      <c r="AS28" s="128"/>
      <c r="AT28" s="44">
        <v>27.0</v>
      </c>
      <c r="AU28" s="44"/>
      <c r="AV28" s="128"/>
      <c r="AW28" s="145"/>
      <c r="AX28" s="128"/>
      <c r="AY28" s="145"/>
      <c r="AZ28" s="145"/>
      <c r="BA28" s="145"/>
      <c r="BB28" s="146"/>
      <c r="BC28" s="145"/>
      <c r="BD28" s="128"/>
      <c r="BE28" s="145"/>
      <c r="BF28" s="128"/>
      <c r="BG28" s="145"/>
      <c r="BH28" s="145"/>
      <c r="BI28" s="145"/>
      <c r="BJ28" s="146"/>
      <c r="BK28" s="145"/>
    </row>
    <row r="29">
      <c r="A29" s="140">
        <v>44157.95486111111</v>
      </c>
      <c r="B29" s="141" t="s">
        <v>230</v>
      </c>
      <c r="C29" s="128">
        <v>962.5801355085468</v>
      </c>
      <c r="D29" s="128">
        <v>25.0</v>
      </c>
      <c r="E29" s="142">
        <v>960.173836089876</v>
      </c>
      <c r="F29" s="44" t="s">
        <v>90</v>
      </c>
      <c r="G29" s="128">
        <v>974.2846124488949</v>
      </c>
      <c r="H29" s="128">
        <v>13.0</v>
      </c>
      <c r="I29" s="128">
        <v>971.7150348736171</v>
      </c>
      <c r="J29" s="141" t="s">
        <v>247</v>
      </c>
      <c r="K29" s="128">
        <v>1000.0</v>
      </c>
      <c r="L29" s="128">
        <v>12.0</v>
      </c>
      <c r="M29" s="142">
        <v>997.3961914033769</v>
      </c>
      <c r="N29" s="44" t="s">
        <v>23</v>
      </c>
      <c r="O29" s="128">
        <v>1108.373004817613</v>
      </c>
      <c r="P29" s="128">
        <v>28.0</v>
      </c>
      <c r="Q29" s="128">
        <v>1105.9526904081847</v>
      </c>
      <c r="R29" s="148"/>
      <c r="U29" s="149"/>
      <c r="V29" s="44" t="s">
        <v>47</v>
      </c>
      <c r="W29" s="128">
        <v>997.1924581757901</v>
      </c>
      <c r="X29" s="128">
        <v>22.0</v>
      </c>
      <c r="Y29" s="128">
        <v>999.7579649780778</v>
      </c>
      <c r="Z29" s="141" t="s">
        <v>228</v>
      </c>
      <c r="AA29" s="128">
        <v>1011.0003095049053</v>
      </c>
      <c r="AB29" s="128">
        <v>7.0</v>
      </c>
      <c r="AC29" s="142">
        <v>1013.3717355569157</v>
      </c>
      <c r="AD29" s="44" t="s">
        <v>112</v>
      </c>
      <c r="AE29" s="128">
        <v>1016.3603959209237</v>
      </c>
      <c r="AF29" s="128">
        <v>11.0</v>
      </c>
      <c r="AG29" s="128">
        <v>1018.7799069984097</v>
      </c>
      <c r="AH29" s="141" t="s">
        <v>92</v>
      </c>
      <c r="AI29" s="128">
        <v>1019.4498126944945</v>
      </c>
      <c r="AJ29" s="128">
        <v>29.0</v>
      </c>
      <c r="AK29" s="142">
        <v>1022.0933687627104</v>
      </c>
      <c r="AP29" s="143">
        <v>13.0</v>
      </c>
      <c r="AQ29" s="128">
        <v>15.0</v>
      </c>
      <c r="AR29" s="128"/>
      <c r="AS29" s="128"/>
      <c r="AT29" s="44">
        <v>28.0</v>
      </c>
      <c r="AU29" s="44"/>
      <c r="AV29" s="128"/>
      <c r="AW29" s="145"/>
      <c r="AX29" s="128"/>
      <c r="AY29" s="145"/>
      <c r="AZ29" s="145"/>
      <c r="BA29" s="145"/>
      <c r="BB29" s="146"/>
      <c r="BC29" s="145"/>
      <c r="BD29" s="128"/>
      <c r="BE29" s="145"/>
      <c r="BF29" s="128"/>
      <c r="BG29" s="145"/>
      <c r="BH29" s="145"/>
      <c r="BI29" s="145"/>
      <c r="BJ29" s="146"/>
      <c r="BK29" s="145"/>
    </row>
    <row r="30">
      <c r="A30" s="140">
        <v>44158.001388888886</v>
      </c>
      <c r="B30" s="141" t="s">
        <v>230</v>
      </c>
      <c r="C30" s="128">
        <v>960.173836089876</v>
      </c>
      <c r="D30" s="128">
        <v>13.0</v>
      </c>
      <c r="E30" s="142">
        <v>952.413365205761</v>
      </c>
      <c r="F30" s="44" t="s">
        <v>90</v>
      </c>
      <c r="G30" s="128">
        <v>971.7150348736171</v>
      </c>
      <c r="H30" s="128">
        <v>15.0</v>
      </c>
      <c r="I30" s="128">
        <v>964.003419913341</v>
      </c>
      <c r="J30" s="141" t="s">
        <v>123</v>
      </c>
      <c r="K30" s="128">
        <v>976.684277516135</v>
      </c>
      <c r="L30" s="128">
        <v>9.0</v>
      </c>
      <c r="M30" s="142">
        <v>968.7273866137522</v>
      </c>
      <c r="N30" s="44" t="s">
        <v>47</v>
      </c>
      <c r="O30" s="128">
        <v>999.7579649780778</v>
      </c>
      <c r="P30" s="128">
        <v>18.0</v>
      </c>
      <c r="Q30" s="128">
        <v>992.1108055390024</v>
      </c>
      <c r="R30" s="141" t="s">
        <v>27</v>
      </c>
      <c r="S30" s="128">
        <v>1002.527615172213</v>
      </c>
      <c r="T30" s="128">
        <v>11.0</v>
      </c>
      <c r="U30" s="142">
        <v>994.6037513580624</v>
      </c>
      <c r="V30" s="44" t="s">
        <v>228</v>
      </c>
      <c r="W30" s="128">
        <v>1013.3717355569157</v>
      </c>
      <c r="X30" s="128">
        <v>3.0</v>
      </c>
      <c r="Y30" s="128">
        <v>1022.0422314735831</v>
      </c>
      <c r="Z30" s="141" t="s">
        <v>112</v>
      </c>
      <c r="AA30" s="128">
        <v>1018.7799069984097</v>
      </c>
      <c r="AB30" s="128">
        <v>30.0</v>
      </c>
      <c r="AC30" s="142">
        <v>1028.7565873249282</v>
      </c>
      <c r="AD30" s="44" t="s">
        <v>92</v>
      </c>
      <c r="AE30" s="128">
        <v>1022.0933687627104</v>
      </c>
      <c r="AF30" s="128">
        <v>29.0</v>
      </c>
      <c r="AG30" s="128">
        <v>1032.0160239396632</v>
      </c>
      <c r="AH30" s="141" t="s">
        <v>23</v>
      </c>
      <c r="AI30" s="128">
        <v>1105.9526904081847</v>
      </c>
      <c r="AJ30" s="128">
        <v>40.0</v>
      </c>
      <c r="AK30" s="142">
        <v>1116.382858988046</v>
      </c>
      <c r="AP30" s="143">
        <v>12.0</v>
      </c>
      <c r="AQ30" s="128">
        <v>16.0</v>
      </c>
      <c r="AR30" s="128"/>
      <c r="AS30" s="128"/>
      <c r="AT30" s="44">
        <v>29.0</v>
      </c>
      <c r="AU30" s="44"/>
      <c r="AV30" s="128"/>
      <c r="AW30" s="145"/>
      <c r="AX30" s="128"/>
      <c r="AY30" s="145"/>
      <c r="AZ30" s="145"/>
      <c r="BA30" s="145"/>
      <c r="BB30" s="146"/>
      <c r="BC30" s="145"/>
      <c r="BD30" s="128"/>
      <c r="BE30" s="145"/>
      <c r="BF30" s="128"/>
      <c r="BG30" s="145"/>
      <c r="BH30" s="145"/>
      <c r="BI30" s="145"/>
      <c r="BJ30" s="146"/>
      <c r="BK30" s="145"/>
    </row>
    <row r="31">
      <c r="A31" s="140">
        <v>44159.018055555556</v>
      </c>
      <c r="B31" s="141" t="s">
        <v>230</v>
      </c>
      <c r="C31" s="128">
        <v>952.413365205761</v>
      </c>
      <c r="D31" s="128">
        <v>25.0</v>
      </c>
      <c r="E31" s="142">
        <v>957.3663035716219</v>
      </c>
      <c r="F31" s="44" t="s">
        <v>123</v>
      </c>
      <c r="G31" s="128">
        <v>968.7273866137522</v>
      </c>
      <c r="H31" s="128">
        <v>21.0</v>
      </c>
      <c r="I31" s="128">
        <v>973.5280931224266</v>
      </c>
      <c r="J31" s="141" t="s">
        <v>246</v>
      </c>
      <c r="K31" s="128">
        <v>1004.0831978459464</v>
      </c>
      <c r="L31" s="128">
        <v>40.0</v>
      </c>
      <c r="M31" s="142">
        <v>1009.2789056276679</v>
      </c>
      <c r="N31" s="44" t="s">
        <v>23</v>
      </c>
      <c r="O31" s="128">
        <v>1116.382858988046</v>
      </c>
      <c r="P31" s="44">
        <v>40.0</v>
      </c>
      <c r="Q31" s="128">
        <v>1121.4335063317894</v>
      </c>
      <c r="R31" s="148"/>
      <c r="U31" s="149"/>
      <c r="V31" s="44" t="s">
        <v>47</v>
      </c>
      <c r="W31" s="128">
        <v>992.1108055390024</v>
      </c>
      <c r="X31" s="128">
        <v>35.0</v>
      </c>
      <c r="Y31" s="128">
        <v>987.4104066328198</v>
      </c>
      <c r="Z31" s="141" t="s">
        <v>27</v>
      </c>
      <c r="AA31" s="128">
        <v>994.6037513580624</v>
      </c>
      <c r="AB31" s="128">
        <v>27.0</v>
      </c>
      <c r="AC31" s="142">
        <v>989.6996945292223</v>
      </c>
      <c r="AD31" s="44" t="s">
        <v>228</v>
      </c>
      <c r="AE31" s="128">
        <v>1022.0422314735831</v>
      </c>
      <c r="AF31" s="128">
        <v>11.0</v>
      </c>
      <c r="AG31" s="128">
        <v>1016.7091089982063</v>
      </c>
      <c r="AH31" s="141" t="s">
        <v>112</v>
      </c>
      <c r="AI31" s="128">
        <v>1028.7565873249282</v>
      </c>
      <c r="AJ31" s="128">
        <v>22.0</v>
      </c>
      <c r="AK31" s="142">
        <v>1023.6941655353278</v>
      </c>
      <c r="AP31" s="143">
        <v>25.0</v>
      </c>
      <c r="AQ31" s="128">
        <v>17.0</v>
      </c>
      <c r="AR31" s="128"/>
      <c r="AS31" s="128"/>
      <c r="AT31" s="44">
        <v>30.0</v>
      </c>
      <c r="AU31" s="44"/>
      <c r="AV31" s="128"/>
      <c r="AW31" s="145"/>
      <c r="AX31" s="128"/>
      <c r="AY31" s="145"/>
      <c r="AZ31" s="145"/>
      <c r="BA31" s="145"/>
      <c r="BB31" s="146"/>
      <c r="BC31" s="145"/>
      <c r="BD31" s="128"/>
      <c r="BE31" s="145"/>
      <c r="BF31" s="128"/>
      <c r="BG31" s="145"/>
      <c r="BH31" s="145"/>
      <c r="BI31" s="145"/>
      <c r="BJ31" s="146"/>
      <c r="BK31" s="145"/>
    </row>
    <row r="32">
      <c r="A32" s="140">
        <v>44159.93819444445</v>
      </c>
      <c r="B32" s="141" t="s">
        <v>47</v>
      </c>
      <c r="C32" s="128">
        <v>987.4104066328198</v>
      </c>
      <c r="D32" s="128">
        <v>25.0</v>
      </c>
      <c r="E32" s="147">
        <v>994.2338297682089</v>
      </c>
      <c r="F32" s="44" t="s">
        <v>112</v>
      </c>
      <c r="G32" s="128">
        <v>1023.6941655353278</v>
      </c>
      <c r="H32" s="128">
        <v>19.0</v>
      </c>
      <c r="I32" s="128">
        <v>1030.2687066327335</v>
      </c>
      <c r="J32" s="141" t="s">
        <v>92</v>
      </c>
      <c r="K32" s="128">
        <v>1032.0160239396632</v>
      </c>
      <c r="L32" s="128">
        <v>20.0</v>
      </c>
      <c r="M32" s="142">
        <v>1038.6180597068685</v>
      </c>
      <c r="R32" s="148"/>
      <c r="U32" s="149"/>
      <c r="V32" s="44" t="s">
        <v>230</v>
      </c>
      <c r="W32" s="128">
        <v>957.3663035716219</v>
      </c>
      <c r="X32" s="128">
        <v>11.0</v>
      </c>
      <c r="Y32" s="128">
        <v>950.5392712469397</v>
      </c>
      <c r="Z32" s="141" t="s">
        <v>224</v>
      </c>
      <c r="AA32" s="128">
        <v>970.2007799137837</v>
      </c>
      <c r="AB32" s="128">
        <v>5.0</v>
      </c>
      <c r="AC32" s="142">
        <v>963.1436050649226</v>
      </c>
      <c r="AD32" s="44" t="s">
        <v>23</v>
      </c>
      <c r="AE32" s="128">
        <v>1121.4335063317894</v>
      </c>
      <c r="AF32" s="128">
        <v>36.0</v>
      </c>
      <c r="AG32" s="128">
        <v>1115.3177135053327</v>
      </c>
      <c r="AH32" s="148"/>
      <c r="AK32" s="149"/>
      <c r="AP32" s="141">
        <v>16.0</v>
      </c>
      <c r="AQ32" s="128">
        <v>12.0</v>
      </c>
      <c r="AR32" s="128"/>
      <c r="AS32" s="128"/>
      <c r="AT32" s="44">
        <v>31.0</v>
      </c>
      <c r="AU32" s="44"/>
      <c r="AV32" s="128"/>
      <c r="AW32" s="145"/>
      <c r="AX32" s="128"/>
      <c r="AY32" s="145"/>
      <c r="AZ32" s="145"/>
      <c r="BA32" s="145"/>
      <c r="BB32" s="146"/>
      <c r="BC32" s="145"/>
      <c r="BD32" s="128"/>
      <c r="BE32" s="145"/>
      <c r="BF32" s="128"/>
      <c r="BG32" s="145"/>
      <c r="BH32" s="145"/>
      <c r="BI32" s="145"/>
      <c r="BJ32" s="146"/>
      <c r="BK32" s="145"/>
    </row>
    <row r="33">
      <c r="A33" s="140">
        <v>44159.9875</v>
      </c>
      <c r="B33" s="141" t="s">
        <v>47</v>
      </c>
      <c r="C33" s="128">
        <v>994.2338297682089</v>
      </c>
      <c r="D33" s="128">
        <v>23.0</v>
      </c>
      <c r="E33" s="142">
        <v>997.6572230169613</v>
      </c>
      <c r="F33" s="44" t="s">
        <v>112</v>
      </c>
      <c r="G33" s="128">
        <v>1030.2687066327335</v>
      </c>
      <c r="H33" s="128">
        <v>7.0</v>
      </c>
      <c r="I33" s="128">
        <v>1033.4079935930708</v>
      </c>
      <c r="J33" s="141" t="s">
        <v>92</v>
      </c>
      <c r="K33" s="128">
        <v>1038.6180597068685</v>
      </c>
      <c r="L33" s="128">
        <v>25.0</v>
      </c>
      <c r="M33" s="142">
        <v>1042.0553794977789</v>
      </c>
      <c r="R33" s="148"/>
      <c r="U33" s="149"/>
      <c r="V33" s="44" t="s">
        <v>123</v>
      </c>
      <c r="W33" s="128">
        <v>973.5280931224266</v>
      </c>
      <c r="X33" s="128">
        <v>11.0</v>
      </c>
      <c r="Y33" s="128">
        <v>970.1230575944284</v>
      </c>
      <c r="Z33" s="141" t="s">
        <v>27</v>
      </c>
      <c r="AA33" s="128">
        <v>989.6996945292223</v>
      </c>
      <c r="AB33" s="128">
        <v>16.0</v>
      </c>
      <c r="AC33" s="142">
        <v>986.3645552966342</v>
      </c>
      <c r="AD33" s="44" t="s">
        <v>23</v>
      </c>
      <c r="AE33" s="128">
        <v>1115.3177135053327</v>
      </c>
      <c r="AF33" s="128">
        <v>22.0</v>
      </c>
      <c r="AG33" s="128">
        <v>1112.057888265919</v>
      </c>
      <c r="AH33" s="148"/>
      <c r="AK33" s="149"/>
      <c r="AP33" s="143">
        <v>15.0</v>
      </c>
      <c r="AQ33" s="128">
        <v>13.0</v>
      </c>
      <c r="AR33" s="128"/>
      <c r="AS33" s="128"/>
      <c r="AT33" s="44">
        <v>32.0</v>
      </c>
      <c r="AU33" s="44"/>
      <c r="AV33" s="128"/>
      <c r="AW33" s="145"/>
      <c r="AX33" s="128"/>
      <c r="AY33" s="145"/>
      <c r="AZ33" s="145"/>
      <c r="BA33" s="145"/>
      <c r="BB33" s="146"/>
      <c r="BC33" s="145"/>
      <c r="BD33" s="128"/>
      <c r="BE33" s="145"/>
      <c r="BF33" s="128"/>
      <c r="BG33" s="145"/>
      <c r="BH33" s="145"/>
      <c r="BI33" s="145"/>
      <c r="BJ33" s="146"/>
      <c r="BK33" s="145"/>
    </row>
    <row r="34">
      <c r="A34" s="140">
        <v>44160.024305555555</v>
      </c>
      <c r="B34" s="141" t="s">
        <v>47</v>
      </c>
      <c r="C34" s="128">
        <v>997.6572230169613</v>
      </c>
      <c r="D34" s="128">
        <v>19.0</v>
      </c>
      <c r="E34" s="142">
        <v>994.6829124863392</v>
      </c>
      <c r="F34" s="44" t="s">
        <v>248</v>
      </c>
      <c r="G34" s="128">
        <v>1000.0</v>
      </c>
      <c r="H34" s="128">
        <v>15.0</v>
      </c>
      <c r="I34" s="128">
        <v>996.9643061174256</v>
      </c>
      <c r="J34" s="141" t="s">
        <v>92</v>
      </c>
      <c r="K34" s="128">
        <v>1042.0553794977789</v>
      </c>
      <c r="L34" s="128">
        <v>19.0</v>
      </c>
      <c r="M34" s="142">
        <v>1039.0653839109752</v>
      </c>
      <c r="R34" s="148"/>
      <c r="U34" s="149"/>
      <c r="V34" s="44" t="s">
        <v>123</v>
      </c>
      <c r="W34" s="128">
        <v>970.1230575944284</v>
      </c>
      <c r="X34" s="128">
        <v>11.0</v>
      </c>
      <c r="Y34" s="128">
        <v>973.0477644424648</v>
      </c>
      <c r="Z34" s="141" t="s">
        <v>107</v>
      </c>
      <c r="AA34" s="128">
        <v>993.0389053000914</v>
      </c>
      <c r="AB34" s="128">
        <v>7.0</v>
      </c>
      <c r="AC34" s="142">
        <v>995.8847973835594</v>
      </c>
      <c r="AD34" s="44" t="s">
        <v>23</v>
      </c>
      <c r="AE34" s="128">
        <v>1112.057888265919</v>
      </c>
      <c r="AF34" s="128">
        <v>34.0</v>
      </c>
      <c r="AG34" s="128">
        <v>1115.2872893344147</v>
      </c>
      <c r="AH34" s="148"/>
      <c r="AK34" s="149"/>
      <c r="AP34" s="143">
        <v>13.0</v>
      </c>
      <c r="AQ34" s="128">
        <v>15.0</v>
      </c>
      <c r="AR34" s="128"/>
      <c r="AS34" s="128"/>
      <c r="AT34" s="44">
        <v>33.0</v>
      </c>
      <c r="AU34" s="44"/>
      <c r="AV34" s="128"/>
      <c r="AW34" s="145"/>
      <c r="AX34" s="128"/>
      <c r="AY34" s="145"/>
      <c r="AZ34" s="145"/>
      <c r="BA34" s="145"/>
      <c r="BB34" s="146"/>
      <c r="BC34" s="145"/>
      <c r="BD34" s="128"/>
      <c r="BE34" s="145"/>
      <c r="BF34" s="128"/>
      <c r="BG34" s="145"/>
      <c r="BH34" s="145"/>
      <c r="BI34" s="145"/>
      <c r="BJ34" s="146"/>
      <c r="BK34" s="145"/>
    </row>
    <row r="35">
      <c r="A35" s="140">
        <v>44160.90555555555</v>
      </c>
      <c r="B35" s="141" t="s">
        <v>224</v>
      </c>
      <c r="C35" s="128">
        <v>963.1436050649226</v>
      </c>
      <c r="D35" s="128">
        <v>14.0</v>
      </c>
      <c r="E35" s="142">
        <v>960.6029482107863</v>
      </c>
      <c r="F35" s="44" t="s">
        <v>27</v>
      </c>
      <c r="G35" s="128">
        <v>986.3645552966342</v>
      </c>
      <c r="H35" s="128">
        <v>21.0</v>
      </c>
      <c r="I35" s="128">
        <v>983.8921286171396</v>
      </c>
      <c r="J35" s="141" t="s">
        <v>47</v>
      </c>
      <c r="K35" s="128">
        <v>994.6829124863392</v>
      </c>
      <c r="L35" s="128">
        <v>16.0</v>
      </c>
      <c r="M35" s="142">
        <v>992.1426146335382</v>
      </c>
      <c r="N35" s="44" t="s">
        <v>23</v>
      </c>
      <c r="O35" s="128">
        <v>1115.2872893344147</v>
      </c>
      <c r="P35" s="128">
        <v>25.0</v>
      </c>
      <c r="Q35" s="128">
        <v>1112.8406707208464</v>
      </c>
      <c r="R35" s="148"/>
      <c r="U35" s="149"/>
      <c r="V35" s="44" t="s">
        <v>123</v>
      </c>
      <c r="W35" s="128">
        <v>973.0477644424648</v>
      </c>
      <c r="X35" s="128">
        <v>14.0</v>
      </c>
      <c r="Y35" s="128">
        <v>975.5093138354879</v>
      </c>
      <c r="Z35" s="141" t="s">
        <v>228</v>
      </c>
      <c r="AA35" s="128">
        <v>1016.7091089982063</v>
      </c>
      <c r="AB35" s="128">
        <v>20.0</v>
      </c>
      <c r="AC35" s="142">
        <v>1019.2209396934369</v>
      </c>
      <c r="AD35" s="44" t="s">
        <v>112</v>
      </c>
      <c r="AE35" s="128">
        <v>1033.4079935930708</v>
      </c>
      <c r="AF35" s="128">
        <v>12.0</v>
      </c>
      <c r="AG35" s="128">
        <v>1035.8155332467998</v>
      </c>
      <c r="AH35" s="141" t="s">
        <v>92</v>
      </c>
      <c r="AI35" s="128">
        <v>1039.0653839109752</v>
      </c>
      <c r="AJ35" s="128">
        <v>29.0</v>
      </c>
      <c r="AK35" s="142">
        <v>1041.6844641689927</v>
      </c>
      <c r="AP35" s="143">
        <v>13.0</v>
      </c>
      <c r="AQ35" s="128">
        <v>14.0</v>
      </c>
      <c r="AR35" s="128"/>
      <c r="AS35" s="128"/>
      <c r="AT35" s="44">
        <v>34.0</v>
      </c>
      <c r="AU35" s="44"/>
      <c r="AV35" s="128"/>
      <c r="AW35" s="145"/>
      <c r="AX35" s="128"/>
      <c r="AY35" s="145"/>
      <c r="AZ35" s="145"/>
      <c r="BA35" s="145"/>
      <c r="BB35" s="146"/>
      <c r="BC35" s="145"/>
      <c r="BD35" s="128"/>
      <c r="BE35" s="145"/>
      <c r="BF35" s="128"/>
      <c r="BG35" s="145"/>
      <c r="BH35" s="145"/>
      <c r="BI35" s="145"/>
      <c r="BJ35" s="146"/>
      <c r="BK35" s="145"/>
    </row>
    <row r="36">
      <c r="A36" s="140">
        <v>44160.95625</v>
      </c>
      <c r="B36" s="141" t="s">
        <v>224</v>
      </c>
      <c r="C36" s="128">
        <v>960.6029482107863</v>
      </c>
      <c r="D36" s="128">
        <v>4.0</v>
      </c>
      <c r="E36" s="142">
        <v>955.3213962323372</v>
      </c>
      <c r="F36" s="44" t="s">
        <v>47</v>
      </c>
      <c r="G36" s="128">
        <v>992.1426146335382</v>
      </c>
      <c r="H36" s="128">
        <v>19.0</v>
      </c>
      <c r="I36" s="128">
        <v>987.190451362446</v>
      </c>
      <c r="J36" s="141" t="s">
        <v>112</v>
      </c>
      <c r="K36" s="128">
        <v>1035.8155332467998</v>
      </c>
      <c r="L36" s="128">
        <v>28.0</v>
      </c>
      <c r="M36" s="142">
        <v>1031.0582375176318</v>
      </c>
      <c r="N36" s="44" t="s">
        <v>92</v>
      </c>
      <c r="O36" s="128">
        <v>1041.6844641689927</v>
      </c>
      <c r="P36" s="128">
        <v>18.0</v>
      </c>
      <c r="Q36" s="128">
        <v>1036.6754751477017</v>
      </c>
      <c r="R36" s="148"/>
      <c r="U36" s="149"/>
      <c r="V36" s="44" t="s">
        <v>230</v>
      </c>
      <c r="W36" s="128">
        <v>950.5392712469397</v>
      </c>
      <c r="X36" s="128">
        <v>12.0</v>
      </c>
      <c r="Y36" s="128">
        <v>955.3770949168929</v>
      </c>
      <c r="Z36" s="141" t="s">
        <v>123</v>
      </c>
      <c r="AA36" s="128">
        <v>975.5093138354879</v>
      </c>
      <c r="AB36" s="128">
        <v>9.0</v>
      </c>
      <c r="AC36" s="142">
        <v>980.2178864207027</v>
      </c>
      <c r="AD36" s="44" t="s">
        <v>27</v>
      </c>
      <c r="AE36" s="128">
        <v>983.8921286171396</v>
      </c>
      <c r="AF36" s="128">
        <v>21.0</v>
      </c>
      <c r="AG36" s="128">
        <v>988.8859559602768</v>
      </c>
      <c r="AH36" s="141" t="s">
        <v>23</v>
      </c>
      <c r="AI36" s="128">
        <v>1112.8406707208464</v>
      </c>
      <c r="AJ36" s="128">
        <v>42.0</v>
      </c>
      <c r="AK36" s="142">
        <v>1118.3004471225413</v>
      </c>
      <c r="AP36" s="143">
        <v>12.0</v>
      </c>
      <c r="AQ36" s="128">
        <v>16.0</v>
      </c>
      <c r="AR36" s="128"/>
      <c r="AS36" s="128"/>
      <c r="AT36" s="44">
        <v>35.0</v>
      </c>
      <c r="AU36" s="44"/>
      <c r="AV36" s="128"/>
      <c r="AW36" s="145"/>
      <c r="AX36" s="128"/>
      <c r="AY36" s="145"/>
      <c r="AZ36" s="145"/>
      <c r="BA36" s="145"/>
      <c r="BB36" s="146"/>
      <c r="BC36" s="145"/>
      <c r="BD36" s="128"/>
      <c r="BE36" s="145"/>
      <c r="BF36" s="128"/>
      <c r="BG36" s="145"/>
      <c r="BH36" s="145"/>
      <c r="BI36" s="145"/>
      <c r="BJ36" s="146"/>
      <c r="BK36" s="145"/>
    </row>
    <row r="37">
      <c r="A37" s="140">
        <v>44161.00208333333</v>
      </c>
      <c r="B37" s="141" t="s">
        <v>224</v>
      </c>
      <c r="C37" s="128">
        <v>955.3213962323372</v>
      </c>
      <c r="D37" s="128">
        <v>6.0</v>
      </c>
      <c r="E37" s="142">
        <v>957.6938321748497</v>
      </c>
      <c r="F37" s="44" t="s">
        <v>230</v>
      </c>
      <c r="G37" s="128">
        <v>955.3770949168929</v>
      </c>
      <c r="H37" s="128">
        <v>17.0</v>
      </c>
      <c r="I37" s="128">
        <v>957.8869754465918</v>
      </c>
      <c r="J37" s="141" t="s">
        <v>27</v>
      </c>
      <c r="K37" s="128">
        <v>988.8859559602768</v>
      </c>
      <c r="L37" s="128">
        <v>15.0</v>
      </c>
      <c r="M37" s="142">
        <v>991.3432009477776</v>
      </c>
      <c r="N37" s="44" t="s">
        <v>23</v>
      </c>
      <c r="O37" s="128">
        <v>1118.3004471225413</v>
      </c>
      <c r="P37" s="128">
        <v>33.0</v>
      </c>
      <c r="Q37" s="128">
        <v>1120.960885662829</v>
      </c>
      <c r="R37" s="148"/>
      <c r="U37" s="149"/>
      <c r="V37" s="44" t="s">
        <v>123</v>
      </c>
      <c r="W37" s="128">
        <v>980.2178864207027</v>
      </c>
      <c r="X37" s="128">
        <v>12.0</v>
      </c>
      <c r="Y37" s="128">
        <v>977.6819443614477</v>
      </c>
      <c r="Z37" s="141" t="s">
        <v>47</v>
      </c>
      <c r="AA37" s="128">
        <v>987.190451362446</v>
      </c>
      <c r="AB37" s="128">
        <v>20.0</v>
      </c>
      <c r="AC37" s="142">
        <v>984.7504637834132</v>
      </c>
      <c r="AD37" s="44" t="s">
        <v>112</v>
      </c>
      <c r="AE37" s="128">
        <v>1031.0582375176318</v>
      </c>
      <c r="AF37" s="128">
        <v>11.0</v>
      </c>
      <c r="AG37" s="128">
        <v>1028.4903970743326</v>
      </c>
      <c r="AH37" s="141" t="s">
        <v>92</v>
      </c>
      <c r="AI37" s="128">
        <v>1036.6754751477017</v>
      </c>
      <c r="AJ37" s="128">
        <v>20.0</v>
      </c>
      <c r="AK37" s="142">
        <v>1034.2192452292888</v>
      </c>
      <c r="AP37" s="143">
        <v>15.0</v>
      </c>
      <c r="AQ37" s="128">
        <v>13.0</v>
      </c>
      <c r="AR37" s="128"/>
      <c r="AS37" s="128"/>
      <c r="AT37" s="44">
        <v>36.0</v>
      </c>
      <c r="AU37" s="44"/>
      <c r="AV37" s="128"/>
      <c r="AW37" s="145"/>
      <c r="AX37" s="128"/>
      <c r="AY37" s="145"/>
      <c r="AZ37" s="145"/>
      <c r="BA37" s="145"/>
      <c r="BB37" s="146"/>
      <c r="BC37" s="145"/>
      <c r="BD37" s="128"/>
      <c r="BE37" s="145"/>
      <c r="BF37" s="128"/>
      <c r="BG37" s="145"/>
      <c r="BH37" s="145"/>
      <c r="BI37" s="145"/>
      <c r="BJ37" s="146"/>
      <c r="BK37" s="145"/>
    </row>
    <row r="38">
      <c r="A38" s="140">
        <v>44161.98333333333</v>
      </c>
      <c r="B38" s="141" t="s">
        <v>224</v>
      </c>
      <c r="C38" s="128">
        <v>957.6938321748497</v>
      </c>
      <c r="D38" s="128">
        <v>6.0</v>
      </c>
      <c r="E38" s="142">
        <v>955.6003682676891</v>
      </c>
      <c r="F38" s="44" t="s">
        <v>230</v>
      </c>
      <c r="G38" s="128">
        <v>957.8869754465918</v>
      </c>
      <c r="H38" s="128">
        <v>14.0</v>
      </c>
      <c r="I38" s="128">
        <v>955.873365542973</v>
      </c>
      <c r="J38" s="141" t="s">
        <v>107</v>
      </c>
      <c r="K38" s="128">
        <v>995.8847973835594</v>
      </c>
      <c r="L38" s="128">
        <v>17.0</v>
      </c>
      <c r="M38" s="142">
        <v>993.8784050895368</v>
      </c>
      <c r="N38" s="44" t="s">
        <v>248</v>
      </c>
      <c r="O38" s="128">
        <v>996.9643061174256</v>
      </c>
      <c r="P38" s="128">
        <v>15.0</v>
      </c>
      <c r="Q38" s="128">
        <v>994.9374518676223</v>
      </c>
      <c r="R38" s="141" t="s">
        <v>23</v>
      </c>
      <c r="S38" s="128">
        <v>1120.960885662829</v>
      </c>
      <c r="T38" s="128">
        <v>33.0</v>
      </c>
      <c r="U38" s="142">
        <v>1119.1012060174344</v>
      </c>
      <c r="V38" s="44" t="s">
        <v>123</v>
      </c>
      <c r="W38" s="128">
        <v>977.6819443614477</v>
      </c>
      <c r="X38" s="128">
        <v>23.0</v>
      </c>
      <c r="Y38" s="128">
        <v>979.7090675801666</v>
      </c>
      <c r="Z38" s="141" t="s">
        <v>47</v>
      </c>
      <c r="AA38" s="128">
        <v>984.7504637834132</v>
      </c>
      <c r="AB38" s="128">
        <v>24.0</v>
      </c>
      <c r="AC38" s="142">
        <v>986.7827421037138</v>
      </c>
      <c r="AD38" s="44" t="s">
        <v>249</v>
      </c>
      <c r="AE38" s="128">
        <v>1000.0</v>
      </c>
      <c r="AF38" s="128">
        <v>11.0</v>
      </c>
      <c r="AG38" s="128">
        <v>1001.8936775444386</v>
      </c>
      <c r="AH38" s="141" t="s">
        <v>112</v>
      </c>
      <c r="AI38" s="128">
        <v>1028.4903970743326</v>
      </c>
      <c r="AJ38" s="128">
        <v>26.0</v>
      </c>
      <c r="AK38" s="142">
        <v>1030.5244046524454</v>
      </c>
      <c r="AL38" s="44" t="s">
        <v>92</v>
      </c>
      <c r="AM38" s="128">
        <v>1034.2192452292888</v>
      </c>
      <c r="AN38" s="128">
        <v>24.0</v>
      </c>
      <c r="AO38" s="128">
        <v>1036.2321585677182</v>
      </c>
      <c r="AP38" s="143">
        <v>13.0</v>
      </c>
      <c r="AQ38" s="128">
        <v>15.0</v>
      </c>
      <c r="AR38" s="128"/>
      <c r="AS38" s="128"/>
      <c r="AT38" s="44">
        <v>37.0</v>
      </c>
      <c r="AU38" s="44"/>
      <c r="AV38" s="128"/>
      <c r="AW38" s="145"/>
      <c r="AX38" s="128"/>
      <c r="AY38" s="145"/>
      <c r="AZ38" s="145"/>
      <c r="BA38" s="145"/>
      <c r="BB38" s="146"/>
      <c r="BC38" s="145"/>
      <c r="BD38" s="128"/>
      <c r="BE38" s="145"/>
      <c r="BF38" s="128"/>
      <c r="BG38" s="145"/>
      <c r="BH38" s="145"/>
      <c r="BI38" s="145"/>
      <c r="BJ38" s="146"/>
      <c r="BK38" s="145"/>
    </row>
    <row r="39">
      <c r="A39" s="140">
        <v>44162.02013888889</v>
      </c>
      <c r="B39" s="141" t="s">
        <v>230</v>
      </c>
      <c r="C39" s="128">
        <v>955.873365542973</v>
      </c>
      <c r="D39" s="128">
        <v>27.0</v>
      </c>
      <c r="E39" s="142">
        <v>948.5850636642967</v>
      </c>
      <c r="F39" s="44" t="s">
        <v>123</v>
      </c>
      <c r="G39" s="128">
        <v>979.7090675801666</v>
      </c>
      <c r="H39" s="128">
        <v>14.0</v>
      </c>
      <c r="I39" s="128">
        <v>971.8564390517624</v>
      </c>
      <c r="J39" s="141" t="s">
        <v>47</v>
      </c>
      <c r="K39" s="128">
        <v>986.7827421037138</v>
      </c>
      <c r="L39" s="128">
        <v>7.0</v>
      </c>
      <c r="M39" s="142">
        <v>978.6433890015309</v>
      </c>
      <c r="N39" s="44" t="s">
        <v>107</v>
      </c>
      <c r="O39" s="128">
        <v>993.8784050895368</v>
      </c>
      <c r="P39" s="128">
        <v>12.0</v>
      </c>
      <c r="Q39" s="128">
        <v>985.9218858362476</v>
      </c>
      <c r="R39" s="141" t="s">
        <v>248</v>
      </c>
      <c r="S39" s="128">
        <v>994.9374518676223</v>
      </c>
      <c r="T39" s="128">
        <v>17.0</v>
      </c>
      <c r="U39" s="142">
        <v>987.1742546301748</v>
      </c>
      <c r="V39" s="44" t="s">
        <v>249</v>
      </c>
      <c r="W39" s="128">
        <v>1001.8936775444386</v>
      </c>
      <c r="X39" s="128">
        <v>14.0</v>
      </c>
      <c r="Y39" s="128">
        <v>1011.0809633311537</v>
      </c>
      <c r="Z39" s="141" t="s">
        <v>112</v>
      </c>
      <c r="AA39" s="128">
        <v>1030.5244046524454</v>
      </c>
      <c r="AB39" s="128">
        <v>29.0</v>
      </c>
      <c r="AC39" s="142">
        <v>1040.3902782313817</v>
      </c>
      <c r="AD39" s="44" t="s">
        <v>92</v>
      </c>
      <c r="AE39" s="128">
        <v>1036.2321585677182</v>
      </c>
      <c r="AF39" s="128">
        <v>26.0</v>
      </c>
      <c r="AG39" s="128">
        <v>1045.945998110557</v>
      </c>
      <c r="AH39" s="141" t="s">
        <v>23</v>
      </c>
      <c r="AI39" s="128">
        <v>1119.1012060174344</v>
      </c>
      <c r="AJ39" s="128">
        <v>37.0</v>
      </c>
      <c r="AK39" s="142">
        <v>1129.3342071089444</v>
      </c>
      <c r="AP39" s="143">
        <v>12.0</v>
      </c>
      <c r="AQ39" s="128">
        <v>16.0</v>
      </c>
      <c r="AR39" s="128"/>
      <c r="AS39" s="128"/>
      <c r="AT39" s="44">
        <v>38.0</v>
      </c>
      <c r="AU39" s="44"/>
      <c r="AV39" s="128"/>
      <c r="AW39" s="145"/>
      <c r="AX39" s="128"/>
      <c r="AY39" s="145"/>
      <c r="AZ39" s="145"/>
      <c r="BA39" s="145"/>
      <c r="BB39" s="146"/>
      <c r="BC39" s="145"/>
      <c r="BD39" s="128"/>
      <c r="BE39" s="145"/>
      <c r="BF39" s="128"/>
      <c r="BG39" s="145"/>
      <c r="BH39" s="145"/>
      <c r="BI39" s="145"/>
      <c r="BJ39" s="146"/>
      <c r="BK39" s="145"/>
    </row>
    <row r="40">
      <c r="A40" s="140">
        <v>44162.975694444445</v>
      </c>
      <c r="B40" s="141" t="s">
        <v>230</v>
      </c>
      <c r="C40" s="128">
        <v>948.5850636642967</v>
      </c>
      <c r="D40" s="128">
        <v>17.0</v>
      </c>
      <c r="E40" s="142">
        <v>952.550140995169</v>
      </c>
      <c r="F40" s="44" t="s">
        <v>224</v>
      </c>
      <c r="G40" s="128">
        <v>955.6003682676891</v>
      </c>
      <c r="H40" s="128">
        <v>9.0</v>
      </c>
      <c r="I40" s="128">
        <v>959.3935834358232</v>
      </c>
      <c r="J40" s="141" t="s">
        <v>47</v>
      </c>
      <c r="K40" s="128">
        <v>978.6433890015309</v>
      </c>
      <c r="L40" s="128">
        <v>25.0</v>
      </c>
      <c r="M40" s="142">
        <v>982.7230468377594</v>
      </c>
      <c r="N40" s="44" t="s">
        <v>112</v>
      </c>
      <c r="O40" s="128">
        <v>1040.3902782313817</v>
      </c>
      <c r="P40" s="128">
        <v>32.0</v>
      </c>
      <c r="Q40" s="128">
        <v>1044.5643679016114</v>
      </c>
      <c r="R40" s="141" t="s">
        <v>23</v>
      </c>
      <c r="S40" s="128">
        <v>1129.3342071089444</v>
      </c>
      <c r="T40" s="128">
        <v>23.0</v>
      </c>
      <c r="U40" s="142">
        <v>1133.3221671034798</v>
      </c>
      <c r="V40" s="44" t="s">
        <v>248</v>
      </c>
      <c r="W40" s="128">
        <v>987.1742546301748</v>
      </c>
      <c r="X40" s="128">
        <v>11.0</v>
      </c>
      <c r="Y40" s="128">
        <v>983.0639780585593</v>
      </c>
      <c r="Z40" s="141" t="s">
        <v>27</v>
      </c>
      <c r="AA40" s="128">
        <v>991.3432009477776</v>
      </c>
      <c r="AB40" s="128">
        <v>18.0</v>
      </c>
      <c r="AC40" s="142">
        <v>987.369494320942</v>
      </c>
      <c r="AD40" s="44" t="s">
        <v>249</v>
      </c>
      <c r="AE40" s="128">
        <v>1011.0809633311537</v>
      </c>
      <c r="AF40" s="128">
        <v>10.0</v>
      </c>
      <c r="AG40" s="128">
        <v>1006.9342115374759</v>
      </c>
      <c r="AH40" s="141" t="s">
        <v>228</v>
      </c>
      <c r="AI40" s="128">
        <v>1019.2209396934369</v>
      </c>
      <c r="AJ40" s="128">
        <v>18.0</v>
      </c>
      <c r="AK40" s="142">
        <v>1015.2302677117439</v>
      </c>
      <c r="AL40" s="44" t="s">
        <v>92</v>
      </c>
      <c r="AM40" s="128">
        <v>1045.945998110557</v>
      </c>
      <c r="AN40" s="128">
        <v>29.0</v>
      </c>
      <c r="AO40" s="128">
        <v>1042.167405084379</v>
      </c>
      <c r="AP40" s="143">
        <v>18.0</v>
      </c>
      <c r="AQ40" s="128">
        <v>10.0</v>
      </c>
      <c r="AR40" s="128"/>
      <c r="AS40" s="128"/>
      <c r="AT40" s="44">
        <v>39.0</v>
      </c>
      <c r="AU40" s="44"/>
      <c r="AV40" s="128"/>
      <c r="AW40" s="145"/>
      <c r="AX40" s="128"/>
      <c r="AY40" s="145"/>
      <c r="AZ40" s="145"/>
      <c r="BA40" s="145"/>
      <c r="BB40" s="146"/>
      <c r="BC40" s="145"/>
      <c r="BD40" s="128"/>
      <c r="BE40" s="145"/>
      <c r="BF40" s="128"/>
      <c r="BG40" s="145"/>
      <c r="BH40" s="145"/>
      <c r="BI40" s="145"/>
      <c r="BJ40" s="146"/>
      <c r="BK40" s="145"/>
    </row>
    <row r="41">
      <c r="A41" s="140">
        <v>44163.04375</v>
      </c>
      <c r="B41" s="141" t="s">
        <v>230</v>
      </c>
      <c r="C41" s="128">
        <v>952.550140995169</v>
      </c>
      <c r="D41" s="128">
        <v>29.0</v>
      </c>
      <c r="E41" s="142">
        <v>960.6443622068709</v>
      </c>
      <c r="F41" s="44" t="s">
        <v>47</v>
      </c>
      <c r="G41" s="128">
        <v>982.7230468377594</v>
      </c>
      <c r="H41" s="128">
        <v>17.0</v>
      </c>
      <c r="I41" s="128">
        <v>990.2541167745431</v>
      </c>
      <c r="J41" s="141" t="s">
        <v>248</v>
      </c>
      <c r="K41" s="128">
        <v>983.0639780585593</v>
      </c>
      <c r="L41" s="128">
        <v>26.0</v>
      </c>
      <c r="M41" s="142">
        <v>990.9451657097513</v>
      </c>
      <c r="N41" s="44" t="s">
        <v>249</v>
      </c>
      <c r="O41" s="128">
        <v>1006.9342115374759</v>
      </c>
      <c r="P41" s="128">
        <v>18.0</v>
      </c>
      <c r="Q41" s="128">
        <v>1014.4528231159383</v>
      </c>
      <c r="R41" s="141" t="s">
        <v>23</v>
      </c>
      <c r="S41" s="128">
        <v>1133.3221671034798</v>
      </c>
      <c r="T41" s="128">
        <v>31.0</v>
      </c>
      <c r="U41" s="142">
        <v>1141.2970767253396</v>
      </c>
      <c r="V41" s="44" t="s">
        <v>224</v>
      </c>
      <c r="W41" s="128">
        <v>959.3935834358232</v>
      </c>
      <c r="X41" s="128">
        <v>2.0</v>
      </c>
      <c r="Y41" s="128">
        <v>951.2553916616278</v>
      </c>
      <c r="Z41" s="141" t="s">
        <v>107</v>
      </c>
      <c r="AA41" s="128">
        <v>985.9218858362476</v>
      </c>
      <c r="AB41" s="128">
        <v>24.0</v>
      </c>
      <c r="AC41" s="142">
        <v>978.6035822867203</v>
      </c>
      <c r="AD41" s="44" t="s">
        <v>228</v>
      </c>
      <c r="AE41" s="128">
        <v>1015.2302677117439</v>
      </c>
      <c r="AF41" s="128">
        <v>6.0</v>
      </c>
      <c r="AG41" s="128">
        <v>1007.1829366977851</v>
      </c>
      <c r="AH41" s="141" t="s">
        <v>92</v>
      </c>
      <c r="AI41" s="128">
        <v>1042.167405084379</v>
      </c>
      <c r="AJ41" s="128">
        <v>12.0</v>
      </c>
      <c r="AK41" s="142">
        <v>1034.3416480466867</v>
      </c>
      <c r="AL41" s="44" t="s">
        <v>112</v>
      </c>
      <c r="AM41" s="128">
        <v>1044.5643679016114</v>
      </c>
      <c r="AN41" s="128">
        <v>16.0</v>
      </c>
      <c r="AO41" s="128">
        <v>1036.8939512769853</v>
      </c>
      <c r="AP41" s="143">
        <v>22.0</v>
      </c>
      <c r="AQ41" s="128">
        <v>6.0</v>
      </c>
      <c r="AR41" s="128"/>
      <c r="AS41" s="128"/>
      <c r="AT41" s="44">
        <v>40.0</v>
      </c>
      <c r="AU41" s="44"/>
      <c r="AV41" s="128"/>
      <c r="AW41" s="145"/>
      <c r="AX41" s="128"/>
      <c r="AY41" s="145"/>
      <c r="AZ41" s="145"/>
      <c r="BA41" s="145"/>
      <c r="BB41" s="146"/>
      <c r="BC41" s="145"/>
      <c r="BD41" s="128"/>
      <c r="BE41" s="145"/>
      <c r="BF41" s="128"/>
      <c r="BG41" s="145"/>
      <c r="BH41" s="145"/>
      <c r="BI41" s="145"/>
      <c r="BJ41" s="146"/>
      <c r="BK41" s="145"/>
    </row>
    <row r="42">
      <c r="A42" s="140">
        <v>44163.08541666667</v>
      </c>
      <c r="B42" s="141" t="s">
        <v>230</v>
      </c>
      <c r="C42" s="128">
        <v>960.6443622068709</v>
      </c>
      <c r="D42" s="128">
        <v>19.0</v>
      </c>
      <c r="E42" s="142">
        <v>975.6325333673833</v>
      </c>
      <c r="F42" s="44" t="s">
        <v>23</v>
      </c>
      <c r="G42" s="128">
        <v>1141.2970767253396</v>
      </c>
      <c r="H42" s="128">
        <v>23.0</v>
      </c>
      <c r="I42" s="128">
        <v>1156.3089055648272</v>
      </c>
      <c r="J42" s="148"/>
      <c r="M42" s="149"/>
      <c r="R42" s="148"/>
      <c r="U42" s="149"/>
      <c r="V42" s="44" t="s">
        <v>107</v>
      </c>
      <c r="W42" s="128">
        <v>978.6035822867203</v>
      </c>
      <c r="X42" s="128">
        <v>15.0</v>
      </c>
      <c r="Y42" s="128">
        <v>963.8731841678103</v>
      </c>
      <c r="Z42" s="141" t="s">
        <v>112</v>
      </c>
      <c r="AA42" s="128">
        <v>1036.8939512769853</v>
      </c>
      <c r="AB42" s="128">
        <v>9.0</v>
      </c>
      <c r="AC42" s="142">
        <v>1021.6243493958953</v>
      </c>
      <c r="AH42" s="148"/>
      <c r="AK42" s="149"/>
      <c r="AP42" s="143">
        <v>20.0</v>
      </c>
      <c r="AQ42" s="128">
        <v>8.0</v>
      </c>
      <c r="AR42" s="128"/>
      <c r="AS42" s="128"/>
      <c r="AT42" s="44">
        <v>41.0</v>
      </c>
      <c r="AU42" s="44"/>
      <c r="AV42" s="128"/>
      <c r="AW42" s="145"/>
      <c r="AX42" s="128"/>
      <c r="AY42" s="145"/>
      <c r="AZ42" s="145"/>
      <c r="BA42" s="145"/>
      <c r="BB42" s="146"/>
      <c r="BC42" s="145"/>
      <c r="BD42" s="128"/>
      <c r="BE42" s="145"/>
      <c r="BF42" s="128"/>
      <c r="BG42" s="145"/>
      <c r="BH42" s="145"/>
      <c r="BI42" s="145"/>
      <c r="BJ42" s="146"/>
      <c r="BK42" s="145"/>
    </row>
    <row r="43">
      <c r="A43" s="140">
        <v>44164.00763888889</v>
      </c>
      <c r="B43" s="141" t="s">
        <v>90</v>
      </c>
      <c r="C43" s="128">
        <v>964.003419913341</v>
      </c>
      <c r="D43" s="128">
        <v>14.0</v>
      </c>
      <c r="E43" s="142">
        <v>975.0891085769971</v>
      </c>
      <c r="F43" s="44" t="s">
        <v>23</v>
      </c>
      <c r="G43" s="128">
        <v>1156.3089055648272</v>
      </c>
      <c r="H43" s="128">
        <v>32.0</v>
      </c>
      <c r="I43" s="128">
        <v>1168.223216901171</v>
      </c>
      <c r="J43" s="148"/>
      <c r="M43" s="149"/>
      <c r="R43" s="148"/>
      <c r="U43" s="149"/>
      <c r="V43" s="44" t="s">
        <v>230</v>
      </c>
      <c r="W43" s="128">
        <v>975.6325333673833</v>
      </c>
      <c r="X43" s="128">
        <v>8.0</v>
      </c>
      <c r="Y43" s="128">
        <v>963.8871382116106</v>
      </c>
      <c r="Z43" s="141" t="s">
        <v>47</v>
      </c>
      <c r="AA43" s="128">
        <v>990.2541167745431</v>
      </c>
      <c r="AB43" s="128">
        <v>17.0</v>
      </c>
      <c r="AC43" s="142">
        <v>978.9995119303159</v>
      </c>
      <c r="AH43" s="148"/>
      <c r="AK43" s="149"/>
      <c r="AP43" s="143">
        <v>21.0</v>
      </c>
      <c r="AQ43" s="128">
        <v>7.0</v>
      </c>
      <c r="AR43" s="128"/>
      <c r="AS43" s="128"/>
      <c r="AT43" s="44">
        <v>42.0</v>
      </c>
      <c r="AU43" s="44"/>
      <c r="AV43" s="128"/>
      <c r="AW43" s="145"/>
      <c r="AX43" s="128"/>
      <c r="AY43" s="145"/>
      <c r="AZ43" s="145"/>
      <c r="BA43" s="145"/>
      <c r="BB43" s="146"/>
      <c r="BC43" s="145"/>
      <c r="BD43" s="128"/>
      <c r="BE43" s="145"/>
      <c r="BF43" s="128"/>
      <c r="BG43" s="145"/>
      <c r="BH43" s="145"/>
      <c r="BI43" s="145"/>
      <c r="BJ43" s="146"/>
      <c r="BK43" s="145"/>
    </row>
    <row r="44">
      <c r="A44" s="140">
        <v>44164.05347222222</v>
      </c>
      <c r="B44" s="141" t="s">
        <v>230</v>
      </c>
      <c r="C44" s="128">
        <v>963.8871382116106</v>
      </c>
      <c r="D44" s="128">
        <v>20.0</v>
      </c>
      <c r="E44" s="142">
        <v>959.8175677529895</v>
      </c>
      <c r="F44" s="44" t="s">
        <v>90</v>
      </c>
      <c r="G44" s="128">
        <v>975.0891085769971</v>
      </c>
      <c r="H44" s="128">
        <v>20.0</v>
      </c>
      <c r="I44" s="128">
        <v>971.0041377120272</v>
      </c>
      <c r="J44" s="141" t="s">
        <v>23</v>
      </c>
      <c r="K44" s="128">
        <v>1168.223216901171</v>
      </c>
      <c r="L44" s="128">
        <v>35.0</v>
      </c>
      <c r="M44" s="142">
        <v>1164.3777582247621</v>
      </c>
      <c r="R44" s="148"/>
      <c r="U44" s="149"/>
      <c r="V44" s="44" t="s">
        <v>47</v>
      </c>
      <c r="W44" s="128">
        <v>978.9995119303159</v>
      </c>
      <c r="X44" s="128">
        <v>24.0</v>
      </c>
      <c r="Y44" s="128">
        <v>983.1070667368997</v>
      </c>
      <c r="Z44" s="141" t="s">
        <v>112</v>
      </c>
      <c r="AA44" s="128">
        <v>1021.6243493958953</v>
      </c>
      <c r="AB44" s="128">
        <v>16.0</v>
      </c>
      <c r="AC44" s="142">
        <v>1025.5429608144782</v>
      </c>
      <c r="AD44" s="44" t="s">
        <v>92</v>
      </c>
      <c r="AE44" s="128">
        <v>1034.3416480466867</v>
      </c>
      <c r="AF44" s="128">
        <v>19.0</v>
      </c>
      <c r="AG44" s="128">
        <v>1038.31548182152</v>
      </c>
      <c r="AH44" s="148"/>
      <c r="AK44" s="149"/>
      <c r="AP44" s="143">
        <v>13.0</v>
      </c>
      <c r="AQ44" s="128">
        <v>15.0</v>
      </c>
      <c r="AR44" s="128"/>
      <c r="AS44" s="128"/>
      <c r="AT44" s="44">
        <v>43.0</v>
      </c>
      <c r="AU44" s="44"/>
      <c r="AV44" s="128"/>
      <c r="AW44" s="145"/>
      <c r="AX44" s="128"/>
      <c r="AY44" s="145"/>
      <c r="AZ44" s="145"/>
      <c r="BA44" s="145"/>
      <c r="BB44" s="146"/>
      <c r="BC44" s="145"/>
      <c r="BD44" s="128"/>
      <c r="BE44" s="145"/>
      <c r="BF44" s="128"/>
      <c r="BG44" s="145"/>
      <c r="BH44" s="145"/>
      <c r="BI44" s="145"/>
      <c r="BJ44" s="146"/>
      <c r="BK44" s="145"/>
    </row>
    <row r="45">
      <c r="A45" s="140">
        <v>44164.09375</v>
      </c>
      <c r="B45" s="141" t="s">
        <v>230</v>
      </c>
      <c r="C45" s="128">
        <v>959.8175677529895</v>
      </c>
      <c r="D45" s="128">
        <v>12.0</v>
      </c>
      <c r="E45" s="142">
        <v>950.0328285330463</v>
      </c>
      <c r="F45" s="44" t="s">
        <v>90</v>
      </c>
      <c r="G45" s="128">
        <v>971.0041377120272</v>
      </c>
      <c r="H45" s="128">
        <v>11.0</v>
      </c>
      <c r="I45" s="128">
        <v>961.1489788222597</v>
      </c>
      <c r="J45" s="141" t="s">
        <v>47</v>
      </c>
      <c r="K45" s="128">
        <v>983.1070667368997</v>
      </c>
      <c r="L45" s="128">
        <v>14.0</v>
      </c>
      <c r="M45" s="142">
        <v>973.3776467909246</v>
      </c>
      <c r="N45" s="44" t="s">
        <v>112</v>
      </c>
      <c r="O45" s="128">
        <v>1025.5429608144782</v>
      </c>
      <c r="P45" s="128">
        <v>17.0</v>
      </c>
      <c r="Q45" s="128">
        <v>1015.912278870164</v>
      </c>
      <c r="R45" s="148"/>
      <c r="U45" s="149"/>
      <c r="V45" s="44" t="s">
        <v>233</v>
      </c>
      <c r="W45" s="128">
        <v>989.9725801504358</v>
      </c>
      <c r="X45" s="128">
        <v>2.0</v>
      </c>
      <c r="Y45" s="128">
        <v>1001.5768776228249</v>
      </c>
      <c r="Z45" s="141" t="s">
        <v>92</v>
      </c>
      <c r="AA45" s="128">
        <v>1038.31548182152</v>
      </c>
      <c r="AB45" s="128">
        <v>30.0</v>
      </c>
      <c r="AC45" s="142">
        <v>1051.6378632479345</v>
      </c>
      <c r="AD45" s="44" t="s">
        <v>23</v>
      </c>
      <c r="AE45" s="128">
        <v>1164.3777582247621</v>
      </c>
      <c r="AF45" s="128">
        <v>42.0</v>
      </c>
      <c r="AG45" s="128">
        <v>1178.4510793259585</v>
      </c>
      <c r="AH45" s="148"/>
      <c r="AK45" s="149"/>
      <c r="AP45" s="143">
        <v>12.0</v>
      </c>
      <c r="AQ45" s="128">
        <v>16.0</v>
      </c>
      <c r="AR45" s="128"/>
      <c r="AS45" s="128"/>
      <c r="AT45" s="44">
        <v>44.0</v>
      </c>
      <c r="AU45" s="44"/>
      <c r="AV45" s="128"/>
      <c r="AW45" s="145"/>
      <c r="AX45" s="128"/>
      <c r="AY45" s="145"/>
      <c r="AZ45" s="145"/>
      <c r="BA45" s="145"/>
      <c r="BB45" s="146"/>
      <c r="BC45" s="145"/>
      <c r="BD45" s="128"/>
      <c r="BE45" s="145"/>
      <c r="BF45" s="128"/>
      <c r="BG45" s="145"/>
      <c r="BH45" s="145"/>
      <c r="BI45" s="145"/>
      <c r="BJ45" s="146"/>
      <c r="BK45" s="145"/>
    </row>
    <row r="46">
      <c r="A46" s="140">
        <v>44164.989583333336</v>
      </c>
      <c r="B46" s="141" t="s">
        <v>230</v>
      </c>
      <c r="C46" s="128">
        <v>950.0328285330463</v>
      </c>
      <c r="D46" s="128">
        <v>12.0</v>
      </c>
      <c r="E46" s="142">
        <v>947.9801364747082</v>
      </c>
      <c r="F46" s="44" t="s">
        <v>90</v>
      </c>
      <c r="G46" s="128">
        <v>961.1489788222597</v>
      </c>
      <c r="H46" s="128">
        <v>23.0</v>
      </c>
      <c r="I46" s="128">
        <v>959.2003640860994</v>
      </c>
      <c r="J46" s="141" t="s">
        <v>107</v>
      </c>
      <c r="K46" s="128">
        <v>963.8731841678103</v>
      </c>
      <c r="L46" s="128">
        <v>13.0</v>
      </c>
      <c r="M46" s="142">
        <v>961.8232064021038</v>
      </c>
      <c r="N46" s="44" t="s">
        <v>248</v>
      </c>
      <c r="O46" s="128">
        <v>990.9451657097513</v>
      </c>
      <c r="P46" s="128">
        <v>11.0</v>
      </c>
      <c r="Q46" s="128">
        <v>988.8636490987855</v>
      </c>
      <c r="R46" s="141" t="s">
        <v>23</v>
      </c>
      <c r="S46" s="128">
        <v>1178.4510793259585</v>
      </c>
      <c r="T46" s="128">
        <v>34.0</v>
      </c>
      <c r="U46" s="142">
        <v>1176.5838804971293</v>
      </c>
      <c r="V46" s="44" t="s">
        <v>47</v>
      </c>
      <c r="W46" s="128">
        <v>973.3776467909246</v>
      </c>
      <c r="X46" s="128">
        <v>23.0</v>
      </c>
      <c r="Y46" s="128">
        <v>975.4080931099522</v>
      </c>
      <c r="Z46" s="141" t="s">
        <v>245</v>
      </c>
      <c r="AA46" s="128">
        <v>1001.8502941539822</v>
      </c>
      <c r="AB46" s="128">
        <v>38.0</v>
      </c>
      <c r="AC46" s="142">
        <v>1004.0192018984058</v>
      </c>
      <c r="AD46" s="44" t="s">
        <v>228</v>
      </c>
      <c r="AE46" s="128">
        <v>1007.1829366977851</v>
      </c>
      <c r="AF46" s="128">
        <v>9.0</v>
      </c>
      <c r="AG46" s="128">
        <v>1009.0601747555702</v>
      </c>
      <c r="AH46" s="141" t="s">
        <v>112</v>
      </c>
      <c r="AI46" s="128">
        <v>1015.912278870164</v>
      </c>
      <c r="AJ46" s="128">
        <v>17.0</v>
      </c>
      <c r="AK46" s="142">
        <v>1017.8671037891451</v>
      </c>
      <c r="AL46" s="44" t="s">
        <v>92</v>
      </c>
      <c r="AM46" s="128">
        <v>1051.6378632479345</v>
      </c>
      <c r="AN46" s="128">
        <v>19.0</v>
      </c>
      <c r="AO46" s="128">
        <v>1053.606446207717</v>
      </c>
      <c r="AP46" s="143">
        <v>13.0</v>
      </c>
      <c r="AQ46" s="128">
        <v>15.0</v>
      </c>
      <c r="AR46" s="150" t="s">
        <v>250</v>
      </c>
      <c r="AS46" s="151" t="s">
        <v>232</v>
      </c>
      <c r="AT46" s="44">
        <v>45.0</v>
      </c>
      <c r="AU46" s="44"/>
      <c r="AV46" s="151"/>
      <c r="AW46" s="152"/>
      <c r="AX46" s="151"/>
      <c r="AY46" s="152"/>
      <c r="AZ46" s="152"/>
      <c r="BA46" s="152"/>
      <c r="BB46" s="153"/>
      <c r="BC46" s="152"/>
      <c r="BD46" s="151"/>
      <c r="BE46" s="152"/>
      <c r="BF46" s="151"/>
      <c r="BG46" s="152"/>
      <c r="BH46" s="152"/>
      <c r="BI46" s="152"/>
      <c r="BJ46" s="153"/>
      <c r="BK46" s="152"/>
    </row>
    <row r="47">
      <c r="A47" s="140">
        <v>44165.03055555555</v>
      </c>
      <c r="B47" s="141" t="s">
        <v>230</v>
      </c>
      <c r="C47" s="128">
        <v>947.9801364747082</v>
      </c>
      <c r="D47" s="128">
        <v>17.0</v>
      </c>
      <c r="E47" s="142">
        <v>947.9801364747082</v>
      </c>
      <c r="F47" s="44" t="s">
        <v>90</v>
      </c>
      <c r="G47" s="128">
        <v>959.2003640860994</v>
      </c>
      <c r="H47" s="128">
        <v>13.0</v>
      </c>
      <c r="I47" s="128">
        <v>959.2003640860994</v>
      </c>
      <c r="J47" s="141" t="s">
        <v>107</v>
      </c>
      <c r="K47" s="128">
        <v>961.8232064021038</v>
      </c>
      <c r="L47" s="128">
        <v>13.0</v>
      </c>
      <c r="M47" s="142">
        <v>961.8232064021038</v>
      </c>
      <c r="N47" s="44" t="s">
        <v>23</v>
      </c>
      <c r="O47" s="128">
        <v>1176.5838804971293</v>
      </c>
      <c r="P47" s="128">
        <v>20.0</v>
      </c>
      <c r="Q47" s="128">
        <v>1176.5838804971293</v>
      </c>
      <c r="R47" s="148"/>
      <c r="U47" s="149"/>
      <c r="V47" s="44" t="s">
        <v>47</v>
      </c>
      <c r="W47" s="128">
        <v>975.4080931099522</v>
      </c>
      <c r="X47" s="128">
        <v>26.0</v>
      </c>
      <c r="Y47" s="128">
        <v>975.4080931099522</v>
      </c>
      <c r="Z47" s="141" t="s">
        <v>245</v>
      </c>
      <c r="AA47" s="128">
        <v>1004.0192018984058</v>
      </c>
      <c r="AB47" s="128">
        <v>8.0</v>
      </c>
      <c r="AC47" s="142">
        <v>1004.0192018984058</v>
      </c>
      <c r="AD47" s="44" t="s">
        <v>112</v>
      </c>
      <c r="AE47" s="128">
        <v>1017.8671037891451</v>
      </c>
      <c r="AF47" s="128">
        <v>19.0</v>
      </c>
      <c r="AG47" s="128">
        <v>1017.8671037891451</v>
      </c>
      <c r="AH47" s="141" t="s">
        <v>92</v>
      </c>
      <c r="AI47" s="128">
        <v>1053.606446207717</v>
      </c>
      <c r="AJ47" s="128">
        <v>23.0</v>
      </c>
      <c r="AK47" s="142">
        <v>1053.606446207717</v>
      </c>
      <c r="AP47" s="143">
        <v>14.0</v>
      </c>
      <c r="AQ47" s="128">
        <v>14.0</v>
      </c>
      <c r="AR47" s="128"/>
      <c r="AS47" s="128"/>
      <c r="AT47" s="44">
        <v>46.0</v>
      </c>
      <c r="AU47" s="44"/>
      <c r="AV47" s="128"/>
      <c r="AW47" s="145"/>
      <c r="AX47" s="128"/>
      <c r="AY47" s="145"/>
      <c r="AZ47" s="145"/>
      <c r="BA47" s="145"/>
      <c r="BB47" s="146"/>
      <c r="BC47" s="145"/>
      <c r="BD47" s="128"/>
      <c r="BE47" s="145"/>
      <c r="BF47" s="128"/>
      <c r="BG47" s="145"/>
      <c r="BH47" s="145"/>
      <c r="BI47" s="145"/>
      <c r="BJ47" s="146"/>
      <c r="BK47" s="145"/>
    </row>
    <row r="48">
      <c r="A48" s="140">
        <v>44165.964583333334</v>
      </c>
      <c r="B48" s="141" t="s">
        <v>47</v>
      </c>
      <c r="C48" s="128">
        <v>975.4080931099522</v>
      </c>
      <c r="D48" s="128">
        <v>24.0</v>
      </c>
      <c r="E48" s="142">
        <v>986.4825519138076</v>
      </c>
      <c r="F48" s="44" t="s">
        <v>27</v>
      </c>
      <c r="G48" s="128">
        <v>987.369494320942</v>
      </c>
      <c r="H48" s="128">
        <v>32.0</v>
      </c>
      <c r="I48" s="128">
        <v>998.8513477577741</v>
      </c>
      <c r="J48" s="141" t="s">
        <v>228</v>
      </c>
      <c r="K48" s="128">
        <v>1009.0601747555702</v>
      </c>
      <c r="L48" s="128">
        <v>8.0</v>
      </c>
      <c r="M48" s="142">
        <v>1019.1753015622576</v>
      </c>
      <c r="N48" s="44" t="s">
        <v>92</v>
      </c>
      <c r="O48" s="128">
        <v>1053.606446207717</v>
      </c>
      <c r="P48" s="128">
        <v>31.0</v>
      </c>
      <c r="Q48" s="128">
        <v>1064.9350071603421</v>
      </c>
      <c r="R48" s="148"/>
      <c r="U48" s="149"/>
      <c r="V48" s="44" t="s">
        <v>224</v>
      </c>
      <c r="W48" s="128">
        <v>951.2553916616278</v>
      </c>
      <c r="X48" s="128">
        <v>3.0</v>
      </c>
      <c r="Y48" s="128">
        <v>939.5978042817133</v>
      </c>
      <c r="Z48" s="141" t="s">
        <v>90</v>
      </c>
      <c r="AA48" s="128">
        <v>959.2003640860994</v>
      </c>
      <c r="AB48" s="128">
        <v>17.0</v>
      </c>
      <c r="AC48" s="142">
        <v>948.2926634567859</v>
      </c>
      <c r="AD48" s="44" t="s">
        <v>123</v>
      </c>
      <c r="AE48" s="128">
        <v>971.8564390517624</v>
      </c>
      <c r="AF48" s="128">
        <v>11.0</v>
      </c>
      <c r="AG48" s="128">
        <v>960.5896318888692</v>
      </c>
      <c r="AH48" s="141" t="s">
        <v>23</v>
      </c>
      <c r="AI48" s="128">
        <v>1176.5838804971293</v>
      </c>
      <c r="AJ48" s="128">
        <v>33.0</v>
      </c>
      <c r="AK48" s="142">
        <v>1166.4159756692504</v>
      </c>
      <c r="AP48" s="143">
        <v>20.0</v>
      </c>
      <c r="AQ48" s="128">
        <v>8.0</v>
      </c>
      <c r="AR48" s="128"/>
      <c r="AS48" s="128"/>
      <c r="AT48" s="44">
        <v>47.0</v>
      </c>
      <c r="AU48" s="44"/>
      <c r="AV48" s="128"/>
      <c r="AW48" s="145"/>
      <c r="AX48" s="128"/>
      <c r="AY48" s="145"/>
      <c r="AZ48" s="145"/>
      <c r="BA48" s="145"/>
      <c r="BB48" s="146"/>
      <c r="BC48" s="145"/>
      <c r="BD48" s="128"/>
      <c r="BE48" s="145"/>
      <c r="BF48" s="128"/>
      <c r="BG48" s="145"/>
      <c r="BH48" s="145"/>
      <c r="BI48" s="145"/>
      <c r="BJ48" s="146"/>
      <c r="BK48" s="145"/>
    </row>
    <row r="49">
      <c r="A49" s="154">
        <v>44166.027083333334</v>
      </c>
      <c r="B49" s="141" t="s">
        <v>123</v>
      </c>
      <c r="C49" s="128">
        <v>960.5896318888692</v>
      </c>
      <c r="D49" s="128">
        <v>11.0</v>
      </c>
      <c r="E49" s="142">
        <v>965.3941270080593</v>
      </c>
      <c r="F49" s="44" t="s">
        <v>27</v>
      </c>
      <c r="G49" s="128">
        <v>998.8513477577741</v>
      </c>
      <c r="H49" s="128">
        <v>26.0</v>
      </c>
      <c r="I49" s="128">
        <v>1003.9894549204665</v>
      </c>
      <c r="J49" s="141" t="s">
        <v>112</v>
      </c>
      <c r="K49" s="128">
        <v>1017.8671037891451</v>
      </c>
      <c r="L49" s="128">
        <v>27.0</v>
      </c>
      <c r="M49" s="142">
        <v>1023.0167147261983</v>
      </c>
      <c r="N49" s="44" t="s">
        <v>92</v>
      </c>
      <c r="O49" s="128">
        <v>1064.9350071603421</v>
      </c>
      <c r="P49" s="128">
        <v>18.0</v>
      </c>
      <c r="Q49" s="128">
        <v>1069.8427939414064</v>
      </c>
      <c r="R49" s="148"/>
      <c r="U49" s="149"/>
      <c r="V49" s="44" t="s">
        <v>224</v>
      </c>
      <c r="W49" s="128">
        <v>939.5978042817133</v>
      </c>
      <c r="X49" s="128">
        <v>4.0</v>
      </c>
      <c r="Y49" s="128">
        <v>934.283794141538</v>
      </c>
      <c r="Z49" s="141" t="s">
        <v>230</v>
      </c>
      <c r="AA49" s="128">
        <v>947.9801364747082</v>
      </c>
      <c r="AB49" s="128">
        <v>18.0</v>
      </c>
      <c r="AC49" s="142">
        <v>943.0040995949638</v>
      </c>
      <c r="AD49" s="44" t="s">
        <v>47</v>
      </c>
      <c r="AE49" s="128">
        <v>986.4825519138076</v>
      </c>
      <c r="AF49" s="128">
        <v>21.0</v>
      </c>
      <c r="AG49" s="128">
        <v>981.536513651554</v>
      </c>
      <c r="AH49" s="141" t="s">
        <v>23</v>
      </c>
      <c r="AI49" s="128">
        <v>1166.4159756692504</v>
      </c>
      <c r="AJ49" s="128">
        <v>30.0</v>
      </c>
      <c r="AK49" s="142">
        <v>1161.6520609514237</v>
      </c>
      <c r="AP49" s="143">
        <v>17.0</v>
      </c>
      <c r="AQ49" s="128">
        <v>11.0</v>
      </c>
      <c r="AR49" s="128"/>
      <c r="AS49" s="128"/>
      <c r="AT49" s="44">
        <v>48.0</v>
      </c>
      <c r="AU49" s="44"/>
      <c r="AV49" s="128"/>
      <c r="AW49" s="145"/>
      <c r="AX49" s="128"/>
      <c r="AY49" s="145"/>
      <c r="AZ49" s="145"/>
      <c r="BA49" s="145"/>
      <c r="BB49" s="146"/>
      <c r="BC49" s="145"/>
      <c r="BD49" s="128"/>
      <c r="BE49" s="145"/>
      <c r="BF49" s="128"/>
      <c r="BG49" s="145"/>
      <c r="BH49" s="145"/>
      <c r="BI49" s="145"/>
      <c r="BJ49" s="146"/>
      <c r="BK49" s="145"/>
    </row>
    <row r="50">
      <c r="A50" s="154">
        <v>44166.96388888889</v>
      </c>
      <c r="B50" s="141" t="s">
        <v>123</v>
      </c>
      <c r="C50" s="128">
        <v>965.3941270080593</v>
      </c>
      <c r="D50" s="128">
        <v>14.0</v>
      </c>
      <c r="E50" s="142">
        <v>960.3007546294799</v>
      </c>
      <c r="F50" s="44" t="s">
        <v>47</v>
      </c>
      <c r="G50" s="128">
        <v>981.536513651554</v>
      </c>
      <c r="H50" s="128">
        <v>15.0</v>
      </c>
      <c r="I50" s="128">
        <v>976.4507485356737</v>
      </c>
      <c r="J50" s="141" t="s">
        <v>112</v>
      </c>
      <c r="K50" s="128">
        <v>1023.0167147261983</v>
      </c>
      <c r="L50" s="128">
        <v>30.0</v>
      </c>
      <c r="M50" s="142">
        <v>1018.2756156830333</v>
      </c>
      <c r="N50" s="44" t="s">
        <v>92</v>
      </c>
      <c r="O50" s="128">
        <v>1069.8427939414064</v>
      </c>
      <c r="P50" s="128">
        <v>17.0</v>
      </c>
      <c r="Q50" s="128">
        <v>1064.763030479031</v>
      </c>
      <c r="R50" s="148"/>
      <c r="U50" s="149"/>
      <c r="V50" s="44" t="s">
        <v>230</v>
      </c>
      <c r="W50" s="128">
        <v>943.0040995949638</v>
      </c>
      <c r="X50" s="128">
        <v>25.0</v>
      </c>
      <c r="Y50" s="128">
        <v>948.1545083900926</v>
      </c>
      <c r="Z50" s="141" t="s">
        <v>90</v>
      </c>
      <c r="AA50" s="128">
        <v>948.2926634567859</v>
      </c>
      <c r="AB50" s="128">
        <v>18.0</v>
      </c>
      <c r="AC50" s="142">
        <v>953.2596412850475</v>
      </c>
      <c r="AD50" s="44" t="s">
        <v>248</v>
      </c>
      <c r="AE50" s="128">
        <v>988.8636490987855</v>
      </c>
      <c r="AF50" s="128">
        <v>12.0</v>
      </c>
      <c r="AG50" s="128">
        <v>993.6279593768835</v>
      </c>
      <c r="AH50" s="141" t="s">
        <v>23</v>
      </c>
      <c r="AI50" s="128">
        <v>1161.6520609514237</v>
      </c>
      <c r="AJ50" s="128">
        <v>28.0</v>
      </c>
      <c r="AK50" s="142">
        <v>1166.7703640499353</v>
      </c>
      <c r="AP50" s="143">
        <v>11.0</v>
      </c>
      <c r="AQ50" s="128">
        <v>17.0</v>
      </c>
      <c r="AR50" s="128"/>
      <c r="AS50" s="128"/>
      <c r="AT50" s="44">
        <v>49.0</v>
      </c>
      <c r="AU50" s="44"/>
      <c r="AV50" s="128"/>
      <c r="AW50" s="145"/>
      <c r="AX50" s="128"/>
      <c r="AY50" s="145"/>
      <c r="AZ50" s="145"/>
      <c r="BA50" s="145"/>
      <c r="BB50" s="146"/>
      <c r="BC50" s="145"/>
      <c r="BD50" s="128"/>
      <c r="BE50" s="145"/>
      <c r="BF50" s="128"/>
      <c r="BG50" s="145"/>
      <c r="BH50" s="145"/>
      <c r="BI50" s="145"/>
      <c r="BJ50" s="146"/>
      <c r="BK50" s="145"/>
    </row>
    <row r="51">
      <c r="A51" s="154">
        <v>44167.018055555556</v>
      </c>
      <c r="B51" s="141" t="s">
        <v>230</v>
      </c>
      <c r="C51" s="128">
        <v>948.1545083900926</v>
      </c>
      <c r="D51" s="128">
        <v>10.0</v>
      </c>
      <c r="E51" s="142">
        <v>943.3432792195243</v>
      </c>
      <c r="F51" s="44" t="s">
        <v>90</v>
      </c>
      <c r="G51" s="128">
        <v>953.2596412850475</v>
      </c>
      <c r="H51" s="128">
        <v>23.0</v>
      </c>
      <c r="I51" s="128">
        <v>948.7523395765451</v>
      </c>
      <c r="J51" s="141" t="s">
        <v>123</v>
      </c>
      <c r="K51" s="128">
        <v>960.3007546294799</v>
      </c>
      <c r="L51" s="128">
        <v>6.0</v>
      </c>
      <c r="M51" s="142">
        <v>955.3833817137564</v>
      </c>
      <c r="N51" s="44" t="s">
        <v>47</v>
      </c>
      <c r="O51" s="128">
        <v>976.4507485356737</v>
      </c>
      <c r="P51" s="128">
        <v>13.0</v>
      </c>
      <c r="Q51" s="128">
        <v>971.6866523304678</v>
      </c>
      <c r="R51" s="148"/>
      <c r="U51" s="149"/>
      <c r="V51" s="44" t="s">
        <v>112</v>
      </c>
      <c r="W51" s="128">
        <v>1018.2756156830333</v>
      </c>
      <c r="X51" s="128">
        <v>26.0</v>
      </c>
      <c r="Y51" s="128">
        <v>1024.5763535743026</v>
      </c>
      <c r="Z51" s="141" t="s">
        <v>92</v>
      </c>
      <c r="AA51" s="128">
        <v>1064.763030479031</v>
      </c>
      <c r="AB51" s="128">
        <v>20.0</v>
      </c>
      <c r="AC51" s="142">
        <v>1070.8468129980351</v>
      </c>
      <c r="AD51" s="44" t="s">
        <v>23</v>
      </c>
      <c r="AE51" s="128">
        <v>1166.7703640499353</v>
      </c>
      <c r="AF51" s="128">
        <v>37.0</v>
      </c>
      <c r="AG51" s="128">
        <v>1173.3858436396615</v>
      </c>
      <c r="AH51" s="148"/>
      <c r="AK51" s="149"/>
      <c r="AP51" s="143">
        <v>13.0</v>
      </c>
      <c r="AQ51" s="128">
        <v>15.0</v>
      </c>
      <c r="AR51" s="128"/>
      <c r="AS51" s="128"/>
      <c r="AT51" s="44">
        <v>50.0</v>
      </c>
      <c r="AU51" s="44"/>
      <c r="AV51" s="128"/>
      <c r="AW51" s="145"/>
      <c r="AX51" s="128"/>
      <c r="AY51" s="145"/>
      <c r="AZ51" s="145"/>
      <c r="BA51" s="145"/>
      <c r="BB51" s="146"/>
      <c r="BC51" s="145"/>
      <c r="BD51" s="128"/>
      <c r="BE51" s="145"/>
      <c r="BF51" s="128"/>
      <c r="BG51" s="145"/>
      <c r="BH51" s="145"/>
      <c r="BI51" s="145"/>
      <c r="BJ51" s="146"/>
      <c r="BK51" s="145"/>
    </row>
    <row r="52">
      <c r="A52" s="154">
        <v>44167.98819444444</v>
      </c>
      <c r="B52" s="141" t="s">
        <v>230</v>
      </c>
      <c r="C52" s="128">
        <v>943.3432792195243</v>
      </c>
      <c r="D52" s="128">
        <v>21.0</v>
      </c>
      <c r="E52" s="142">
        <v>953.6036778473164</v>
      </c>
      <c r="F52" s="44" t="s">
        <v>123</v>
      </c>
      <c r="G52" s="128">
        <v>955.3833817137564</v>
      </c>
      <c r="H52" s="128">
        <v>19.0</v>
      </c>
      <c r="I52" s="128">
        <v>965.5028357443396</v>
      </c>
      <c r="J52" s="141" t="s">
        <v>47</v>
      </c>
      <c r="K52" s="128">
        <v>971.6866523304678</v>
      </c>
      <c r="L52" s="128">
        <v>17.0</v>
      </c>
      <c r="M52" s="142">
        <v>981.6575101169799</v>
      </c>
      <c r="N52" s="44" t="s">
        <v>23</v>
      </c>
      <c r="O52" s="128">
        <v>1173.3858436396615</v>
      </c>
      <c r="P52" s="128">
        <v>33.0</v>
      </c>
      <c r="Q52" s="128">
        <v>1184.0351331947743</v>
      </c>
      <c r="R52" s="148"/>
      <c r="U52" s="149"/>
      <c r="V52" s="44" t="s">
        <v>90</v>
      </c>
      <c r="W52" s="128">
        <v>948.7523395765451</v>
      </c>
      <c r="X52" s="128">
        <v>19.0</v>
      </c>
      <c r="Y52" s="128">
        <v>938.6953754379807</v>
      </c>
      <c r="Z52" s="141" t="s">
        <v>27</v>
      </c>
      <c r="AA52" s="128">
        <v>1003.9894549204665</v>
      </c>
      <c r="AB52" s="128">
        <v>19.0</v>
      </c>
      <c r="AC52" s="142">
        <v>993.8340955462504</v>
      </c>
      <c r="AD52" s="44" t="s">
        <v>112</v>
      </c>
      <c r="AE52" s="128">
        <v>1024.5763535743026</v>
      </c>
      <c r="AF52" s="128">
        <v>15.0</v>
      </c>
      <c r="AG52" s="128">
        <v>1014.1945693731273</v>
      </c>
      <c r="AH52" s="141" t="s">
        <v>92</v>
      </c>
      <c r="AI52" s="128">
        <v>1070.8468129980351</v>
      </c>
      <c r="AJ52" s="128">
        <v>15.0</v>
      </c>
      <c r="AK52" s="142">
        <v>1060.4409207119909</v>
      </c>
      <c r="AP52" s="143">
        <v>20.0</v>
      </c>
      <c r="AQ52" s="128">
        <v>8.0</v>
      </c>
      <c r="AR52" s="128"/>
      <c r="AS52" s="128"/>
      <c r="AT52" s="44">
        <v>51.0</v>
      </c>
      <c r="AU52" s="44"/>
      <c r="AV52" s="128"/>
      <c r="AW52" s="145"/>
      <c r="AX52" s="128"/>
      <c r="AY52" s="145"/>
      <c r="AZ52" s="145"/>
      <c r="BA52" s="145"/>
      <c r="BB52" s="146"/>
      <c r="BC52" s="145"/>
      <c r="BD52" s="128"/>
      <c r="BE52" s="145"/>
      <c r="BF52" s="128"/>
      <c r="BG52" s="145"/>
      <c r="BH52" s="145"/>
      <c r="BI52" s="145"/>
      <c r="BJ52" s="146"/>
      <c r="BK52" s="145"/>
    </row>
    <row r="53">
      <c r="A53" s="154">
        <v>44168.02361111111</v>
      </c>
      <c r="B53" s="141" t="s">
        <v>90</v>
      </c>
      <c r="C53" s="128">
        <v>938.6953754379807</v>
      </c>
      <c r="D53" s="128">
        <v>19.0</v>
      </c>
      <c r="E53" s="142">
        <v>938.6953754379807</v>
      </c>
      <c r="F53" s="44" t="s">
        <v>230</v>
      </c>
      <c r="G53" s="128">
        <v>953.6036778473164</v>
      </c>
      <c r="H53" s="128">
        <v>13.0</v>
      </c>
      <c r="I53" s="128">
        <v>953.6036778473164</v>
      </c>
      <c r="J53" s="141" t="s">
        <v>92</v>
      </c>
      <c r="K53" s="128">
        <v>1060.4409207119909</v>
      </c>
      <c r="L53" s="128">
        <v>23.0</v>
      </c>
      <c r="M53" s="142">
        <v>1060.4409207119909</v>
      </c>
      <c r="R53" s="148"/>
      <c r="U53" s="149"/>
      <c r="V53" s="44" t="s">
        <v>123</v>
      </c>
      <c r="W53" s="128">
        <v>965.5028357443396</v>
      </c>
      <c r="X53" s="128">
        <v>12.0</v>
      </c>
      <c r="Y53" s="128">
        <v>965.5028357443396</v>
      </c>
      <c r="Z53" s="141" t="s">
        <v>47</v>
      </c>
      <c r="AA53" s="128">
        <v>981.6575101169799</v>
      </c>
      <c r="AB53" s="128">
        <v>18.0</v>
      </c>
      <c r="AC53" s="142">
        <v>981.6575101169799</v>
      </c>
      <c r="AD53" s="44" t="s">
        <v>112</v>
      </c>
      <c r="AE53" s="128">
        <v>1014.1945693731273</v>
      </c>
      <c r="AF53" s="128">
        <v>28.0</v>
      </c>
      <c r="AG53" s="128">
        <v>1014.1945693731273</v>
      </c>
      <c r="AH53" s="148"/>
      <c r="AK53" s="149"/>
      <c r="AP53" s="143">
        <v>14.0</v>
      </c>
      <c r="AQ53" s="128">
        <v>14.0</v>
      </c>
      <c r="AR53" s="128"/>
      <c r="AS53" s="128"/>
      <c r="AT53" s="44">
        <v>52.0</v>
      </c>
      <c r="AU53" s="44"/>
      <c r="AV53" s="128"/>
      <c r="AW53" s="145"/>
      <c r="AX53" s="128"/>
      <c r="AY53" s="145"/>
      <c r="AZ53" s="145"/>
      <c r="BA53" s="145"/>
      <c r="BB53" s="146"/>
      <c r="BC53" s="145"/>
      <c r="BD53" s="128"/>
      <c r="BE53" s="145"/>
      <c r="BF53" s="128"/>
      <c r="BG53" s="145"/>
      <c r="BH53" s="145"/>
      <c r="BI53" s="145"/>
      <c r="BJ53" s="146"/>
      <c r="BK53" s="145"/>
    </row>
    <row r="54">
      <c r="A54" s="154">
        <v>44168.97361111111</v>
      </c>
      <c r="B54" s="141" t="s">
        <v>224</v>
      </c>
      <c r="C54" s="128">
        <v>934.283794141538</v>
      </c>
      <c r="D54" s="128">
        <v>6.0</v>
      </c>
      <c r="E54" s="142">
        <v>938.0189063331632</v>
      </c>
      <c r="F54" s="44" t="s">
        <v>90</v>
      </c>
      <c r="G54" s="128">
        <v>938.6953754379807</v>
      </c>
      <c r="H54" s="128">
        <v>20.0</v>
      </c>
      <c r="I54" s="128">
        <v>942.7048280397087</v>
      </c>
      <c r="J54" s="141" t="s">
        <v>230</v>
      </c>
      <c r="K54" s="128">
        <v>953.6036778473164</v>
      </c>
      <c r="L54" s="128">
        <v>21.0</v>
      </c>
      <c r="M54" s="142">
        <v>957.6152356434822</v>
      </c>
      <c r="N54" s="44" t="s">
        <v>47</v>
      </c>
      <c r="O54" s="128">
        <v>981.6575101169799</v>
      </c>
      <c r="P54" s="128">
        <v>22.0</v>
      </c>
      <c r="Q54" s="128">
        <v>985.6610951935667</v>
      </c>
      <c r="R54" s="141" t="s">
        <v>23</v>
      </c>
      <c r="S54" s="128">
        <v>1184.0351331947743</v>
      </c>
      <c r="T54" s="128">
        <v>36.0</v>
      </c>
      <c r="U54" s="142">
        <v>1188.2754255286686</v>
      </c>
      <c r="V54" s="44" t="s">
        <v>107</v>
      </c>
      <c r="W54" s="128">
        <v>961.8232064021038</v>
      </c>
      <c r="X54" s="128">
        <v>16.0</v>
      </c>
      <c r="Y54" s="128">
        <v>957.8082788693539</v>
      </c>
      <c r="Z54" s="141" t="s">
        <v>123</v>
      </c>
      <c r="AA54" s="128">
        <v>965.5028357443396</v>
      </c>
      <c r="AB54" s="128">
        <v>8.0</v>
      </c>
      <c r="AC54" s="142">
        <v>961.3248459718754</v>
      </c>
      <c r="AD54" s="44" t="s">
        <v>27</v>
      </c>
      <c r="AE54" s="128">
        <v>993.8340955462504</v>
      </c>
      <c r="AF54" s="128">
        <v>22.0</v>
      </c>
      <c r="AG54" s="128">
        <v>989.9161798864302</v>
      </c>
      <c r="AH54" s="141" t="s">
        <v>112</v>
      </c>
      <c r="AI54" s="128">
        <v>1014.1945693731273</v>
      </c>
      <c r="AJ54" s="128">
        <v>25.0</v>
      </c>
      <c r="AK54" s="142">
        <v>1010.3263391004269</v>
      </c>
      <c r="AL54" s="44" t="s">
        <v>92</v>
      </c>
      <c r="AM54" s="128">
        <v>1060.4409207119909</v>
      </c>
      <c r="AN54" s="128">
        <v>18.0</v>
      </c>
      <c r="AO54" s="128">
        <v>1056.4199839497255</v>
      </c>
      <c r="AP54" s="143">
        <v>17.0</v>
      </c>
      <c r="AQ54" s="128">
        <v>11.0</v>
      </c>
      <c r="AT54" s="44">
        <v>53.0</v>
      </c>
      <c r="AU54" s="44"/>
      <c r="AW54" s="93"/>
      <c r="AY54" s="93"/>
      <c r="AZ54" s="93"/>
      <c r="BA54" s="93"/>
      <c r="BB54" s="155"/>
      <c r="BC54" s="93"/>
      <c r="BE54" s="93"/>
      <c r="BG54" s="93"/>
      <c r="BH54" s="93"/>
      <c r="BI54" s="93"/>
      <c r="BJ54" s="155"/>
      <c r="BK54" s="93"/>
    </row>
    <row r="55">
      <c r="A55" s="154">
        <v>44169.01944444444</v>
      </c>
      <c r="B55" s="141" t="s">
        <v>90</v>
      </c>
      <c r="C55" s="128">
        <v>942.7048280397087</v>
      </c>
      <c r="D55" s="128">
        <v>17.0</v>
      </c>
      <c r="E55" s="142">
        <v>944.9184712771091</v>
      </c>
      <c r="F55" s="44" t="s">
        <v>230</v>
      </c>
      <c r="G55" s="128">
        <v>957.6152356434822</v>
      </c>
      <c r="H55" s="128">
        <v>23.0</v>
      </c>
      <c r="I55" s="128">
        <v>959.8864282374162</v>
      </c>
      <c r="J55" s="141" t="s">
        <v>107</v>
      </c>
      <c r="K55" s="128">
        <v>957.8082788693539</v>
      </c>
      <c r="L55" s="128">
        <v>14.0</v>
      </c>
      <c r="M55" s="142">
        <v>959.9781003429216</v>
      </c>
      <c r="N55" s="44" t="s">
        <v>23</v>
      </c>
      <c r="O55" s="128">
        <v>1188.2754255286686</v>
      </c>
      <c r="P55" s="128">
        <v>33.0</v>
      </c>
      <c r="Q55" s="128">
        <v>1190.6207682237664</v>
      </c>
      <c r="R55" s="148"/>
      <c r="U55" s="149"/>
      <c r="V55" s="44" t="s">
        <v>123</v>
      </c>
      <c r="W55" s="128">
        <v>961.3248459718754</v>
      </c>
      <c r="X55" s="128">
        <v>4.0</v>
      </c>
      <c r="Y55" s="128">
        <v>958.9312403374868</v>
      </c>
      <c r="Z55" s="141" t="s">
        <v>27</v>
      </c>
      <c r="AA55" s="128">
        <v>989.9161798864302</v>
      </c>
      <c r="AB55" s="128">
        <v>22.0</v>
      </c>
      <c r="AC55" s="142">
        <v>987.7132491619711</v>
      </c>
      <c r="AD55" s="44" t="s">
        <v>112</v>
      </c>
      <c r="AE55" s="128">
        <v>1010.3263391004269</v>
      </c>
      <c r="AF55" s="128">
        <v>24.0</v>
      </c>
      <c r="AG55" s="128">
        <v>1008.1397404078274</v>
      </c>
      <c r="AH55" s="141" t="s">
        <v>92</v>
      </c>
      <c r="AI55" s="128">
        <v>1056.4199839497255</v>
      </c>
      <c r="AJ55" s="128">
        <v>22.0</v>
      </c>
      <c r="AK55" s="142">
        <v>1054.2031190011728</v>
      </c>
      <c r="AP55" s="143">
        <v>15.0</v>
      </c>
      <c r="AQ55" s="128">
        <v>13.0</v>
      </c>
      <c r="AT55" s="44">
        <v>54.0</v>
      </c>
      <c r="AU55" s="44"/>
      <c r="AW55" s="93"/>
      <c r="AY55" s="93"/>
      <c r="AZ55" s="93"/>
      <c r="BA55" s="93"/>
      <c r="BB55" s="155"/>
      <c r="BC55" s="93"/>
      <c r="BE55" s="93"/>
      <c r="BG55" s="93"/>
      <c r="BH55" s="93"/>
      <c r="BI55" s="93"/>
      <c r="BJ55" s="155"/>
      <c r="BK55" s="93"/>
    </row>
    <row r="56">
      <c r="A56" s="154">
        <v>44169.97430555556</v>
      </c>
      <c r="B56" s="141" t="s">
        <v>123</v>
      </c>
      <c r="C56" s="128">
        <v>958.9312403374868</v>
      </c>
      <c r="D56" s="128">
        <v>20.0</v>
      </c>
      <c r="E56" s="142">
        <v>962.2043000726615</v>
      </c>
      <c r="F56" s="44" t="s">
        <v>47</v>
      </c>
      <c r="G56" s="128">
        <v>985.6610951935667</v>
      </c>
      <c r="H56" s="128">
        <v>26.0</v>
      </c>
      <c r="I56" s="128">
        <v>989.0101695994794</v>
      </c>
      <c r="J56" s="141" t="s">
        <v>23</v>
      </c>
      <c r="K56" s="128">
        <v>1190.6207682237664</v>
      </c>
      <c r="L56" s="128">
        <v>30.0</v>
      </c>
      <c r="M56" s="142">
        <v>1193.998634082679</v>
      </c>
      <c r="R56" s="148"/>
      <c r="U56" s="149"/>
      <c r="V56" s="44" t="s">
        <v>224</v>
      </c>
      <c r="W56" s="128">
        <v>938.0189063331632</v>
      </c>
      <c r="X56" s="128">
        <v>5.0</v>
      </c>
      <c r="Y56" s="128">
        <v>935.4252801650707</v>
      </c>
      <c r="Z56" s="141" t="s">
        <v>90</v>
      </c>
      <c r="AA56" s="128">
        <v>944.9184712771091</v>
      </c>
      <c r="AB56" s="128">
        <v>9.0</v>
      </c>
      <c r="AC56" s="142">
        <v>942.3714394110672</v>
      </c>
      <c r="AD56" s="44" t="s">
        <v>112</v>
      </c>
      <c r="AE56" s="128">
        <v>1008.1397404078274</v>
      </c>
      <c r="AF56" s="128">
        <v>24.0</v>
      </c>
      <c r="AG56" s="128">
        <v>1005.7574117786234</v>
      </c>
      <c r="AH56" s="141" t="s">
        <v>92</v>
      </c>
      <c r="AI56" s="128">
        <v>1054.2031190011728</v>
      </c>
      <c r="AJ56" s="128">
        <v>17.0</v>
      </c>
      <c r="AK56" s="142">
        <v>1051.7261056645114</v>
      </c>
      <c r="AP56" s="143">
        <v>14.0</v>
      </c>
      <c r="AQ56" s="128">
        <v>14.0</v>
      </c>
      <c r="AR56" s="44" t="s">
        <v>251</v>
      </c>
      <c r="AS56" s="44" t="s">
        <v>229</v>
      </c>
      <c r="AT56" s="44">
        <v>55.0</v>
      </c>
      <c r="AU56" s="44"/>
      <c r="AV56" s="44"/>
      <c r="AW56" s="145"/>
      <c r="AX56" s="44"/>
      <c r="AY56" s="145"/>
      <c r="AZ56" s="145"/>
      <c r="BA56" s="145"/>
      <c r="BB56" s="146"/>
      <c r="BC56" s="145"/>
      <c r="BD56" s="44"/>
      <c r="BE56" s="145"/>
      <c r="BF56" s="44"/>
      <c r="BG56" s="145"/>
      <c r="BH56" s="145"/>
      <c r="BI56" s="145"/>
      <c r="BJ56" s="146"/>
      <c r="BK56" s="145"/>
    </row>
    <row r="57">
      <c r="A57" s="154">
        <v>44170.024305555555</v>
      </c>
      <c r="B57" s="141" t="s">
        <v>123</v>
      </c>
      <c r="C57" s="128">
        <v>962.2043000726615</v>
      </c>
      <c r="D57" s="128">
        <v>15.0</v>
      </c>
      <c r="E57" s="142">
        <v>967.3073444953118</v>
      </c>
      <c r="F57" s="44" t="s">
        <v>47</v>
      </c>
      <c r="G57" s="128">
        <v>989.0101695994794</v>
      </c>
      <c r="H57" s="128">
        <v>24.0</v>
      </c>
      <c r="I57" s="128">
        <v>994.3183466550889</v>
      </c>
      <c r="J57" s="141" t="s">
        <v>112</v>
      </c>
      <c r="K57" s="128">
        <v>1005.7574117786234</v>
      </c>
      <c r="L57" s="128">
        <v>29.0</v>
      </c>
      <c r="M57" s="142">
        <v>1011.1820145427109</v>
      </c>
      <c r="N57" s="44" t="s">
        <v>92</v>
      </c>
      <c r="O57" s="128">
        <v>1051.7261056645114</v>
      </c>
      <c r="P57" s="128">
        <v>20.0</v>
      </c>
      <c r="Q57" s="128">
        <v>1056.890281422164</v>
      </c>
      <c r="R57" s="148"/>
      <c r="U57" s="149"/>
      <c r="V57" s="44" t="s">
        <v>224</v>
      </c>
      <c r="W57" s="128">
        <v>935.4252801650707</v>
      </c>
      <c r="X57" s="128">
        <v>3.0</v>
      </c>
      <c r="Y57" s="128">
        <v>929.829923877467</v>
      </c>
      <c r="Z57" s="141" t="s">
        <v>90</v>
      </c>
      <c r="AA57" s="128">
        <v>942.3714394110672</v>
      </c>
      <c r="AB57" s="128">
        <v>17.0</v>
      </c>
      <c r="AC57" s="142">
        <v>937.1342090266673</v>
      </c>
      <c r="AD57" s="44" t="s">
        <v>107</v>
      </c>
      <c r="AE57" s="128">
        <v>959.9781003429216</v>
      </c>
      <c r="AF57" s="128">
        <v>21.0</v>
      </c>
      <c r="AG57" s="128">
        <v>954.8241353740397</v>
      </c>
      <c r="AH57" s="141" t="s">
        <v>23</v>
      </c>
      <c r="AI57" s="128">
        <v>1193.998634082679</v>
      </c>
      <c r="AJ57" s="128">
        <v>29.0</v>
      </c>
      <c r="AK57" s="142">
        <v>1188.9851857235644</v>
      </c>
      <c r="AP57" s="143">
        <v>16.0</v>
      </c>
      <c r="AQ57" s="128">
        <v>12.0</v>
      </c>
      <c r="AR57" s="44" t="s">
        <v>252</v>
      </c>
      <c r="AS57" s="44" t="s">
        <v>253</v>
      </c>
      <c r="AT57" s="44">
        <v>56.0</v>
      </c>
      <c r="AU57" s="44"/>
      <c r="AV57" s="44"/>
      <c r="AW57" s="145"/>
      <c r="AX57" s="44"/>
      <c r="AY57" s="145"/>
      <c r="AZ57" s="145"/>
      <c r="BA57" s="145"/>
      <c r="BB57" s="146"/>
      <c r="BC57" s="145"/>
      <c r="BD57" s="44"/>
      <c r="BE57" s="145"/>
      <c r="BF57" s="44"/>
      <c r="BG57" s="145"/>
      <c r="BH57" s="145"/>
      <c r="BI57" s="145"/>
      <c r="BJ57" s="146"/>
      <c r="BK57" s="145"/>
    </row>
    <row r="58">
      <c r="A58" s="154">
        <v>44170.08611111111</v>
      </c>
      <c r="B58" s="141" t="s">
        <v>107</v>
      </c>
      <c r="C58" s="128">
        <v>954.8241353740397</v>
      </c>
      <c r="D58" s="128">
        <v>16.0</v>
      </c>
      <c r="E58" s="142">
        <v>955.0748526972033</v>
      </c>
      <c r="F58" s="44" t="s">
        <v>230</v>
      </c>
      <c r="G58" s="128">
        <v>959.8864282374162</v>
      </c>
      <c r="H58" s="128">
        <v>17.0</v>
      </c>
      <c r="I58" s="128">
        <v>960.138140772765</v>
      </c>
      <c r="J58" s="141" t="s">
        <v>47</v>
      </c>
      <c r="K58" s="128">
        <v>994.3183466550889</v>
      </c>
      <c r="L58" s="128">
        <v>19.0</v>
      </c>
      <c r="M58" s="142">
        <v>994.571132281364</v>
      </c>
      <c r="N58" s="44" t="s">
        <v>112</v>
      </c>
      <c r="O58" s="128">
        <v>1011.1820145427109</v>
      </c>
      <c r="P58" s="128">
        <v>13.0</v>
      </c>
      <c r="Q58" s="128">
        <v>1011.4267990579235</v>
      </c>
      <c r="R58" s="148"/>
      <c r="U58" s="149"/>
      <c r="V58" s="44" t="s">
        <v>224</v>
      </c>
      <c r="W58" s="128">
        <v>929.829923877467</v>
      </c>
      <c r="X58" s="128">
        <v>2.0</v>
      </c>
      <c r="Y58" s="128">
        <v>929.4690178075789</v>
      </c>
      <c r="Z58" s="141" t="s">
        <v>92</v>
      </c>
      <c r="AA58" s="128">
        <v>1056.890281422164</v>
      </c>
      <c r="AB58" s="128">
        <v>26.0</v>
      </c>
      <c r="AC58" s="142">
        <v>1056.561803880805</v>
      </c>
      <c r="AD58" s="44" t="s">
        <v>23</v>
      </c>
      <c r="AE58" s="128">
        <v>1188.9851857235644</v>
      </c>
      <c r="AF58" s="128">
        <v>37.0</v>
      </c>
      <c r="AG58" s="128">
        <v>1188.6745693348114</v>
      </c>
      <c r="AH58" s="141"/>
      <c r="AK58" s="142"/>
      <c r="AP58" s="143">
        <v>19.0</v>
      </c>
      <c r="AQ58" s="128">
        <v>9.0</v>
      </c>
      <c r="AT58" s="44">
        <v>57.0</v>
      </c>
      <c r="AU58" s="44"/>
      <c r="AW58" s="93"/>
      <c r="AY58" s="93"/>
      <c r="AZ58" s="93"/>
      <c r="BA58" s="93"/>
      <c r="BB58" s="155"/>
      <c r="BC58" s="93"/>
      <c r="BE58" s="93"/>
      <c r="BG58" s="93"/>
      <c r="BH58" s="93"/>
      <c r="BI58" s="93"/>
      <c r="BJ58" s="155"/>
      <c r="BK58" s="93"/>
    </row>
    <row r="59">
      <c r="A59" s="154">
        <v>44171.03958333333</v>
      </c>
      <c r="B59" s="141" t="s">
        <v>47</v>
      </c>
      <c r="C59" s="128">
        <v>994.571132281364</v>
      </c>
      <c r="D59" s="128">
        <v>21.0</v>
      </c>
      <c r="E59" s="142">
        <v>991.9838072096649</v>
      </c>
      <c r="F59" s="44" t="s">
        <v>112</v>
      </c>
      <c r="G59" s="128">
        <v>1011.4267990579235</v>
      </c>
      <c r="H59" s="128">
        <v>16.0</v>
      </c>
      <c r="I59" s="128">
        <v>1008.7680270151036</v>
      </c>
      <c r="J59" s="141" t="s">
        <v>228</v>
      </c>
      <c r="K59" s="128">
        <v>1019.1753015622576</v>
      </c>
      <c r="L59" s="128">
        <v>9.0</v>
      </c>
      <c r="M59" s="142">
        <v>1016.4213986767766</v>
      </c>
      <c r="R59" s="148"/>
      <c r="U59" s="149"/>
      <c r="V59" s="44" t="s">
        <v>90</v>
      </c>
      <c r="W59" s="128">
        <v>937.1342090266673</v>
      </c>
      <c r="X59" s="128">
        <v>13.0</v>
      </c>
      <c r="Y59" s="128">
        <v>939.7491107358153</v>
      </c>
      <c r="Z59" s="141" t="s">
        <v>123</v>
      </c>
      <c r="AA59" s="128">
        <v>967.3073444953118</v>
      </c>
      <c r="AB59" s="128">
        <v>14.0</v>
      </c>
      <c r="AC59" s="142">
        <v>969.9160908069672</v>
      </c>
      <c r="AD59" s="44" t="s">
        <v>23</v>
      </c>
      <c r="AE59" s="128">
        <v>1188.6745693348114</v>
      </c>
      <c r="AF59" s="128">
        <v>29.0</v>
      </c>
      <c r="AG59" s="128">
        <v>1191.450921314008</v>
      </c>
      <c r="AH59" s="148"/>
      <c r="AK59" s="149"/>
      <c r="AP59" s="143">
        <v>13.0</v>
      </c>
      <c r="AQ59" s="128">
        <v>15.0</v>
      </c>
      <c r="AR59" s="44" t="s">
        <v>254</v>
      </c>
      <c r="AS59" s="44" t="s">
        <v>255</v>
      </c>
      <c r="AT59" s="44">
        <v>58.0</v>
      </c>
      <c r="AU59" s="44"/>
      <c r="AV59" s="44"/>
      <c r="AW59" s="145"/>
      <c r="AX59" s="44"/>
      <c r="AY59" s="145"/>
      <c r="AZ59" s="145"/>
      <c r="BA59" s="145"/>
      <c r="BB59" s="146"/>
      <c r="BC59" s="145"/>
      <c r="BD59" s="44"/>
      <c r="BE59" s="145"/>
      <c r="BF59" s="44"/>
      <c r="BG59" s="145"/>
      <c r="BH59" s="145"/>
      <c r="BI59" s="145"/>
      <c r="BJ59" s="146"/>
      <c r="BK59" s="145"/>
    </row>
    <row r="60">
      <c r="A60" s="154">
        <v>44171.07916666667</v>
      </c>
      <c r="B60" s="141" t="s">
        <v>47</v>
      </c>
      <c r="C60" s="128">
        <v>991.9838072096649</v>
      </c>
      <c r="D60" s="128">
        <v>17.0</v>
      </c>
      <c r="E60" s="142">
        <v>993.971061136576</v>
      </c>
      <c r="F60" s="44" t="s">
        <v>112</v>
      </c>
      <c r="G60" s="128">
        <v>1008.7680270151036</v>
      </c>
      <c r="H60" s="128">
        <v>20.0</v>
      </c>
      <c r="I60" s="128">
        <v>1010.7807730881924</v>
      </c>
      <c r="J60" s="148"/>
      <c r="M60" s="149"/>
      <c r="R60" s="148"/>
      <c r="U60" s="149"/>
      <c r="V60" s="44" t="s">
        <v>123</v>
      </c>
      <c r="W60" s="128">
        <v>969.9160908069672</v>
      </c>
      <c r="X60" s="128">
        <v>8.0</v>
      </c>
      <c r="Y60" s="128">
        <v>967.8408275209835</v>
      </c>
      <c r="Z60" s="141" t="s">
        <v>23</v>
      </c>
      <c r="AA60" s="128">
        <v>1191.450921314008</v>
      </c>
      <c r="AB60" s="128">
        <v>25.0</v>
      </c>
      <c r="AC60" s="142">
        <v>1189.5261845999917</v>
      </c>
      <c r="AH60" s="148"/>
      <c r="AK60" s="149"/>
      <c r="AP60" s="143">
        <v>14.0</v>
      </c>
      <c r="AQ60" s="128">
        <v>14.0</v>
      </c>
      <c r="AR60" s="44" t="s">
        <v>256</v>
      </c>
      <c r="AS60" s="44" t="s">
        <v>257</v>
      </c>
      <c r="AT60" s="44">
        <v>59.0</v>
      </c>
      <c r="AU60" s="44"/>
      <c r="AV60" s="44"/>
      <c r="AW60" s="145"/>
      <c r="AX60" s="44"/>
      <c r="AY60" s="145"/>
      <c r="AZ60" s="145"/>
      <c r="BA60" s="145"/>
      <c r="BB60" s="146"/>
      <c r="BC60" s="145"/>
      <c r="BD60" s="44"/>
      <c r="BE60" s="145"/>
      <c r="BF60" s="44"/>
      <c r="BG60" s="145"/>
      <c r="BH60" s="145"/>
      <c r="BI60" s="145"/>
      <c r="BJ60" s="146"/>
      <c r="BK60" s="145"/>
    </row>
    <row r="61">
      <c r="A61" s="154">
        <v>44171.94583333333</v>
      </c>
      <c r="B61" s="141" t="s">
        <v>47</v>
      </c>
      <c r="C61" s="128">
        <v>993.971061136576</v>
      </c>
      <c r="D61" s="128">
        <v>9.0</v>
      </c>
      <c r="E61" s="142">
        <v>983.6437296784723</v>
      </c>
      <c r="F61" s="44" t="s">
        <v>112</v>
      </c>
      <c r="G61" s="128">
        <v>1010.7807730881924</v>
      </c>
      <c r="H61" s="128">
        <v>17.0</v>
      </c>
      <c r="I61" s="128">
        <v>1000.8347578958245</v>
      </c>
      <c r="J61" s="141" t="s">
        <v>228</v>
      </c>
      <c r="K61" s="128">
        <v>1016.4213986767766</v>
      </c>
      <c r="L61" s="128">
        <v>13.0</v>
      </c>
      <c r="M61" s="142">
        <v>1006.2701534317769</v>
      </c>
      <c r="N61" s="44" t="s">
        <v>92</v>
      </c>
      <c r="O61" s="128">
        <v>1056.561803880805</v>
      </c>
      <c r="P61" s="128">
        <v>25.0</v>
      </c>
      <c r="Q61" s="128">
        <v>1046.9863957762764</v>
      </c>
      <c r="R61" s="148"/>
      <c r="U61" s="149"/>
      <c r="V61" s="44" t="s">
        <v>90</v>
      </c>
      <c r="W61" s="128">
        <v>939.7491107358153</v>
      </c>
      <c r="X61" s="128">
        <v>16.0</v>
      </c>
      <c r="Y61" s="128">
        <v>949.5953205240813</v>
      </c>
      <c r="Z61" s="141" t="s">
        <v>230</v>
      </c>
      <c r="AA61" s="128">
        <v>960.138140772765</v>
      </c>
      <c r="AB61" s="128">
        <v>15.0</v>
      </c>
      <c r="AC61" s="142">
        <v>969.8778389826831</v>
      </c>
      <c r="AD61" s="44" t="s">
        <v>27</v>
      </c>
      <c r="AE61" s="128">
        <v>987.7132491619711</v>
      </c>
      <c r="AF61" s="128">
        <v>18.0</v>
      </c>
      <c r="AG61" s="128">
        <v>997.5415879297466</v>
      </c>
      <c r="AH61" s="141" t="s">
        <v>23</v>
      </c>
      <c r="AI61" s="128">
        <v>1189.5261845999917</v>
      </c>
      <c r="AJ61" s="128">
        <v>35.0</v>
      </c>
      <c r="AK61" s="142">
        <v>1200.1119378340322</v>
      </c>
      <c r="AP61" s="143">
        <v>9.0</v>
      </c>
      <c r="AQ61" s="128">
        <v>19.0</v>
      </c>
      <c r="AR61" s="44" t="s">
        <v>258</v>
      </c>
      <c r="AS61" s="44" t="s">
        <v>229</v>
      </c>
      <c r="AT61" s="44">
        <v>60.0</v>
      </c>
      <c r="AU61" s="44"/>
      <c r="AV61" s="44"/>
      <c r="AW61" s="145"/>
      <c r="AX61" s="44"/>
      <c r="AY61" s="145"/>
      <c r="AZ61" s="145"/>
      <c r="BA61" s="145"/>
      <c r="BB61" s="146"/>
      <c r="BC61" s="145"/>
      <c r="BD61" s="44"/>
      <c r="BE61" s="145"/>
      <c r="BF61" s="44"/>
      <c r="BG61" s="145"/>
      <c r="BH61" s="145"/>
      <c r="BI61" s="145"/>
      <c r="BJ61" s="146"/>
      <c r="BK61" s="145"/>
    </row>
    <row r="62">
      <c r="A62" s="154">
        <v>44172.0</v>
      </c>
      <c r="B62" s="141" t="s">
        <v>90</v>
      </c>
      <c r="C62" s="128">
        <v>949.5953205240813</v>
      </c>
      <c r="D62" s="128">
        <v>9.0</v>
      </c>
      <c r="E62" s="142">
        <v>954.613611876446</v>
      </c>
      <c r="F62" s="44" t="s">
        <v>47</v>
      </c>
      <c r="G62" s="128">
        <v>983.6437296784723</v>
      </c>
      <c r="H62" s="128">
        <v>18.0</v>
      </c>
      <c r="I62" s="128">
        <v>988.8701101521718</v>
      </c>
      <c r="J62" s="141" t="s">
        <v>23</v>
      </c>
      <c r="K62" s="128">
        <v>1200.1119378340322</v>
      </c>
      <c r="L62" s="44">
        <v>31.0</v>
      </c>
      <c r="M62" s="142">
        <v>1204.8672660079678</v>
      </c>
      <c r="R62" s="148"/>
      <c r="U62" s="149"/>
      <c r="V62" s="44" t="s">
        <v>248</v>
      </c>
      <c r="W62" s="128">
        <v>993.6279593768835</v>
      </c>
      <c r="X62" s="128">
        <v>12.0</v>
      </c>
      <c r="Y62" s="128">
        <v>988.5035520578091</v>
      </c>
      <c r="Z62" s="141" t="s">
        <v>27</v>
      </c>
      <c r="AA62" s="128">
        <v>997.5415879297466</v>
      </c>
      <c r="AB62" s="128">
        <v>26.0</v>
      </c>
      <c r="AC62" s="142">
        <v>992.7645883359141</v>
      </c>
      <c r="AD62" s="44" t="s">
        <v>92</v>
      </c>
      <c r="AE62" s="128">
        <v>1046.9863957762764</v>
      </c>
      <c r="AF62" s="128">
        <v>14.0</v>
      </c>
      <c r="AG62" s="128">
        <v>1041.8878026891832</v>
      </c>
      <c r="AH62" s="148"/>
      <c r="AK62" s="149"/>
      <c r="AP62" s="143">
        <v>17.0</v>
      </c>
      <c r="AQ62" s="128">
        <v>11.0</v>
      </c>
      <c r="AR62" s="44" t="s">
        <v>259</v>
      </c>
      <c r="AS62" s="44" t="s">
        <v>232</v>
      </c>
      <c r="AT62" s="44">
        <v>61.0</v>
      </c>
      <c r="AU62" s="44"/>
      <c r="AV62" s="44"/>
      <c r="AW62" s="145"/>
      <c r="AX62" s="44"/>
      <c r="AY62" s="145"/>
      <c r="AZ62" s="145"/>
      <c r="BA62" s="145"/>
      <c r="BB62" s="146"/>
      <c r="BC62" s="145"/>
      <c r="BD62" s="44"/>
      <c r="BE62" s="145"/>
      <c r="BF62" s="44"/>
      <c r="BG62" s="145"/>
      <c r="BH62" s="145"/>
      <c r="BI62" s="145"/>
      <c r="BJ62" s="146"/>
      <c r="BK62" s="145"/>
    </row>
    <row r="63">
      <c r="A63" s="154">
        <v>44172.94375</v>
      </c>
      <c r="B63" s="141" t="s">
        <v>90</v>
      </c>
      <c r="C63" s="128">
        <v>954.613611876446</v>
      </c>
      <c r="D63" s="128">
        <v>12.0</v>
      </c>
      <c r="E63" s="142">
        <v>954.613611876446</v>
      </c>
      <c r="F63" s="44" t="s">
        <v>230</v>
      </c>
      <c r="G63" s="128">
        <v>969.8778389826831</v>
      </c>
      <c r="H63" s="128">
        <v>23.0</v>
      </c>
      <c r="I63" s="128">
        <v>969.8778389826831</v>
      </c>
      <c r="J63" s="141" t="s">
        <v>47</v>
      </c>
      <c r="K63" s="128">
        <v>988.8701101521718</v>
      </c>
      <c r="L63" s="128">
        <v>21.0</v>
      </c>
      <c r="M63" s="142">
        <v>988.8701101521718</v>
      </c>
      <c r="N63" s="44" t="s">
        <v>23</v>
      </c>
      <c r="O63" s="128">
        <v>1204.8672660079678</v>
      </c>
      <c r="P63" s="128">
        <v>22.0</v>
      </c>
      <c r="Q63" s="128">
        <v>1204.8672660079678</v>
      </c>
      <c r="R63" s="148"/>
      <c r="U63" s="149"/>
      <c r="V63" s="44" t="s">
        <v>112</v>
      </c>
      <c r="W63" s="128">
        <v>1000.8347578958245</v>
      </c>
      <c r="X63" s="128">
        <v>18.0</v>
      </c>
      <c r="Y63" s="128">
        <v>1000.8347578958245</v>
      </c>
      <c r="Z63" s="141" t="s">
        <v>228</v>
      </c>
      <c r="AA63" s="128">
        <v>1006.2701534317769</v>
      </c>
      <c r="AB63" s="128">
        <v>8.0</v>
      </c>
      <c r="AC63" s="142">
        <v>1006.2701534317769</v>
      </c>
      <c r="AD63" s="44" t="s">
        <v>92</v>
      </c>
      <c r="AE63" s="128">
        <v>1041.8878026891832</v>
      </c>
      <c r="AF63" s="128">
        <v>22.0</v>
      </c>
      <c r="AG63" s="128">
        <v>1041.8878026891832</v>
      </c>
      <c r="AH63" s="148"/>
      <c r="AK63" s="149"/>
      <c r="AP63" s="143">
        <v>18.0</v>
      </c>
      <c r="AQ63" s="128">
        <v>10.0</v>
      </c>
      <c r="AR63" s="44" t="s">
        <v>260</v>
      </c>
      <c r="AS63" s="44" t="s">
        <v>261</v>
      </c>
      <c r="AT63" s="44">
        <v>62.0</v>
      </c>
      <c r="AU63" s="44"/>
      <c r="AV63" s="44"/>
      <c r="AW63" s="145"/>
      <c r="AX63" s="44"/>
      <c r="AY63" s="145"/>
      <c r="AZ63" s="145"/>
      <c r="BA63" s="145"/>
      <c r="BB63" s="146"/>
      <c r="BC63" s="145"/>
      <c r="BD63" s="44"/>
      <c r="BE63" s="145"/>
      <c r="BF63" s="44"/>
      <c r="BG63" s="145"/>
      <c r="BH63" s="145"/>
      <c r="BI63" s="145"/>
      <c r="BJ63" s="146"/>
      <c r="BK63" s="145"/>
    </row>
    <row r="64">
      <c r="A64" s="154">
        <v>44172.993055555555</v>
      </c>
      <c r="B64" s="141" t="s">
        <v>90</v>
      </c>
      <c r="C64" s="128">
        <v>954.613611876446</v>
      </c>
      <c r="D64" s="128">
        <v>19.0</v>
      </c>
      <c r="E64" s="142">
        <v>958.867712600696</v>
      </c>
      <c r="F64" s="44" t="s">
        <v>107</v>
      </c>
      <c r="G64" s="128">
        <v>955.0748526972033</v>
      </c>
      <c r="H64" s="128">
        <v>11.0</v>
      </c>
      <c r="I64" s="128">
        <v>959.1584893762052</v>
      </c>
      <c r="J64" s="141" t="s">
        <v>230</v>
      </c>
      <c r="K64" s="128">
        <v>969.8778389826831</v>
      </c>
      <c r="L64" s="128">
        <v>19.0</v>
      </c>
      <c r="M64" s="142">
        <v>974.1175315482183</v>
      </c>
      <c r="N64" s="44" t="s">
        <v>23</v>
      </c>
      <c r="O64" s="128">
        <v>1204.8672660079678</v>
      </c>
      <c r="P64" s="128">
        <v>30.0</v>
      </c>
      <c r="Q64" s="128">
        <v>1209.2898360391807</v>
      </c>
      <c r="R64" s="148"/>
      <c r="U64" s="149"/>
      <c r="V64" s="44" t="s">
        <v>47</v>
      </c>
      <c r="W64" s="128">
        <v>988.8701101521718</v>
      </c>
      <c r="X64" s="128">
        <v>15.0</v>
      </c>
      <c r="Y64" s="128">
        <v>984.5868277750013</v>
      </c>
      <c r="Z64" s="141" t="s">
        <v>112</v>
      </c>
      <c r="AA64" s="128">
        <v>1000.8347578958245</v>
      </c>
      <c r="AB64" s="128">
        <v>27.0</v>
      </c>
      <c r="AC64" s="142">
        <v>996.8000068635375</v>
      </c>
      <c r="AD64" s="44" t="s">
        <v>228</v>
      </c>
      <c r="AE64" s="128">
        <v>1006.2701534317769</v>
      </c>
      <c r="AF64" s="128">
        <v>6.0</v>
      </c>
      <c r="AG64" s="128">
        <v>1001.7865498249903</v>
      </c>
      <c r="AH64" s="141" t="s">
        <v>92</v>
      </c>
      <c r="AI64" s="128">
        <v>1041.8878026891832</v>
      </c>
      <c r="AJ64" s="128">
        <v>20.0</v>
      </c>
      <c r="AK64" s="142">
        <v>1037.6894397054273</v>
      </c>
      <c r="AP64" s="143">
        <v>16.0</v>
      </c>
      <c r="AQ64" s="128">
        <v>12.0</v>
      </c>
      <c r="AS64" s="44" t="s">
        <v>229</v>
      </c>
      <c r="AT64" s="44">
        <v>63.0</v>
      </c>
      <c r="AU64" s="44"/>
      <c r="AW64" s="93"/>
      <c r="AY64" s="93"/>
      <c r="AZ64" s="93"/>
      <c r="BA64" s="93"/>
      <c r="BB64" s="155"/>
      <c r="BC64" s="93"/>
      <c r="BE64" s="93"/>
      <c r="BG64" s="93"/>
      <c r="BH64" s="93"/>
      <c r="BI64" s="93"/>
      <c r="BJ64" s="155"/>
      <c r="BK64" s="93"/>
    </row>
    <row r="65">
      <c r="A65" s="154">
        <v>44173.025</v>
      </c>
      <c r="B65" s="141" t="s">
        <v>90</v>
      </c>
      <c r="C65" s="128">
        <v>958.867712600696</v>
      </c>
      <c r="D65" s="128">
        <v>7.0</v>
      </c>
      <c r="E65" s="142">
        <v>960.8663815295699</v>
      </c>
      <c r="F65" s="44" t="s">
        <v>107</v>
      </c>
      <c r="G65" s="128">
        <v>959.1584893762052</v>
      </c>
      <c r="H65" s="128">
        <v>3.0</v>
      </c>
      <c r="I65" s="128">
        <v>961.1171088162629</v>
      </c>
      <c r="J65" s="141" t="s">
        <v>47</v>
      </c>
      <c r="K65" s="128">
        <v>984.5868277750013</v>
      </c>
      <c r="L65" s="128">
        <v>5.0</v>
      </c>
      <c r="M65" s="142">
        <v>986.5616110203248</v>
      </c>
      <c r="N65" s="44" t="s">
        <v>23</v>
      </c>
      <c r="O65" s="128">
        <v>1209.2898360391807</v>
      </c>
      <c r="P65" s="128">
        <v>15.0</v>
      </c>
      <c r="Q65" s="128">
        <v>1211.3577644249258</v>
      </c>
      <c r="R65" s="148"/>
      <c r="U65" s="149"/>
      <c r="V65" s="44" t="s">
        <v>27</v>
      </c>
      <c r="W65" s="128">
        <v>992.7645883359141</v>
      </c>
      <c r="X65" s="128">
        <v>13.0</v>
      </c>
      <c r="Y65" s="128">
        <v>990.798839910495</v>
      </c>
      <c r="Z65" s="141" t="s">
        <v>112</v>
      </c>
      <c r="AA65" s="128">
        <v>996.8000068635375</v>
      </c>
      <c r="AB65" s="128">
        <v>6.0</v>
      </c>
      <c r="AC65" s="142">
        <v>994.7636718388976</v>
      </c>
      <c r="AD65" s="44" t="s">
        <v>245</v>
      </c>
      <c r="AE65" s="128">
        <v>1004.0192018984058</v>
      </c>
      <c r="AF65" s="128">
        <v>14.0</v>
      </c>
      <c r="AG65" s="128">
        <v>1002.0618948338762</v>
      </c>
      <c r="AH65" s="141" t="s">
        <v>92</v>
      </c>
      <c r="AI65" s="128">
        <v>1037.6894397054273</v>
      </c>
      <c r="AJ65" s="128">
        <v>6.0</v>
      </c>
      <c r="AK65" s="142">
        <v>1035.648830220016</v>
      </c>
      <c r="AP65" s="143">
        <v>15.0</v>
      </c>
      <c r="AQ65" s="128">
        <v>14.0</v>
      </c>
      <c r="AR65" s="44" t="s">
        <v>262</v>
      </c>
      <c r="AS65" s="44" t="s">
        <v>263</v>
      </c>
      <c r="AT65" s="44">
        <v>64.0</v>
      </c>
      <c r="AU65" s="44"/>
      <c r="AV65" s="44"/>
      <c r="AW65" s="145"/>
      <c r="AX65" s="44"/>
      <c r="AY65" s="145"/>
      <c r="AZ65" s="145"/>
      <c r="BA65" s="145"/>
      <c r="BB65" s="146"/>
      <c r="BC65" s="145"/>
      <c r="BD65" s="44"/>
      <c r="BE65" s="145"/>
      <c r="BF65" s="44"/>
      <c r="BG65" s="145"/>
      <c r="BH65" s="145"/>
      <c r="BI65" s="145"/>
      <c r="BJ65" s="146"/>
      <c r="BK65" s="145"/>
    </row>
    <row r="66">
      <c r="A66" s="154">
        <v>44173.95486111111</v>
      </c>
      <c r="B66" s="141" t="s">
        <v>90</v>
      </c>
      <c r="C66" s="128">
        <v>960.8663815295699</v>
      </c>
      <c r="D66" s="128">
        <v>19.0</v>
      </c>
      <c r="E66" s="142">
        <v>964.5497435914795</v>
      </c>
      <c r="F66" s="44" t="s">
        <v>230</v>
      </c>
      <c r="G66" s="128">
        <v>974.1175315482183</v>
      </c>
      <c r="H66" s="128">
        <v>16.0</v>
      </c>
      <c r="I66" s="128">
        <v>977.736278396126</v>
      </c>
      <c r="J66" s="141" t="s">
        <v>112</v>
      </c>
      <c r="K66" s="128">
        <v>994.763671838898</v>
      </c>
      <c r="L66" s="128">
        <v>21.0</v>
      </c>
      <c r="M66" s="142">
        <v>998.4615629290809</v>
      </c>
      <c r="R66" s="148"/>
      <c r="U66" s="149"/>
      <c r="V66" s="44" t="s">
        <v>224</v>
      </c>
      <c r="W66" s="128">
        <v>929.4690178075789</v>
      </c>
      <c r="X66" s="128">
        <v>5.0</v>
      </c>
      <c r="Y66" s="128">
        <v>925.6269510906538</v>
      </c>
      <c r="Z66" s="141" t="s">
        <v>47</v>
      </c>
      <c r="AA66" s="128">
        <v>986.5616110203248</v>
      </c>
      <c r="AB66" s="128">
        <v>23.0</v>
      </c>
      <c r="AC66" s="142">
        <v>983.0101286710942</v>
      </c>
      <c r="AD66" s="44" t="s">
        <v>92</v>
      </c>
      <c r="AE66" s="128">
        <v>1035.648830220016</v>
      </c>
      <c r="AF66" s="128">
        <v>21.0</v>
      </c>
      <c r="AG66" s="128">
        <v>1032.0423792861716</v>
      </c>
      <c r="AH66" s="148"/>
      <c r="AK66" s="149"/>
      <c r="AP66" s="143">
        <v>15.0</v>
      </c>
      <c r="AQ66" s="128">
        <v>13.0</v>
      </c>
      <c r="AS66" s="44" t="s">
        <v>229</v>
      </c>
      <c r="AT66" s="44">
        <v>65.0</v>
      </c>
      <c r="AU66" s="44"/>
      <c r="AW66" s="93"/>
      <c r="AY66" s="93"/>
      <c r="AZ66" s="93"/>
      <c r="BA66" s="93"/>
      <c r="BB66" s="155"/>
      <c r="BC66" s="93"/>
      <c r="BE66" s="93"/>
      <c r="BG66" s="93"/>
      <c r="BH66" s="93"/>
      <c r="BI66" s="93"/>
      <c r="BJ66" s="155"/>
      <c r="BK66" s="93"/>
    </row>
    <row r="67">
      <c r="A67" s="154">
        <v>44174.00902777778</v>
      </c>
      <c r="B67" s="141" t="s">
        <v>47</v>
      </c>
      <c r="C67" s="128">
        <v>983.0101286710942</v>
      </c>
      <c r="D67" s="128">
        <v>27.0</v>
      </c>
      <c r="E67" s="142">
        <v>993.5276559948911</v>
      </c>
      <c r="F67" s="44" t="s">
        <v>112</v>
      </c>
      <c r="G67" s="128">
        <v>998.4615629290809</v>
      </c>
      <c r="H67" s="128">
        <v>27.0</v>
      </c>
      <c r="I67" s="128">
        <v>1008.944035605284</v>
      </c>
      <c r="J67" s="148"/>
      <c r="M67" s="149"/>
      <c r="R67" s="148"/>
      <c r="U67" s="149"/>
      <c r="V67" s="44" t="s">
        <v>123</v>
      </c>
      <c r="W67" s="128">
        <v>967.8408275209835</v>
      </c>
      <c r="X67" s="128">
        <v>17.0</v>
      </c>
      <c r="Y67" s="128">
        <v>957.0808519691294</v>
      </c>
      <c r="Z67" s="141" t="s">
        <v>92</v>
      </c>
      <c r="AA67" s="128">
        <v>1032.0423792861716</v>
      </c>
      <c r="AB67" s="128">
        <v>29.0</v>
      </c>
      <c r="AC67" s="142">
        <v>1021.8023548380256</v>
      </c>
      <c r="AH67" s="148"/>
      <c r="AK67" s="149"/>
      <c r="AP67" s="143">
        <v>24.0</v>
      </c>
      <c r="AQ67" s="128">
        <v>18.0</v>
      </c>
      <c r="AS67" s="44" t="s">
        <v>264</v>
      </c>
      <c r="AT67" s="44">
        <v>66.0</v>
      </c>
      <c r="AU67" s="44"/>
      <c r="AW67" s="93"/>
      <c r="AY67" s="93"/>
      <c r="AZ67" s="93"/>
      <c r="BA67" s="93"/>
      <c r="BB67" s="155"/>
      <c r="BC67" s="93"/>
      <c r="BE67" s="93"/>
      <c r="BG67" s="93"/>
      <c r="BH67" s="93"/>
      <c r="BI67" s="93"/>
      <c r="BJ67" s="155"/>
      <c r="BK67" s="93"/>
    </row>
    <row r="68">
      <c r="A68" s="154">
        <v>44174.95277777778</v>
      </c>
      <c r="B68" s="141" t="s">
        <v>47</v>
      </c>
      <c r="C68" s="128">
        <v>993.5276559948911</v>
      </c>
      <c r="D68" s="128">
        <v>26.0</v>
      </c>
      <c r="E68" s="142">
        <v>992.183990324541</v>
      </c>
      <c r="F68" s="44" t="s">
        <v>234</v>
      </c>
      <c r="G68" s="128">
        <v>993.529591921008</v>
      </c>
      <c r="H68" s="128">
        <v>12.0</v>
      </c>
      <c r="I68" s="128">
        <v>992.0879258771636</v>
      </c>
      <c r="J68" s="141" t="s">
        <v>228</v>
      </c>
      <c r="K68" s="128">
        <v>1001.7865498249903</v>
      </c>
      <c r="L68" s="128">
        <v>2.0</v>
      </c>
      <c r="M68" s="142">
        <v>1000.2733755836941</v>
      </c>
      <c r="N68" s="44" t="s">
        <v>112</v>
      </c>
      <c r="O68" s="128">
        <v>1008.944035605284</v>
      </c>
      <c r="P68" s="128">
        <v>18.0</v>
      </c>
      <c r="Q68" s="128">
        <v>1007.5416893169496</v>
      </c>
      <c r="R68" s="141" t="s">
        <v>92</v>
      </c>
      <c r="S68" s="128">
        <v>1021.8023548380256</v>
      </c>
      <c r="T68" s="128">
        <v>33.0</v>
      </c>
      <c r="U68" s="142">
        <v>1020.5032070818506</v>
      </c>
      <c r="V68" s="44" t="s">
        <v>123</v>
      </c>
      <c r="W68" s="128">
        <v>957.0808519691294</v>
      </c>
      <c r="X68" s="128">
        <v>18.0</v>
      </c>
      <c r="Y68" s="128">
        <v>958.467066865789</v>
      </c>
      <c r="Z68" s="141" t="s">
        <v>90</v>
      </c>
      <c r="AA68" s="128">
        <v>964.5497435914795</v>
      </c>
      <c r="AB68" s="128">
        <v>24.0</v>
      </c>
      <c r="AC68" s="142">
        <v>965.975508910173</v>
      </c>
      <c r="AD68" s="44" t="s">
        <v>248</v>
      </c>
      <c r="AE68" s="128">
        <v>988.5035520578091</v>
      </c>
      <c r="AF68" s="128">
        <v>26.0</v>
      </c>
      <c r="AG68" s="128">
        <v>989.936572711574</v>
      </c>
      <c r="AH68" s="141" t="s">
        <v>27</v>
      </c>
      <c r="AI68" s="128">
        <v>990.798839910495</v>
      </c>
      <c r="AJ68" s="128">
        <v>13.0</v>
      </c>
      <c r="AK68" s="142">
        <v>992.1403046985154</v>
      </c>
      <c r="AL68" s="44" t="s">
        <v>23</v>
      </c>
      <c r="AM68" s="128">
        <v>1211.3577644249258</v>
      </c>
      <c r="AN68" s="128">
        <v>25.0</v>
      </c>
      <c r="AO68" s="128">
        <v>1212.7712987677876</v>
      </c>
      <c r="AP68" s="143">
        <v>13.0</v>
      </c>
      <c r="AQ68" s="128">
        <v>15.0</v>
      </c>
      <c r="AS68" s="44" t="s">
        <v>229</v>
      </c>
      <c r="AT68" s="44">
        <v>67.0</v>
      </c>
      <c r="AU68" s="44"/>
      <c r="AW68" s="93"/>
      <c r="AY68" s="93"/>
      <c r="AZ68" s="93"/>
      <c r="BA68" s="93"/>
      <c r="BB68" s="155"/>
      <c r="BC68" s="93"/>
      <c r="BE68" s="93"/>
      <c r="BG68" s="93"/>
      <c r="BH68" s="93"/>
      <c r="BI68" s="93"/>
      <c r="BJ68" s="155"/>
      <c r="BK68" s="93"/>
    </row>
    <row r="69">
      <c r="A69" s="140">
        <v>44175.00486111111</v>
      </c>
      <c r="B69" s="141" t="s">
        <v>47</v>
      </c>
      <c r="C69" s="128">
        <v>992.183990324541</v>
      </c>
      <c r="D69" s="128">
        <v>24.0</v>
      </c>
      <c r="E69" s="142">
        <v>994.6288991623936</v>
      </c>
      <c r="F69" s="44" t="s">
        <v>228</v>
      </c>
      <c r="G69" s="128">
        <v>1000.2733755836941</v>
      </c>
      <c r="H69" s="128">
        <v>10.0</v>
      </c>
      <c r="I69" s="128">
        <v>1002.54737236421</v>
      </c>
      <c r="J69" s="141" t="s">
        <v>245</v>
      </c>
      <c r="K69" s="128">
        <v>1002.0618948338762</v>
      </c>
      <c r="L69" s="128">
        <v>19.0</v>
      </c>
      <c r="M69" s="142">
        <v>1004.4432899585335</v>
      </c>
      <c r="N69" s="44" t="s">
        <v>112</v>
      </c>
      <c r="O69" s="128">
        <v>1007.5416893169496</v>
      </c>
      <c r="P69" s="128">
        <v>26.0</v>
      </c>
      <c r="Q69" s="128">
        <v>1010.0053347615378</v>
      </c>
      <c r="R69" s="141" t="s">
        <v>92</v>
      </c>
      <c r="S69" s="128">
        <v>1020.5032070818506</v>
      </c>
      <c r="T69" s="128">
        <v>24.0</v>
      </c>
      <c r="U69" s="142">
        <v>1022.9392608942367</v>
      </c>
      <c r="V69" s="44" t="s">
        <v>123</v>
      </c>
      <c r="W69" s="128">
        <v>958.467066865789</v>
      </c>
      <c r="X69" s="128">
        <v>14.0</v>
      </c>
      <c r="Y69" s="128">
        <v>956.0304610625952</v>
      </c>
      <c r="Z69" s="141" t="s">
        <v>90</v>
      </c>
      <c r="AA69" s="128">
        <v>965.975508910173</v>
      </c>
      <c r="AB69" s="128">
        <v>12.0</v>
      </c>
      <c r="AC69" s="142">
        <v>963.5113679696085</v>
      </c>
      <c r="AD69" s="44" t="s">
        <v>230</v>
      </c>
      <c r="AE69" s="128">
        <v>977.736278396126</v>
      </c>
      <c r="AF69" s="128">
        <v>18.0</v>
      </c>
      <c r="AG69" s="128">
        <v>975.3390838572348</v>
      </c>
      <c r="AH69" s="141" t="s">
        <v>27</v>
      </c>
      <c r="AI69" s="128">
        <v>992.1403046985154</v>
      </c>
      <c r="AJ69" s="128">
        <v>15.0</v>
      </c>
      <c r="AK69" s="142">
        <v>989.7017405500186</v>
      </c>
      <c r="AL69" s="44" t="s">
        <v>23</v>
      </c>
      <c r="AM69" s="128">
        <v>1212.7712987677876</v>
      </c>
      <c r="AN69" s="128">
        <v>31.0</v>
      </c>
      <c r="AO69" s="128">
        <v>1210.5078041989339</v>
      </c>
      <c r="AP69" s="143">
        <v>15.0</v>
      </c>
      <c r="AQ69" s="128">
        <v>13.0</v>
      </c>
      <c r="AR69" s="44" t="s">
        <v>265</v>
      </c>
      <c r="AS69" s="44" t="s">
        <v>266</v>
      </c>
      <c r="AT69" s="44">
        <v>68.0</v>
      </c>
      <c r="AU69" s="44"/>
      <c r="AV69" s="44"/>
      <c r="AW69" s="145"/>
      <c r="AX69" s="44"/>
      <c r="AY69" s="145"/>
      <c r="AZ69" s="145"/>
      <c r="BA69" s="145"/>
      <c r="BB69" s="146"/>
      <c r="BC69" s="145"/>
      <c r="BD69" s="44"/>
      <c r="BE69" s="145"/>
      <c r="BF69" s="44"/>
      <c r="BG69" s="145"/>
      <c r="BH69" s="145"/>
      <c r="BI69" s="145"/>
      <c r="BJ69" s="146"/>
      <c r="BK69" s="145"/>
    </row>
    <row r="70">
      <c r="A70" s="140">
        <v>44175.94930555556</v>
      </c>
      <c r="B70" s="141" t="s">
        <v>248</v>
      </c>
      <c r="C70" s="128">
        <v>989.936572711574</v>
      </c>
      <c r="D70" s="128">
        <v>18.0</v>
      </c>
      <c r="E70" s="142">
        <v>985.68872104565</v>
      </c>
      <c r="F70" s="44" t="s">
        <v>47</v>
      </c>
      <c r="G70" s="128">
        <v>994.6288991623936</v>
      </c>
      <c r="H70" s="128">
        <v>12.0</v>
      </c>
      <c r="I70" s="128">
        <v>990.2507475646811</v>
      </c>
      <c r="J70" s="141" t="s">
        <v>112</v>
      </c>
      <c r="K70" s="128">
        <v>1010.0053347615378</v>
      </c>
      <c r="L70" s="128">
        <v>19.0</v>
      </c>
      <c r="M70" s="142">
        <v>1005.7679193238978</v>
      </c>
      <c r="N70" s="44" t="s">
        <v>92</v>
      </c>
      <c r="O70" s="128">
        <v>1022.9392608942367</v>
      </c>
      <c r="P70" s="128">
        <v>24.0</v>
      </c>
      <c r="Q70" s="128">
        <v>1018.8026795955132</v>
      </c>
      <c r="R70" s="148"/>
      <c r="U70" s="149"/>
      <c r="V70" s="44" t="s">
        <v>224</v>
      </c>
      <c r="W70" s="128">
        <v>925.6269510906538</v>
      </c>
      <c r="X70" s="128">
        <v>5.0</v>
      </c>
      <c r="Y70" s="128">
        <v>929.592281096802</v>
      </c>
      <c r="Z70" s="141" t="s">
        <v>90</v>
      </c>
      <c r="AA70" s="128">
        <v>963.5113679696085</v>
      </c>
      <c r="AB70" s="128">
        <v>17.0</v>
      </c>
      <c r="AC70" s="142">
        <v>967.6886013124168</v>
      </c>
      <c r="AD70" s="44" t="s">
        <v>230</v>
      </c>
      <c r="AE70" s="128">
        <v>975.3390838572348</v>
      </c>
      <c r="AF70" s="128">
        <v>17.0</v>
      </c>
      <c r="AG70" s="128">
        <v>979.5053648471238</v>
      </c>
      <c r="AH70" s="141" t="s">
        <v>23</v>
      </c>
      <c r="AI70" s="128">
        <v>1210.5078041989339</v>
      </c>
      <c r="AJ70" s="128">
        <v>44.0</v>
      </c>
      <c r="AK70" s="142">
        <v>1215.1989598600883</v>
      </c>
      <c r="AP70" s="143">
        <v>12.0</v>
      </c>
      <c r="AQ70" s="128">
        <v>16.0</v>
      </c>
      <c r="AS70" s="44" t="s">
        <v>267</v>
      </c>
      <c r="AT70" s="44">
        <v>69.0</v>
      </c>
      <c r="AU70" s="44"/>
      <c r="AW70" s="93"/>
      <c r="AY70" s="93"/>
      <c r="AZ70" s="93"/>
      <c r="BA70" s="93"/>
      <c r="BB70" s="155"/>
      <c r="BC70" s="93"/>
      <c r="BE70" s="93"/>
      <c r="BG70" s="93"/>
      <c r="BH70" s="93"/>
      <c r="BI70" s="93"/>
      <c r="BJ70" s="155"/>
      <c r="BK70" s="93"/>
    </row>
    <row r="71">
      <c r="A71" s="140">
        <v>44176.009722222225</v>
      </c>
      <c r="B71" s="141" t="s">
        <v>248</v>
      </c>
      <c r="C71" s="128">
        <v>985.68872104565</v>
      </c>
      <c r="D71" s="128">
        <v>17.0</v>
      </c>
      <c r="E71" s="142">
        <v>992.3512089305588</v>
      </c>
      <c r="F71" s="44" t="s">
        <v>47</v>
      </c>
      <c r="G71" s="128">
        <v>990.2507475646811</v>
      </c>
      <c r="H71" s="128">
        <v>27.0</v>
      </c>
      <c r="I71" s="128">
        <v>997.2457507573653</v>
      </c>
      <c r="J71" s="141" t="s">
        <v>112</v>
      </c>
      <c r="K71" s="128">
        <v>1005.7679193238978</v>
      </c>
      <c r="L71" s="128">
        <v>19.0</v>
      </c>
      <c r="M71" s="142">
        <v>1012.4780071522061</v>
      </c>
      <c r="N71" s="44" t="s">
        <v>92</v>
      </c>
      <c r="O71" s="128">
        <v>1018.8026795955132</v>
      </c>
      <c r="P71" s="128">
        <v>17.0</v>
      </c>
      <c r="Q71" s="128">
        <v>1025.435100689612</v>
      </c>
      <c r="R71" s="148"/>
      <c r="U71" s="149"/>
      <c r="V71" s="44" t="s">
        <v>107</v>
      </c>
      <c r="W71" s="128">
        <v>961.1171088162629</v>
      </c>
      <c r="X71" s="128">
        <v>23.0</v>
      </c>
      <c r="Y71" s="128">
        <v>954.5804061978855</v>
      </c>
      <c r="Z71" s="141" t="s">
        <v>90</v>
      </c>
      <c r="AA71" s="128">
        <v>967.6886013124168</v>
      </c>
      <c r="AB71" s="128">
        <v>10.0</v>
      </c>
      <c r="AC71" s="142">
        <v>960.7049146055923</v>
      </c>
      <c r="AD71" s="44" t="s">
        <v>230</v>
      </c>
      <c r="AE71" s="128">
        <v>979.5053648471238</v>
      </c>
      <c r="AF71" s="128">
        <v>8.0</v>
      </c>
      <c r="AG71" s="128">
        <v>972.4406331632404</v>
      </c>
      <c r="AH71" s="141" t="s">
        <v>23</v>
      </c>
      <c r="AI71" s="128">
        <v>1215.1989598600883</v>
      </c>
      <c r="AJ71" s="128">
        <v>29.0</v>
      </c>
      <c r="AK71" s="142">
        <v>1208.7840808691735</v>
      </c>
      <c r="AP71" s="143">
        <v>16.0</v>
      </c>
      <c r="AQ71" s="128">
        <v>12.0</v>
      </c>
      <c r="AS71" s="44" t="s">
        <v>232</v>
      </c>
      <c r="AT71" s="44">
        <v>70.0</v>
      </c>
      <c r="AU71" s="44"/>
      <c r="AW71" s="93"/>
      <c r="AY71" s="93"/>
      <c r="AZ71" s="93"/>
      <c r="BA71" s="93"/>
      <c r="BB71" s="155"/>
      <c r="BC71" s="93"/>
      <c r="BE71" s="93"/>
      <c r="BG71" s="93"/>
      <c r="BH71" s="93"/>
      <c r="BI71" s="93"/>
      <c r="BJ71" s="155"/>
      <c r="BK71" s="93"/>
    </row>
    <row r="72">
      <c r="A72" s="140">
        <v>44176.032638888886</v>
      </c>
      <c r="B72" s="141" t="s">
        <v>47</v>
      </c>
      <c r="C72" s="128">
        <v>997.2457507573653</v>
      </c>
      <c r="D72" s="128">
        <v>14.0</v>
      </c>
      <c r="E72" s="142">
        <v>999.2136323931583</v>
      </c>
      <c r="F72" s="44" t="s">
        <v>92</v>
      </c>
      <c r="G72" s="128">
        <v>1025.435100689612</v>
      </c>
      <c r="H72" s="128">
        <v>21.0</v>
      </c>
      <c r="I72" s="128">
        <v>1027.467219053819</v>
      </c>
      <c r="J72" s="148"/>
      <c r="M72" s="149"/>
      <c r="R72" s="148"/>
      <c r="U72" s="149"/>
      <c r="V72" s="44" t="s">
        <v>107</v>
      </c>
      <c r="W72" s="128">
        <v>954.5804061978855</v>
      </c>
      <c r="X72" s="128">
        <v>15.0</v>
      </c>
      <c r="Y72" s="128">
        <v>952.5593092343229</v>
      </c>
      <c r="Z72" s="141" t="s">
        <v>23</v>
      </c>
      <c r="AA72" s="128">
        <v>1208.7840808691735</v>
      </c>
      <c r="AB72" s="128">
        <v>22.0</v>
      </c>
      <c r="AC72" s="142">
        <v>1206.8051778327363</v>
      </c>
      <c r="AH72" s="148"/>
      <c r="AK72" s="149"/>
      <c r="AP72" s="143">
        <v>14.0</v>
      </c>
      <c r="AQ72" s="128">
        <v>14.0</v>
      </c>
      <c r="AS72" s="44" t="s">
        <v>268</v>
      </c>
      <c r="AT72" s="44">
        <v>71.0</v>
      </c>
      <c r="AU72" s="44"/>
      <c r="AW72" s="93"/>
      <c r="AY72" s="93"/>
      <c r="AZ72" s="93"/>
      <c r="BA72" s="93"/>
      <c r="BB72" s="155"/>
      <c r="BC72" s="93"/>
      <c r="BE72" s="93"/>
      <c r="BG72" s="93"/>
      <c r="BH72" s="93"/>
      <c r="BI72" s="93"/>
      <c r="BJ72" s="155"/>
      <c r="BK72" s="93"/>
    </row>
    <row r="73">
      <c r="A73" s="140">
        <v>44176.955555555556</v>
      </c>
      <c r="B73" s="141" t="s">
        <v>27</v>
      </c>
      <c r="C73" s="128">
        <v>989.7017405500186</v>
      </c>
      <c r="D73" s="128">
        <v>17.0</v>
      </c>
      <c r="E73" s="142">
        <v>997.127898878284</v>
      </c>
      <c r="F73" s="44" t="s">
        <v>248</v>
      </c>
      <c r="G73" s="128">
        <v>992.3512089305588</v>
      </c>
      <c r="H73" s="128">
        <v>22.0</v>
      </c>
      <c r="I73" s="128">
        <v>999.9638755471182</v>
      </c>
      <c r="J73" s="141" t="s">
        <v>47</v>
      </c>
      <c r="K73" s="128">
        <v>999.2136323931583</v>
      </c>
      <c r="L73" s="128">
        <v>29.0</v>
      </c>
      <c r="M73" s="142">
        <v>1007.0837980989128</v>
      </c>
      <c r="N73" s="44" t="s">
        <v>112</v>
      </c>
      <c r="O73" s="128">
        <v>1012.4780071522061</v>
      </c>
      <c r="P73" s="128">
        <v>23.0</v>
      </c>
      <c r="Q73" s="128">
        <v>1020.1059204092744</v>
      </c>
      <c r="R73" s="141" t="s">
        <v>92</v>
      </c>
      <c r="S73" s="128">
        <v>1027.467219053819</v>
      </c>
      <c r="T73" s="128">
        <v>19.0</v>
      </c>
      <c r="U73" s="142">
        <v>1034.9303151461713</v>
      </c>
      <c r="V73" s="44" t="s">
        <v>224</v>
      </c>
      <c r="W73" s="128">
        <v>929.592281096802</v>
      </c>
      <c r="X73" s="128">
        <v>11.0</v>
      </c>
      <c r="Y73" s="128">
        <v>921.8007023908949</v>
      </c>
      <c r="Z73" s="141" t="s">
        <v>107</v>
      </c>
      <c r="AA73" s="128">
        <v>952.5593092343229</v>
      </c>
      <c r="AB73" s="128">
        <v>16.0</v>
      </c>
      <c r="AC73" s="142">
        <v>944.9159726826688</v>
      </c>
      <c r="AD73" s="44" t="s">
        <v>123</v>
      </c>
      <c r="AE73" s="128">
        <v>956.0304610625952</v>
      </c>
      <c r="AF73" s="128">
        <v>20.0</v>
      </c>
      <c r="AG73" s="128">
        <v>948.5333967636254</v>
      </c>
      <c r="AH73" s="141" t="s">
        <v>90</v>
      </c>
      <c r="AI73" s="128">
        <v>960.7049146055923</v>
      </c>
      <c r="AJ73" s="128">
        <v>14.0</v>
      </c>
      <c r="AK73" s="142">
        <v>952.9723941169068</v>
      </c>
      <c r="AL73" s="44" t="s">
        <v>23</v>
      </c>
      <c r="AM73" s="128">
        <v>1206.8051778327363</v>
      </c>
      <c r="AN73" s="128">
        <v>27.0</v>
      </c>
      <c r="AO73" s="128">
        <v>1199.4696778779528</v>
      </c>
      <c r="AP73" s="143">
        <v>19.0</v>
      </c>
      <c r="AQ73" s="128">
        <v>9.0</v>
      </c>
      <c r="AR73" s="44" t="s">
        <v>269</v>
      </c>
      <c r="AS73" s="44" t="s">
        <v>232</v>
      </c>
      <c r="AT73" s="44">
        <v>72.0</v>
      </c>
      <c r="AU73" s="44"/>
      <c r="AV73" s="44"/>
      <c r="AW73" s="145"/>
      <c r="AX73" s="44"/>
      <c r="AY73" s="145"/>
      <c r="AZ73" s="145"/>
      <c r="BA73" s="145"/>
      <c r="BB73" s="146"/>
      <c r="BC73" s="145"/>
      <c r="BD73" s="44"/>
      <c r="BE73" s="145"/>
      <c r="BF73" s="44"/>
      <c r="BG73" s="145"/>
      <c r="BH73" s="145"/>
      <c r="BI73" s="145"/>
      <c r="BJ73" s="146"/>
      <c r="BK73" s="145"/>
    </row>
    <row r="74">
      <c r="A74" s="140">
        <v>44176.99722222222</v>
      </c>
      <c r="B74" s="141" t="s">
        <v>90</v>
      </c>
      <c r="C74" s="128">
        <v>952.9723941169068</v>
      </c>
      <c r="D74" s="128">
        <v>23.0</v>
      </c>
      <c r="E74" s="142">
        <v>957.0254381044319</v>
      </c>
      <c r="F74" s="44" t="s">
        <v>27</v>
      </c>
      <c r="G74" s="128">
        <v>997.127898878284</v>
      </c>
      <c r="H74" s="128">
        <v>18.0</v>
      </c>
      <c r="I74" s="128">
        <v>1001.0439069658333</v>
      </c>
      <c r="J74" s="141" t="s">
        <v>47</v>
      </c>
      <c r="K74" s="128">
        <v>1007.0837980989128</v>
      </c>
      <c r="L74" s="128">
        <v>30.0</v>
      </c>
      <c r="M74" s="142">
        <v>1011.2338068133174</v>
      </c>
      <c r="N74" s="44" t="s">
        <v>112</v>
      </c>
      <c r="O74" s="128">
        <v>1020.1059204092744</v>
      </c>
      <c r="P74" s="128">
        <v>20.0</v>
      </c>
      <c r="Q74" s="128">
        <v>1024.0493360538949</v>
      </c>
      <c r="R74" s="141" t="s">
        <v>92</v>
      </c>
      <c r="S74" s="128">
        <v>1034.9303151461713</v>
      </c>
      <c r="T74" s="128">
        <v>20.0</v>
      </c>
      <c r="U74" s="142">
        <v>1038.8678387120717</v>
      </c>
      <c r="V74" s="44" t="s">
        <v>224</v>
      </c>
      <c r="W74" s="128">
        <v>921.8007023908949</v>
      </c>
      <c r="X74" s="128">
        <v>5.0</v>
      </c>
      <c r="Y74" s="128">
        <v>917.5742912459624</v>
      </c>
      <c r="Z74" s="141" t="s">
        <v>107</v>
      </c>
      <c r="AA74" s="128">
        <v>944.9159726826688</v>
      </c>
      <c r="AB74" s="128">
        <v>20.0</v>
      </c>
      <c r="AC74" s="142">
        <v>940.9656395492854</v>
      </c>
      <c r="AD74" s="44" t="s">
        <v>123</v>
      </c>
      <c r="AE74" s="128">
        <v>948.5333967636254</v>
      </c>
      <c r="AF74" s="128">
        <v>15.0</v>
      </c>
      <c r="AG74" s="128">
        <v>944.4796347309306</v>
      </c>
      <c r="AH74" s="141" t="s">
        <v>248</v>
      </c>
      <c r="AI74" s="128">
        <v>999.9638755471182</v>
      </c>
      <c r="AJ74" s="128">
        <v>20.0</v>
      </c>
      <c r="AK74" s="142">
        <v>995.9718857022939</v>
      </c>
      <c r="AL74" s="44" t="s">
        <v>23</v>
      </c>
      <c r="AM74" s="128">
        <v>1199.4696778779528</v>
      </c>
      <c r="AN74" s="128">
        <v>32.0</v>
      </c>
      <c r="AO74" s="128">
        <v>1195.6921740337878</v>
      </c>
      <c r="AP74" s="143">
        <v>18.0</v>
      </c>
      <c r="AQ74" s="128">
        <v>10.0</v>
      </c>
      <c r="AR74" s="44" t="s">
        <v>269</v>
      </c>
      <c r="AS74" s="44" t="s">
        <v>255</v>
      </c>
      <c r="AT74" s="44">
        <v>73.0</v>
      </c>
      <c r="AU74" s="44"/>
      <c r="AV74" s="44"/>
      <c r="AW74" s="145"/>
      <c r="AX74" s="44"/>
      <c r="AY74" s="145"/>
      <c r="AZ74" s="145"/>
      <c r="BA74" s="145"/>
      <c r="BB74" s="146"/>
      <c r="BC74" s="145"/>
      <c r="BD74" s="44"/>
      <c r="BE74" s="145"/>
      <c r="BF74" s="44"/>
      <c r="BG74" s="145"/>
      <c r="BH74" s="145"/>
      <c r="BI74" s="145"/>
      <c r="BJ74" s="146"/>
      <c r="BK74" s="145"/>
    </row>
    <row r="75">
      <c r="A75" s="140">
        <v>44177.04722222222</v>
      </c>
      <c r="B75" s="141" t="s">
        <v>248</v>
      </c>
      <c r="C75" s="128">
        <v>995.9718857022939</v>
      </c>
      <c r="D75" s="128">
        <v>8.0</v>
      </c>
      <c r="E75" s="142">
        <v>986.5966034085524</v>
      </c>
      <c r="F75" s="44" t="s">
        <v>47</v>
      </c>
      <c r="G75" s="128">
        <v>1011.2338068133174</v>
      </c>
      <c r="H75" s="128">
        <v>17.0</v>
      </c>
      <c r="I75" s="128">
        <v>1002.2486203383364</v>
      </c>
      <c r="J75" s="141" t="s">
        <v>112</v>
      </c>
      <c r="K75" s="128">
        <v>1024.0493360538949</v>
      </c>
      <c r="L75" s="128">
        <v>22.0</v>
      </c>
      <c r="M75" s="142">
        <v>1015.2790972243845</v>
      </c>
      <c r="N75" s="44" t="s">
        <v>92</v>
      </c>
      <c r="O75" s="128">
        <v>1038.8678387120717</v>
      </c>
      <c r="P75" s="128">
        <v>20.0</v>
      </c>
      <c r="Q75" s="128">
        <v>1029.9985463103046</v>
      </c>
      <c r="R75" s="148"/>
      <c r="U75" s="149"/>
      <c r="V75" s="44" t="s">
        <v>107</v>
      </c>
      <c r="W75" s="128">
        <v>940.9656395492854</v>
      </c>
      <c r="X75" s="128">
        <v>25.0</v>
      </c>
      <c r="Y75" s="128">
        <v>950.242086712854</v>
      </c>
      <c r="Z75" s="141" t="s">
        <v>230</v>
      </c>
      <c r="AA75" s="128">
        <v>972.4406331632404</v>
      </c>
      <c r="AB75" s="128">
        <v>17.0</v>
      </c>
      <c r="AC75" s="142">
        <v>981.2898246859331</v>
      </c>
      <c r="AD75" s="44" t="s">
        <v>234</v>
      </c>
      <c r="AE75" s="128">
        <v>992.0879258771636</v>
      </c>
      <c r="AF75" s="128">
        <v>2.0</v>
      </c>
      <c r="AG75" s="128">
        <v>1000.2293767201174</v>
      </c>
      <c r="AH75" s="141" t="s">
        <v>23</v>
      </c>
      <c r="AI75" s="128">
        <v>1195.6921740337878</v>
      </c>
      <c r="AJ75" s="128">
        <v>39.0</v>
      </c>
      <c r="AK75" s="142">
        <v>1205.4250845045726</v>
      </c>
      <c r="AP75" s="143">
        <v>9.0</v>
      </c>
      <c r="AQ75" s="128">
        <v>19.0</v>
      </c>
      <c r="AR75" s="44" t="s">
        <v>270</v>
      </c>
      <c r="AS75" s="44" t="s">
        <v>271</v>
      </c>
      <c r="AT75" s="44">
        <v>74.0</v>
      </c>
      <c r="AU75" s="44"/>
      <c r="AV75" s="44"/>
      <c r="AW75" s="145"/>
      <c r="AX75" s="44"/>
      <c r="AY75" s="145"/>
      <c r="AZ75" s="145"/>
      <c r="BA75" s="145"/>
      <c r="BB75" s="146"/>
      <c r="BC75" s="145"/>
      <c r="BD75" s="44"/>
      <c r="BE75" s="145"/>
      <c r="BF75" s="44"/>
      <c r="BG75" s="145"/>
      <c r="BH75" s="145"/>
      <c r="BI75" s="145"/>
      <c r="BJ75" s="146"/>
      <c r="BK75" s="145"/>
    </row>
    <row r="76">
      <c r="A76" s="140">
        <v>44177.083333333336</v>
      </c>
      <c r="B76" s="141" t="s">
        <v>234</v>
      </c>
      <c r="C76" s="128">
        <v>1000.2293767201174</v>
      </c>
      <c r="D76" s="128">
        <v>11.0</v>
      </c>
      <c r="E76" s="142">
        <v>1001.1966630198314</v>
      </c>
      <c r="F76" s="44" t="s">
        <v>47</v>
      </c>
      <c r="G76" s="128">
        <v>1002.2486203383364</v>
      </c>
      <c r="H76" s="128">
        <v>21.0</v>
      </c>
      <c r="I76" s="128">
        <v>1003.2656679937472</v>
      </c>
      <c r="J76" s="141" t="s">
        <v>112</v>
      </c>
      <c r="K76" s="128">
        <v>1015.2790972243845</v>
      </c>
      <c r="L76" s="128">
        <v>21.0</v>
      </c>
      <c r="M76" s="142">
        <v>1016.2947632692598</v>
      </c>
      <c r="R76" s="148"/>
      <c r="U76" s="149"/>
      <c r="V76" s="44" t="s">
        <v>107</v>
      </c>
      <c r="W76" s="128">
        <v>950.242086712854</v>
      </c>
      <c r="X76" s="128">
        <v>10.0</v>
      </c>
      <c r="Y76" s="128">
        <v>949.2087978448022</v>
      </c>
      <c r="Z76" s="141" t="s">
        <v>230</v>
      </c>
      <c r="AA76" s="128">
        <v>981.2898246859331</v>
      </c>
      <c r="AB76" s="128">
        <v>12.0</v>
      </c>
      <c r="AC76" s="142">
        <v>980.2607800184777</v>
      </c>
      <c r="AD76" s="44" t="s">
        <v>23</v>
      </c>
      <c r="AE76" s="128">
        <v>1205.4250845045726</v>
      </c>
      <c r="AF76" s="128">
        <v>32.0</v>
      </c>
      <c r="AG76" s="128">
        <v>1204.4874180400798</v>
      </c>
      <c r="AH76" s="148"/>
      <c r="AK76" s="149"/>
      <c r="AP76" s="143">
        <v>14.0</v>
      </c>
      <c r="AQ76" s="128">
        <v>14.0</v>
      </c>
      <c r="AR76" s="44" t="s">
        <v>272</v>
      </c>
      <c r="AS76" s="44" t="s">
        <v>243</v>
      </c>
      <c r="AT76" s="44">
        <v>75.0</v>
      </c>
      <c r="AU76" s="44"/>
      <c r="AV76" s="44"/>
      <c r="AW76" s="145"/>
      <c r="AX76" s="44"/>
      <c r="AY76" s="145"/>
      <c r="AZ76" s="145"/>
      <c r="BA76" s="145"/>
      <c r="BB76" s="146"/>
      <c r="BC76" s="145"/>
      <c r="BD76" s="44"/>
      <c r="BE76" s="145"/>
      <c r="BF76" s="44"/>
      <c r="BG76" s="145"/>
      <c r="BH76" s="145"/>
      <c r="BI76" s="145"/>
      <c r="BJ76" s="146"/>
      <c r="BK76" s="145"/>
    </row>
    <row r="77">
      <c r="A77" s="140">
        <v>44177.96875</v>
      </c>
      <c r="B77" s="141" t="s">
        <v>90</v>
      </c>
      <c r="C77" s="128">
        <v>957.0254381044319</v>
      </c>
      <c r="D77" s="128">
        <v>7.0</v>
      </c>
      <c r="E77" s="142">
        <v>959.2401132364885</v>
      </c>
      <c r="F77" s="44" t="s">
        <v>230</v>
      </c>
      <c r="G77" s="128">
        <v>980.2607800184777</v>
      </c>
      <c r="H77" s="128">
        <v>10.0</v>
      </c>
      <c r="I77" s="128">
        <v>982.5005088010315</v>
      </c>
      <c r="J77" s="141" t="s">
        <v>23</v>
      </c>
      <c r="K77" s="128">
        <v>1204.4874180400798</v>
      </c>
      <c r="L77" s="128">
        <v>38.0</v>
      </c>
      <c r="M77" s="142">
        <v>1207.0330141254694</v>
      </c>
      <c r="R77" s="148"/>
      <c r="U77" s="149"/>
      <c r="V77" s="44" t="s">
        <v>47</v>
      </c>
      <c r="W77" s="128">
        <v>1003.2656679937472</v>
      </c>
      <c r="X77" s="128">
        <v>22.0</v>
      </c>
      <c r="Y77" s="128">
        <v>1000.9935353107268</v>
      </c>
      <c r="Z77" s="141" t="s">
        <v>112</v>
      </c>
      <c r="AA77" s="128">
        <v>1016.2947632692598</v>
      </c>
      <c r="AB77" s="128">
        <v>19.0</v>
      </c>
      <c r="AC77" s="142">
        <v>1013.9846069270641</v>
      </c>
      <c r="AD77" s="44" t="s">
        <v>92</v>
      </c>
      <c r="AE77" s="128">
        <v>1029.9985463103046</v>
      </c>
      <c r="AF77" s="128">
        <v>10.0</v>
      </c>
      <c r="AG77" s="128">
        <v>1027.5808353355208</v>
      </c>
      <c r="AH77" s="148"/>
      <c r="AK77" s="149"/>
      <c r="AP77" s="143">
        <v>15.0</v>
      </c>
      <c r="AQ77" s="128">
        <v>13.0</v>
      </c>
      <c r="AR77" s="44" t="s">
        <v>273</v>
      </c>
      <c r="AS77" s="44" t="s">
        <v>229</v>
      </c>
      <c r="AT77" s="44">
        <v>76.0</v>
      </c>
      <c r="AU77" s="44"/>
      <c r="AV77" s="44"/>
      <c r="AW77" s="145"/>
      <c r="AX77" s="44"/>
      <c r="AY77" s="145"/>
      <c r="AZ77" s="145"/>
      <c r="BA77" s="145"/>
      <c r="BB77" s="146"/>
      <c r="BC77" s="145"/>
      <c r="BD77" s="44"/>
      <c r="BE77" s="145"/>
      <c r="BF77" s="44"/>
      <c r="BG77" s="145"/>
      <c r="BH77" s="145"/>
      <c r="BI77" s="145"/>
      <c r="BJ77" s="146"/>
      <c r="BK77" s="145"/>
    </row>
    <row r="78">
      <c r="A78" s="140">
        <v>44178.01388888889</v>
      </c>
      <c r="B78" s="141" t="s">
        <v>90</v>
      </c>
      <c r="C78" s="128">
        <v>959.2401132364885</v>
      </c>
      <c r="D78" s="128">
        <v>13.0</v>
      </c>
      <c r="E78" s="142">
        <v>963.7208175796792</v>
      </c>
      <c r="F78" s="44" t="s">
        <v>230</v>
      </c>
      <c r="G78" s="128">
        <v>982.5005088010315</v>
      </c>
      <c r="H78" s="128">
        <v>21.0</v>
      </c>
      <c r="I78" s="128">
        <v>987.144356929854</v>
      </c>
      <c r="J78" s="141" t="s">
        <v>23</v>
      </c>
      <c r="K78" s="128">
        <v>1207.0330141254694</v>
      </c>
      <c r="L78" s="128">
        <v>33.0</v>
      </c>
      <c r="M78" s="142">
        <v>1211.9084616534562</v>
      </c>
      <c r="R78" s="148"/>
      <c r="U78" s="149"/>
      <c r="V78" s="44" t="s">
        <v>47</v>
      </c>
      <c r="W78" s="128">
        <v>1000.9935353107268</v>
      </c>
      <c r="X78" s="128">
        <v>23.0</v>
      </c>
      <c r="Y78" s="128">
        <v>996.4574586331216</v>
      </c>
      <c r="Z78" s="141" t="s">
        <v>112</v>
      </c>
      <c r="AA78" s="128">
        <v>1013.9846069270641</v>
      </c>
      <c r="AB78" s="128">
        <v>11.0</v>
      </c>
      <c r="AC78" s="142">
        <v>1009.1620548435932</v>
      </c>
      <c r="AD78" s="44" t="s">
        <v>92</v>
      </c>
      <c r="AE78" s="128">
        <v>1027.5808353355208</v>
      </c>
      <c r="AF78" s="128">
        <v>19.0</v>
      </c>
      <c r="AG78" s="128">
        <v>1022.9394640965968</v>
      </c>
      <c r="AH78" s="148"/>
      <c r="AK78" s="149"/>
      <c r="AP78" s="143">
        <v>18.0</v>
      </c>
      <c r="AQ78" s="128">
        <v>10.0</v>
      </c>
      <c r="AR78" s="44" t="s">
        <v>274</v>
      </c>
      <c r="AS78" s="44" t="s">
        <v>275</v>
      </c>
      <c r="AT78" s="44">
        <v>77.0</v>
      </c>
      <c r="AU78" s="44"/>
      <c r="AV78" s="44"/>
      <c r="AW78" s="145"/>
      <c r="AX78" s="44"/>
      <c r="AY78" s="145"/>
      <c r="AZ78" s="145"/>
      <c r="BA78" s="145"/>
      <c r="BB78" s="146"/>
      <c r="BC78" s="145"/>
      <c r="BD78" s="44"/>
      <c r="BE78" s="145"/>
      <c r="BF78" s="44"/>
      <c r="BG78" s="145"/>
      <c r="BH78" s="145"/>
      <c r="BI78" s="145"/>
      <c r="BJ78" s="146"/>
      <c r="BK78" s="145"/>
    </row>
    <row r="79">
      <c r="A79" s="140">
        <v>44178.96666666667</v>
      </c>
      <c r="B79" s="141" t="s">
        <v>224</v>
      </c>
      <c r="C79" s="128">
        <v>917.5742912459624</v>
      </c>
      <c r="D79" s="128">
        <v>7.0</v>
      </c>
      <c r="E79" s="142">
        <v>913.6323013592745</v>
      </c>
      <c r="F79" s="44" t="s">
        <v>107</v>
      </c>
      <c r="G79" s="128">
        <v>949.2087978448022</v>
      </c>
      <c r="H79" s="128">
        <v>13.0</v>
      </c>
      <c r="I79" s="128">
        <v>945.3552127518935</v>
      </c>
      <c r="J79" s="141" t="s">
        <v>90</v>
      </c>
      <c r="K79" s="128">
        <v>963.7208175796792</v>
      </c>
      <c r="L79" s="128">
        <v>18.0</v>
      </c>
      <c r="M79" s="142">
        <v>959.9522341828057</v>
      </c>
      <c r="N79" s="44" t="s">
        <v>230</v>
      </c>
      <c r="O79" s="128">
        <v>987.144356929854</v>
      </c>
      <c r="P79" s="128">
        <v>20.0</v>
      </c>
      <c r="Q79" s="128">
        <v>983.4001893244273</v>
      </c>
      <c r="R79" s="141" t="s">
        <v>47</v>
      </c>
      <c r="S79" s="128">
        <v>996.4574586331216</v>
      </c>
      <c r="T79" s="128">
        <v>23.0</v>
      </c>
      <c r="U79" s="142">
        <v>992.7657846150184</v>
      </c>
      <c r="V79" s="44" t="s">
        <v>228</v>
      </c>
      <c r="W79" s="128">
        <v>1002.54737236421</v>
      </c>
      <c r="X79" s="128">
        <v>13.0</v>
      </c>
      <c r="Y79" s="128">
        <v>1007.0257234516532</v>
      </c>
      <c r="Z79" s="141" t="s">
        <v>112</v>
      </c>
      <c r="AA79" s="128">
        <v>1009.1620548435932</v>
      </c>
      <c r="AB79" s="128">
        <v>23.0</v>
      </c>
      <c r="AC79" s="142">
        <v>1013.873239070251</v>
      </c>
      <c r="AD79" s="44" t="s">
        <v>92</v>
      </c>
      <c r="AE79" s="128">
        <v>1022.9394640965968</v>
      </c>
      <c r="AF79" s="128">
        <v>23.0</v>
      </c>
      <c r="AG79" s="128">
        <v>1027.642286186658</v>
      </c>
      <c r="AH79" s="141" t="s">
        <v>23</v>
      </c>
      <c r="AI79" s="128">
        <v>1211.9084616534562</v>
      </c>
      <c r="AJ79" s="128">
        <v>41.0</v>
      </c>
      <c r="AK79" s="142">
        <v>1217.0161042492937</v>
      </c>
      <c r="AP79" s="143">
        <v>13.0</v>
      </c>
      <c r="AQ79" s="128">
        <v>15.0</v>
      </c>
      <c r="AS79" s="44" t="s">
        <v>229</v>
      </c>
      <c r="AT79" s="44">
        <v>78.0</v>
      </c>
      <c r="AU79" s="44"/>
      <c r="AW79" s="93"/>
      <c r="AY79" s="93"/>
      <c r="AZ79" s="93"/>
      <c r="BA79" s="93"/>
      <c r="BB79" s="155"/>
      <c r="BC79" s="93"/>
      <c r="BE79" s="93"/>
      <c r="BG79" s="93"/>
      <c r="BH79" s="93"/>
      <c r="BI79" s="93"/>
      <c r="BJ79" s="155"/>
      <c r="BK79" s="93"/>
    </row>
    <row r="80">
      <c r="A80" s="140">
        <v>44179.01666666667</v>
      </c>
      <c r="B80" s="141" t="s">
        <v>224</v>
      </c>
      <c r="C80" s="128">
        <v>913.6323013592745</v>
      </c>
      <c r="D80" s="128">
        <v>5.0</v>
      </c>
      <c r="E80" s="142">
        <v>908.099672957125</v>
      </c>
      <c r="F80" s="44" t="s">
        <v>107</v>
      </c>
      <c r="G80" s="128">
        <v>945.3552127518935</v>
      </c>
      <c r="H80" s="128">
        <v>16.0</v>
      </c>
      <c r="I80" s="128">
        <v>940.0734432058501</v>
      </c>
      <c r="J80" s="141" t="s">
        <v>90</v>
      </c>
      <c r="K80" s="128">
        <v>959.9522341828057</v>
      </c>
      <c r="L80" s="128">
        <v>16.0</v>
      </c>
      <c r="M80" s="142">
        <v>954.6554911659545</v>
      </c>
      <c r="N80" s="44" t="s">
        <v>23</v>
      </c>
      <c r="O80" s="128">
        <v>1217.0161042492937</v>
      </c>
      <c r="P80" s="128">
        <v>34.0</v>
      </c>
      <c r="Q80" s="128">
        <v>1212.1272452143378</v>
      </c>
      <c r="R80" s="148"/>
      <c r="U80" s="149"/>
      <c r="V80" s="44" t="s">
        <v>248</v>
      </c>
      <c r="W80" s="128">
        <v>986.5966034085524</v>
      </c>
      <c r="X80" s="128">
        <v>14.0</v>
      </c>
      <c r="Y80" s="128">
        <v>991.6112997960797</v>
      </c>
      <c r="Z80" s="141" t="s">
        <v>47</v>
      </c>
      <c r="AA80" s="128">
        <v>992.7657846150184</v>
      </c>
      <c r="AB80" s="128">
        <v>30.0</v>
      </c>
      <c r="AC80" s="142">
        <v>998.1949920526195</v>
      </c>
      <c r="AD80" s="44" t="s">
        <v>112</v>
      </c>
      <c r="AE80" s="128">
        <v>1013.873239070251</v>
      </c>
      <c r="AF80" s="128">
        <v>30.0</v>
      </c>
      <c r="AG80" s="128">
        <v>1019.2865634698263</v>
      </c>
      <c r="AH80" s="141" t="s">
        <v>92</v>
      </c>
      <c r="AI80" s="128">
        <v>1027.642286186658</v>
      </c>
      <c r="AJ80" s="128">
        <v>20.0</v>
      </c>
      <c r="AK80" s="142">
        <v>1032.7850579619544</v>
      </c>
      <c r="AP80" s="143">
        <v>11.0</v>
      </c>
      <c r="AQ80" s="128">
        <v>17.0</v>
      </c>
      <c r="AS80" s="44" t="s">
        <v>266</v>
      </c>
      <c r="AT80" s="44">
        <v>79.0</v>
      </c>
      <c r="AU80" s="44"/>
      <c r="AW80" s="93"/>
      <c r="AY80" s="93"/>
      <c r="AZ80" s="93"/>
      <c r="BA80" s="93"/>
      <c r="BB80" s="155"/>
      <c r="BC80" s="93"/>
      <c r="BE80" s="93"/>
      <c r="BG80" s="93"/>
      <c r="BH80" s="93"/>
      <c r="BI80" s="93"/>
      <c r="BJ80" s="155"/>
      <c r="BK80" s="93"/>
    </row>
    <row r="81">
      <c r="A81" s="140">
        <v>44179.97638888889</v>
      </c>
      <c r="B81" s="141" t="s">
        <v>123</v>
      </c>
      <c r="C81" s="128">
        <v>944.4796347309306</v>
      </c>
      <c r="D81" s="128">
        <v>11.0</v>
      </c>
      <c r="E81" s="142">
        <v>949.2783598604359</v>
      </c>
      <c r="F81" s="44" t="s">
        <v>90</v>
      </c>
      <c r="G81" s="128">
        <v>954.6554911659545</v>
      </c>
      <c r="H81" s="128">
        <v>19.0</v>
      </c>
      <c r="I81" s="128">
        <v>959.6429655399996</v>
      </c>
      <c r="J81" s="141" t="s">
        <v>23</v>
      </c>
      <c r="K81" s="128">
        <v>1212.1272452143378</v>
      </c>
      <c r="L81" s="128">
        <v>31.0</v>
      </c>
      <c r="M81" s="142">
        <v>1217.3410457107873</v>
      </c>
      <c r="R81" s="148"/>
      <c r="U81" s="149"/>
      <c r="V81" s="44" t="s">
        <v>27</v>
      </c>
      <c r="W81" s="128">
        <v>1001.0439069658333</v>
      </c>
      <c r="X81" s="128">
        <v>17.0</v>
      </c>
      <c r="Y81" s="128">
        <v>996.0890575771496</v>
      </c>
      <c r="Z81" s="141" t="s">
        <v>228</v>
      </c>
      <c r="AA81" s="128">
        <v>1007.0257234516532</v>
      </c>
      <c r="AB81" s="128">
        <v>13.0</v>
      </c>
      <c r="AC81" s="142">
        <v>1001.9681278825279</v>
      </c>
      <c r="AD81" s="44" t="s">
        <v>112</v>
      </c>
      <c r="AE81" s="128">
        <v>1019.2865634698263</v>
      </c>
      <c r="AF81" s="128">
        <v>16.0</v>
      </c>
      <c r="AG81" s="128">
        <v>1014.2990084276354</v>
      </c>
      <c r="AH81" s="148"/>
      <c r="AK81" s="149"/>
      <c r="AP81" s="143">
        <v>18.0</v>
      </c>
      <c r="AQ81" s="128">
        <v>10.0</v>
      </c>
      <c r="AR81" s="44" t="s">
        <v>276</v>
      </c>
      <c r="AS81" s="44" t="s">
        <v>255</v>
      </c>
      <c r="AT81" s="44">
        <v>80.0</v>
      </c>
      <c r="AU81" s="44"/>
      <c r="AV81" s="44"/>
      <c r="AW81" s="145"/>
      <c r="AX81" s="44"/>
      <c r="AY81" s="145"/>
      <c r="AZ81" s="145"/>
      <c r="BA81" s="145"/>
      <c r="BB81" s="146"/>
      <c r="BC81" s="145"/>
      <c r="BD81" s="44"/>
      <c r="BE81" s="145"/>
      <c r="BF81" s="44"/>
      <c r="BG81" s="145"/>
      <c r="BH81" s="145"/>
      <c r="BI81" s="145"/>
      <c r="BJ81" s="146"/>
      <c r="BK81" s="145"/>
    </row>
    <row r="82">
      <c r="A82" s="140">
        <v>44180.959027777775</v>
      </c>
      <c r="B82" s="141" t="s">
        <v>123</v>
      </c>
      <c r="C82" s="128">
        <v>949.2783598604359</v>
      </c>
      <c r="D82" s="128">
        <v>17.0</v>
      </c>
      <c r="E82" s="142">
        <v>946.8349239251731</v>
      </c>
      <c r="F82" s="44" t="s">
        <v>90</v>
      </c>
      <c r="G82" s="128">
        <v>959.6429655399996</v>
      </c>
      <c r="H82" s="128">
        <v>17.0</v>
      </c>
      <c r="I82" s="128">
        <v>957.1939269778911</v>
      </c>
      <c r="J82" s="141" t="s">
        <v>230</v>
      </c>
      <c r="K82" s="128">
        <v>983.4001893244273</v>
      </c>
      <c r="L82" s="128">
        <v>20.0</v>
      </c>
      <c r="M82" s="142">
        <v>980.9760549056508</v>
      </c>
      <c r="N82" s="44" t="s">
        <v>248</v>
      </c>
      <c r="O82" s="128">
        <v>991.6112997960797</v>
      </c>
      <c r="P82" s="128">
        <v>22.0</v>
      </c>
      <c r="Q82" s="128">
        <v>989.2079082083626</v>
      </c>
      <c r="R82" s="141" t="s">
        <v>23</v>
      </c>
      <c r="S82" s="128">
        <v>1217.3410457107873</v>
      </c>
      <c r="T82" s="128">
        <v>34.0</v>
      </c>
      <c r="U82" s="142">
        <v>1215.0610462146522</v>
      </c>
      <c r="V82" s="44" t="s">
        <v>27</v>
      </c>
      <c r="W82" s="128">
        <v>996.0890575771496</v>
      </c>
      <c r="X82" s="128">
        <v>20.0</v>
      </c>
      <c r="Y82" s="128">
        <v>998.5065926423582</v>
      </c>
      <c r="Z82" s="141" t="s">
        <v>47</v>
      </c>
      <c r="AA82" s="128">
        <v>998.1949920526195</v>
      </c>
      <c r="AB82" s="128">
        <v>35.0</v>
      </c>
      <c r="AC82" s="142">
        <v>1000.7919100098717</v>
      </c>
      <c r="AD82" s="44" t="s">
        <v>228</v>
      </c>
      <c r="AE82" s="128">
        <v>1001.9681278825279</v>
      </c>
      <c r="AF82" s="128">
        <v>7.0</v>
      </c>
      <c r="AG82" s="128">
        <v>1004.2279799675849</v>
      </c>
      <c r="AH82" s="141" t="s">
        <v>112</v>
      </c>
      <c r="AI82" s="128">
        <v>1014.2990084276354</v>
      </c>
      <c r="AJ82" s="128">
        <v>23.0</v>
      </c>
      <c r="AK82" s="142">
        <v>1016.747727050785</v>
      </c>
      <c r="AL82" s="44" t="s">
        <v>92</v>
      </c>
      <c r="AM82" s="128">
        <v>1032.7850579619544</v>
      </c>
      <c r="AN82" s="128">
        <v>9.0</v>
      </c>
      <c r="AO82" s="128">
        <v>1035.0620342312868</v>
      </c>
      <c r="AP82" s="143">
        <v>13.0</v>
      </c>
      <c r="AQ82" s="128">
        <v>15.0</v>
      </c>
      <c r="AR82" s="44" t="s">
        <v>277</v>
      </c>
      <c r="AS82" s="44" t="s">
        <v>255</v>
      </c>
      <c r="AT82" s="44">
        <v>81.0</v>
      </c>
      <c r="AU82" s="44"/>
      <c r="AV82" s="44"/>
      <c r="AW82" s="145"/>
      <c r="AX82" s="44"/>
      <c r="AY82" s="145"/>
      <c r="AZ82" s="145"/>
      <c r="BA82" s="145"/>
      <c r="BB82" s="146"/>
      <c r="BC82" s="145"/>
      <c r="BD82" s="44"/>
      <c r="BE82" s="145"/>
      <c r="BF82" s="44"/>
      <c r="BG82" s="145"/>
      <c r="BH82" s="145"/>
      <c r="BI82" s="145"/>
      <c r="BJ82" s="146"/>
      <c r="BK82" s="145"/>
    </row>
    <row r="83">
      <c r="A83" s="140">
        <v>44181.0125</v>
      </c>
      <c r="B83" s="141" t="s">
        <v>224</v>
      </c>
      <c r="C83" s="128">
        <v>910.099672957125</v>
      </c>
      <c r="D83" s="128">
        <v>9.0</v>
      </c>
      <c r="E83" s="142">
        <v>912.0053021186711</v>
      </c>
      <c r="F83" s="44" t="s">
        <v>123</v>
      </c>
      <c r="G83" s="128">
        <v>946.8349239251731</v>
      </c>
      <c r="H83" s="128">
        <v>16.0</v>
      </c>
      <c r="I83" s="128">
        <v>948.7909029931063</v>
      </c>
      <c r="J83" s="141" t="s">
        <v>90</v>
      </c>
      <c r="K83" s="128">
        <v>957.1939269778911</v>
      </c>
      <c r="L83" s="128">
        <v>22.0</v>
      </c>
      <c r="M83" s="142">
        <v>959.2051469958454</v>
      </c>
      <c r="N83" s="44" t="s">
        <v>27</v>
      </c>
      <c r="O83" s="128">
        <v>998.5065926423582</v>
      </c>
      <c r="P83" s="128">
        <v>31.0</v>
      </c>
      <c r="Q83" s="128">
        <v>1000.592687802633</v>
      </c>
      <c r="R83" s="141" t="s">
        <v>23</v>
      </c>
      <c r="S83" s="128">
        <v>1215.0610462146522</v>
      </c>
      <c r="T83" s="128">
        <v>28.0</v>
      </c>
      <c r="U83" s="142">
        <v>1217.1021228069437</v>
      </c>
      <c r="V83" s="44" t="s">
        <v>230</v>
      </c>
      <c r="W83" s="128">
        <v>980.9760549056508</v>
      </c>
      <c r="X83" s="128">
        <v>19.0</v>
      </c>
      <c r="Y83" s="128">
        <v>978.9584094795649</v>
      </c>
      <c r="Z83" s="141" t="s">
        <v>248</v>
      </c>
      <c r="AA83" s="128">
        <v>989.2079082083626</v>
      </c>
      <c r="AB83" s="128">
        <v>22.0</v>
      </c>
      <c r="AC83" s="142">
        <v>987.2176038658635</v>
      </c>
      <c r="AD83" s="44" t="s">
        <v>47</v>
      </c>
      <c r="AE83" s="128">
        <v>1000.7919100098717</v>
      </c>
      <c r="AF83" s="128">
        <v>24.0</v>
      </c>
      <c r="AG83" s="128">
        <v>998.8182654963603</v>
      </c>
      <c r="AH83" s="141" t="s">
        <v>112</v>
      </c>
      <c r="AI83" s="128">
        <v>1016.747727050785</v>
      </c>
      <c r="AJ83" s="128">
        <v>20.0</v>
      </c>
      <c r="AK83" s="142">
        <v>1014.7302315484724</v>
      </c>
      <c r="AL83" s="44" t="s">
        <v>92</v>
      </c>
      <c r="AM83" s="128">
        <v>1035.0620342312868</v>
      </c>
      <c r="AN83" s="128">
        <v>22.0</v>
      </c>
      <c r="AO83" s="128">
        <v>1033.061124015696</v>
      </c>
      <c r="AP83" s="143">
        <v>15.0</v>
      </c>
      <c r="AQ83" s="128">
        <v>13.0</v>
      </c>
      <c r="AR83" s="44" t="s">
        <v>278</v>
      </c>
      <c r="AS83" s="44" t="s">
        <v>279</v>
      </c>
      <c r="AT83" s="44">
        <v>82.0</v>
      </c>
      <c r="AU83" s="44"/>
      <c r="AV83" s="44"/>
      <c r="AW83" s="145"/>
      <c r="AX83" s="44"/>
      <c r="AY83" s="145"/>
      <c r="AZ83" s="145"/>
      <c r="BA83" s="145"/>
      <c r="BB83" s="146"/>
      <c r="BC83" s="145"/>
      <c r="BD83" s="44"/>
      <c r="BE83" s="145"/>
      <c r="BF83" s="44"/>
      <c r="BG83" s="145"/>
      <c r="BH83" s="145"/>
      <c r="BI83" s="145"/>
      <c r="BJ83" s="146"/>
      <c r="BK83" s="145"/>
    </row>
    <row r="84">
      <c r="A84" s="140">
        <v>44181.96527777778</v>
      </c>
      <c r="B84" s="141" t="s">
        <v>123</v>
      </c>
      <c r="C84" s="128">
        <v>948.7909029931063</v>
      </c>
      <c r="D84" s="128">
        <v>10.0</v>
      </c>
      <c r="E84" s="142">
        <v>949.2775992403061</v>
      </c>
      <c r="F84" s="44" t="s">
        <v>90</v>
      </c>
      <c r="G84" s="128">
        <v>959.2051469958454</v>
      </c>
      <c r="H84" s="128">
        <v>12.0</v>
      </c>
      <c r="I84" s="128">
        <v>959.6959634708495</v>
      </c>
      <c r="J84" s="141" t="s">
        <v>230</v>
      </c>
      <c r="K84" s="128">
        <v>978.9584094795649</v>
      </c>
      <c r="L84" s="128">
        <v>18.0</v>
      </c>
      <c r="M84" s="142">
        <v>979.4627567133963</v>
      </c>
      <c r="N84" s="44" t="s">
        <v>47</v>
      </c>
      <c r="O84" s="128">
        <v>998.8182654963603</v>
      </c>
      <c r="P84" s="128">
        <v>24.0</v>
      </c>
      <c r="Q84" s="128">
        <v>999.336405540325</v>
      </c>
      <c r="R84" s="148"/>
      <c r="U84" s="149"/>
      <c r="V84" s="44" t="s">
        <v>228</v>
      </c>
      <c r="W84" s="128">
        <v>1004.2279799675849</v>
      </c>
      <c r="X84" s="128">
        <v>12.0</v>
      </c>
      <c r="Y84" s="128">
        <v>1003.5372773072136</v>
      </c>
      <c r="Z84" s="141" t="s">
        <v>112</v>
      </c>
      <c r="AA84" s="128">
        <v>1014.7302315484724</v>
      </c>
      <c r="AB84" s="128">
        <v>15.0</v>
      </c>
      <c r="AC84" s="142">
        <v>1014.0487804864257</v>
      </c>
      <c r="AD84" s="44" t="s">
        <v>23</v>
      </c>
      <c r="AE84" s="128">
        <v>1217.1021228069437</v>
      </c>
      <c r="AF84" s="128">
        <v>32.0</v>
      </c>
      <c r="AG84" s="128">
        <v>1216.4742765293618</v>
      </c>
      <c r="AH84" s="148"/>
      <c r="AK84" s="149"/>
      <c r="AP84" s="143">
        <v>19.0</v>
      </c>
      <c r="AQ84" s="128">
        <v>9.0</v>
      </c>
      <c r="AR84" s="156" t="s">
        <v>278</v>
      </c>
      <c r="AS84" s="44" t="s">
        <v>255</v>
      </c>
      <c r="AT84" s="44">
        <v>83.0</v>
      </c>
      <c r="AU84" s="44"/>
      <c r="AV84" s="156"/>
      <c r="AW84" s="157"/>
      <c r="AX84" s="156"/>
      <c r="AY84" s="157"/>
      <c r="AZ84" s="157"/>
      <c r="BA84" s="157"/>
      <c r="BB84" s="158"/>
      <c r="BC84" s="157"/>
      <c r="BD84" s="156"/>
      <c r="BE84" s="157"/>
      <c r="BF84" s="156"/>
      <c r="BG84" s="157"/>
      <c r="BH84" s="157"/>
      <c r="BI84" s="157"/>
      <c r="BJ84" s="158"/>
      <c r="BK84" s="157"/>
    </row>
    <row r="85">
      <c r="A85" s="140">
        <v>44181.99930555555</v>
      </c>
      <c r="B85" s="141" t="s">
        <v>123</v>
      </c>
      <c r="C85" s="128">
        <v>949.2775992403061</v>
      </c>
      <c r="D85" s="128">
        <v>15.0</v>
      </c>
      <c r="E85" s="142">
        <v>945.9242759833326</v>
      </c>
      <c r="F85" s="44" t="s">
        <v>228</v>
      </c>
      <c r="G85" s="128">
        <v>1003.5372773072136</v>
      </c>
      <c r="H85" s="128">
        <v>13.0</v>
      </c>
      <c r="I85" s="128">
        <v>1000.124029779827</v>
      </c>
      <c r="J85" s="141" t="s">
        <v>112</v>
      </c>
      <c r="K85" s="128">
        <v>1014.0487804864257</v>
      </c>
      <c r="L85" s="128">
        <v>24.0</v>
      </c>
      <c r="M85" s="142">
        <v>1010.8153512707859</v>
      </c>
      <c r="R85" s="148"/>
      <c r="U85" s="149"/>
      <c r="V85" s="44" t="s">
        <v>230</v>
      </c>
      <c r="W85" s="128">
        <v>979.4627567133963</v>
      </c>
      <c r="X85" s="128">
        <v>14.0</v>
      </c>
      <c r="Y85" s="128">
        <v>982.6972772572942</v>
      </c>
      <c r="Z85" s="141" t="s">
        <v>47</v>
      </c>
      <c r="AA85" s="128">
        <v>999.336405540325</v>
      </c>
      <c r="AB85" s="128">
        <v>28.0</v>
      </c>
      <c r="AC85" s="142">
        <v>1002.7944190391083</v>
      </c>
      <c r="AD85" s="44" t="s">
        <v>27</v>
      </c>
      <c r="AE85" s="128">
        <v>1000.592687802633</v>
      </c>
      <c r="AF85" s="128">
        <v>19.0</v>
      </c>
      <c r="AG85" s="128">
        <v>1003.9001537599519</v>
      </c>
      <c r="AH85" s="148"/>
      <c r="AK85" s="149"/>
      <c r="AP85" s="143">
        <v>13.0</v>
      </c>
      <c r="AQ85" s="128">
        <v>15.0</v>
      </c>
      <c r="AS85" s="44" t="s">
        <v>280</v>
      </c>
      <c r="AT85" s="44">
        <v>84.0</v>
      </c>
      <c r="AU85" s="44"/>
      <c r="AW85" s="93"/>
      <c r="AY85" s="93"/>
      <c r="AZ85" s="93"/>
      <c r="BA85" s="93"/>
      <c r="BB85" s="155"/>
      <c r="BC85" s="93"/>
      <c r="BE85" s="93"/>
      <c r="BG85" s="93"/>
      <c r="BH85" s="93"/>
      <c r="BI85" s="93"/>
      <c r="BJ85" s="155"/>
      <c r="BK85" s="93"/>
    </row>
    <row r="86">
      <c r="A86" s="140">
        <v>44182.955555555556</v>
      </c>
      <c r="B86" s="141" t="s">
        <v>90</v>
      </c>
      <c r="C86" s="128">
        <v>959.6959634708495</v>
      </c>
      <c r="D86" s="128">
        <v>13.0</v>
      </c>
      <c r="E86" s="142">
        <v>961.6467976536446</v>
      </c>
      <c r="F86" s="44" t="s">
        <v>230</v>
      </c>
      <c r="G86" s="128">
        <v>982.6972772572942</v>
      </c>
      <c r="H86" s="128">
        <v>19.0</v>
      </c>
      <c r="I86" s="128">
        <v>984.7004287835771</v>
      </c>
      <c r="J86" s="141" t="s">
        <v>23</v>
      </c>
      <c r="K86" s="128">
        <v>1216.4742765293618</v>
      </c>
      <c r="L86" s="128">
        <v>25.0</v>
      </c>
      <c r="M86" s="142">
        <v>1218.520290820284</v>
      </c>
      <c r="R86" s="148"/>
      <c r="U86" s="149"/>
      <c r="V86" s="44" t="s">
        <v>248</v>
      </c>
      <c r="W86" s="128">
        <v>987.2176038658635</v>
      </c>
      <c r="X86" s="128">
        <v>11.0</v>
      </c>
      <c r="Y86" s="128">
        <v>985.1506931310985</v>
      </c>
      <c r="Z86" s="141" t="s">
        <v>47</v>
      </c>
      <c r="AA86" s="128">
        <v>1002.7944190391083</v>
      </c>
      <c r="AB86" s="128">
        <v>22.0</v>
      </c>
      <c r="AC86" s="142">
        <v>1000.8337139451347</v>
      </c>
      <c r="AD86" s="44" t="s">
        <v>112</v>
      </c>
      <c r="AE86" s="128">
        <v>1010.8153512707859</v>
      </c>
      <c r="AF86" s="128">
        <v>21.0</v>
      </c>
      <c r="AG86" s="128">
        <v>1008.8429670995245</v>
      </c>
      <c r="AH86" s="148"/>
      <c r="AK86" s="149"/>
      <c r="AP86" s="143">
        <v>14.0</v>
      </c>
      <c r="AQ86" s="128">
        <v>13.0</v>
      </c>
      <c r="AS86" s="44" t="s">
        <v>255</v>
      </c>
      <c r="AT86" s="44">
        <v>85.0</v>
      </c>
      <c r="AU86" s="44"/>
      <c r="AW86" s="93"/>
      <c r="AY86" s="93"/>
      <c r="AZ86" s="93"/>
      <c r="BA86" s="93"/>
      <c r="BB86" s="155"/>
      <c r="BC86" s="93"/>
      <c r="BE86" s="93"/>
      <c r="BG86" s="93"/>
      <c r="BH86" s="93"/>
      <c r="BI86" s="93"/>
      <c r="BJ86" s="155"/>
      <c r="BK86" s="93"/>
    </row>
    <row r="87">
      <c r="A87" s="140">
        <v>44183.041666666664</v>
      </c>
      <c r="B87" s="141" t="s">
        <v>107</v>
      </c>
      <c r="C87" s="128">
        <v>940.0734432058501</v>
      </c>
      <c r="D87" s="128">
        <v>31.0</v>
      </c>
      <c r="E87" s="142">
        <v>940.2754390410403</v>
      </c>
      <c r="F87" s="44" t="s">
        <v>123</v>
      </c>
      <c r="G87" s="128">
        <v>945.9242759833326</v>
      </c>
      <c r="H87" s="128">
        <v>22.0</v>
      </c>
      <c r="I87" s="128">
        <v>946.116860031654</v>
      </c>
      <c r="J87" s="141" t="s">
        <v>90</v>
      </c>
      <c r="K87" s="128">
        <v>961.6467976536446</v>
      </c>
      <c r="L87" s="128">
        <v>33.0</v>
      </c>
      <c r="M87" s="142">
        <v>961.8493583739638</v>
      </c>
      <c r="N87" s="44" t="s">
        <v>230</v>
      </c>
      <c r="O87" s="128">
        <v>984.7004287835771</v>
      </c>
      <c r="P87" s="128">
        <v>28.0</v>
      </c>
      <c r="Q87" s="128">
        <v>984.8967195128276</v>
      </c>
      <c r="R87" s="141" t="s">
        <v>47</v>
      </c>
      <c r="S87" s="128">
        <v>1000.8337139451347</v>
      </c>
      <c r="T87" s="128">
        <v>39.0</v>
      </c>
      <c r="U87" s="142">
        <v>1001.0402826120535</v>
      </c>
      <c r="V87" s="44" t="s">
        <v>248</v>
      </c>
      <c r="W87" s="128">
        <v>985.1506931310985</v>
      </c>
      <c r="X87" s="44">
        <v>41.0</v>
      </c>
      <c r="Y87" s="128">
        <v>984.8914992658729</v>
      </c>
      <c r="Z87" s="141" t="s">
        <v>27</v>
      </c>
      <c r="AA87" s="128">
        <v>1003.9001537599519</v>
      </c>
      <c r="AB87" s="128">
        <v>41.0</v>
      </c>
      <c r="AC87" s="142">
        <v>1003.6432413510848</v>
      </c>
      <c r="AD87" s="44" t="s">
        <v>112</v>
      </c>
      <c r="AE87" s="128">
        <v>1008.8429670995245</v>
      </c>
      <c r="AF87" s="128">
        <v>41.0</v>
      </c>
      <c r="AG87" s="128">
        <v>1008.5857217454454</v>
      </c>
      <c r="AH87" s="141" t="s">
        <v>23</v>
      </c>
      <c r="AI87" s="128">
        <v>1218.520290820284</v>
      </c>
      <c r="AJ87" s="128">
        <v>68.0</v>
      </c>
      <c r="AK87" s="142">
        <v>1218.2936424484556</v>
      </c>
      <c r="AP87" s="143">
        <v>30.0</v>
      </c>
      <c r="AQ87" s="128">
        <v>26.0</v>
      </c>
      <c r="AR87" s="156" t="s">
        <v>281</v>
      </c>
      <c r="AS87" s="44" t="s">
        <v>282</v>
      </c>
      <c r="AT87" s="44">
        <v>86.0</v>
      </c>
      <c r="AU87" s="44"/>
      <c r="AV87" s="156"/>
      <c r="AW87" s="157"/>
      <c r="AX87" s="156"/>
      <c r="AY87" s="157"/>
      <c r="AZ87" s="157"/>
      <c r="BA87" s="157"/>
      <c r="BB87" s="158"/>
      <c r="BC87" s="157"/>
      <c r="BD87" s="156"/>
      <c r="BE87" s="157"/>
      <c r="BF87" s="156"/>
      <c r="BG87" s="157"/>
      <c r="BH87" s="157"/>
      <c r="BI87" s="157"/>
      <c r="BJ87" s="158"/>
      <c r="BK87" s="157"/>
    </row>
    <row r="88">
      <c r="A88" s="140">
        <v>44183.995833333334</v>
      </c>
      <c r="B88" s="141" t="s">
        <v>123</v>
      </c>
      <c r="C88" s="128">
        <v>946.116860031654</v>
      </c>
      <c r="D88" s="128">
        <v>18.0</v>
      </c>
      <c r="E88" s="142">
        <v>948.4528629190182</v>
      </c>
      <c r="F88" s="44" t="s">
        <v>90</v>
      </c>
      <c r="G88" s="128">
        <v>961.8493583739638</v>
      </c>
      <c r="H88" s="128">
        <v>16.0</v>
      </c>
      <c r="I88" s="128">
        <v>964.1548116258072</v>
      </c>
      <c r="J88" s="141" t="s">
        <v>23</v>
      </c>
      <c r="K88" s="128">
        <v>1218.2936424484556</v>
      </c>
      <c r="L88" s="128">
        <v>23.0</v>
      </c>
      <c r="M88" s="142">
        <v>1220.652186309248</v>
      </c>
      <c r="R88" s="148"/>
      <c r="U88" s="149"/>
      <c r="V88" s="44" t="s">
        <v>47</v>
      </c>
      <c r="W88" s="128">
        <v>1001.0402826120535</v>
      </c>
      <c r="X88" s="128">
        <v>28.0</v>
      </c>
      <c r="Y88" s="128">
        <v>998.8244636505616</v>
      </c>
      <c r="Z88" s="141" t="s">
        <v>27</v>
      </c>
      <c r="AA88" s="128">
        <v>1003.6432413510848</v>
      </c>
      <c r="AB88" s="128">
        <v>16.0</v>
      </c>
      <c r="AC88" s="142">
        <v>1001.2867542938453</v>
      </c>
      <c r="AD88" s="44" t="s">
        <v>112</v>
      </c>
      <c r="AE88" s="128">
        <v>1008.5857217454454</v>
      </c>
      <c r="AF88" s="128">
        <v>10.0</v>
      </c>
      <c r="AG88" s="128">
        <v>1006.1580277641768</v>
      </c>
      <c r="AH88" s="148"/>
      <c r="AK88" s="149"/>
      <c r="AP88" s="143">
        <v>15.0</v>
      </c>
      <c r="AQ88" s="128">
        <v>13.0</v>
      </c>
      <c r="AS88" s="44" t="s">
        <v>229</v>
      </c>
      <c r="AT88" s="44">
        <v>87.0</v>
      </c>
      <c r="AU88" s="44"/>
      <c r="AW88" s="93"/>
      <c r="AY88" s="93"/>
      <c r="AZ88" s="93"/>
      <c r="BA88" s="93"/>
      <c r="BB88" s="155"/>
      <c r="BC88" s="93"/>
      <c r="BE88" s="93"/>
      <c r="BG88" s="93"/>
      <c r="BH88" s="93"/>
      <c r="BI88" s="93"/>
      <c r="BJ88" s="155"/>
      <c r="BK88" s="93"/>
    </row>
    <row r="89">
      <c r="A89" s="140">
        <v>44184.04791666667</v>
      </c>
      <c r="B89" s="141" t="s">
        <v>90</v>
      </c>
      <c r="C89" s="128">
        <v>964.1548116258072</v>
      </c>
      <c r="D89" s="128">
        <v>11.0</v>
      </c>
      <c r="E89" s="142">
        <v>966.5984387480419</v>
      </c>
      <c r="F89" s="44" t="s">
        <v>23</v>
      </c>
      <c r="G89" s="128">
        <v>1220.652186309248</v>
      </c>
      <c r="H89" s="128">
        <v>22.0</v>
      </c>
      <c r="I89" s="128">
        <v>1223.2085591870132</v>
      </c>
      <c r="J89" s="148"/>
      <c r="M89" s="149"/>
      <c r="R89" s="148"/>
      <c r="U89" s="149"/>
      <c r="V89" s="44" t="s">
        <v>47</v>
      </c>
      <c r="W89" s="128">
        <v>998.8244636505616</v>
      </c>
      <c r="X89" s="128">
        <v>19.0</v>
      </c>
      <c r="Y89" s="128">
        <v>996.3504124932886</v>
      </c>
      <c r="Z89" s="141" t="s">
        <v>112</v>
      </c>
      <c r="AA89" s="128">
        <v>1006.1580277641768</v>
      </c>
      <c r="AB89" s="128">
        <v>15.0</v>
      </c>
      <c r="AC89" s="142">
        <v>1003.6320789214499</v>
      </c>
      <c r="AH89" s="148"/>
      <c r="AK89" s="149"/>
      <c r="AP89" s="143">
        <v>15.0</v>
      </c>
      <c r="AQ89" s="128">
        <v>13.0</v>
      </c>
      <c r="AR89" s="44" t="s">
        <v>283</v>
      </c>
      <c r="AS89" s="44" t="s">
        <v>244</v>
      </c>
      <c r="AT89" s="44">
        <v>88.0</v>
      </c>
      <c r="AU89" s="44"/>
      <c r="AV89" s="44"/>
      <c r="AW89" s="145"/>
      <c r="AX89" s="44"/>
      <c r="AY89" s="145"/>
      <c r="AZ89" s="145"/>
      <c r="BA89" s="145"/>
      <c r="BB89" s="146"/>
      <c r="BC89" s="145"/>
      <c r="BD89" s="44"/>
      <c r="BE89" s="145"/>
      <c r="BF89" s="44"/>
      <c r="BG89" s="145"/>
      <c r="BH89" s="145"/>
      <c r="BI89" s="145"/>
      <c r="BJ89" s="146"/>
      <c r="BK89" s="145"/>
    </row>
    <row r="90">
      <c r="A90" s="140">
        <v>44184.08194444444</v>
      </c>
      <c r="B90" s="141" t="s">
        <v>107</v>
      </c>
      <c r="C90" s="128">
        <v>940.2754390410403</v>
      </c>
      <c r="D90" s="128">
        <v>12.0</v>
      </c>
      <c r="E90" s="142">
        <v>945.6025268497132</v>
      </c>
      <c r="F90" s="44" t="s">
        <v>23</v>
      </c>
      <c r="G90" s="128">
        <v>1223.2085591870132</v>
      </c>
      <c r="H90" s="128">
        <v>28.0</v>
      </c>
      <c r="I90" s="128">
        <v>1228.8814713783402</v>
      </c>
      <c r="J90" s="148"/>
      <c r="M90" s="149"/>
      <c r="R90" s="148"/>
      <c r="U90" s="149"/>
      <c r="V90" s="44" t="s">
        <v>47</v>
      </c>
      <c r="W90" s="128">
        <v>996.3504124932886</v>
      </c>
      <c r="X90" s="128">
        <v>21.0</v>
      </c>
      <c r="Y90" s="128">
        <v>990.9899183499982</v>
      </c>
      <c r="Z90" s="141" t="s">
        <v>112</v>
      </c>
      <c r="AA90" s="128">
        <v>1003.6320789214499</v>
      </c>
      <c r="AB90" s="128">
        <v>11.0</v>
      </c>
      <c r="AC90" s="142">
        <v>997.9925730647402</v>
      </c>
      <c r="AH90" s="148"/>
      <c r="AK90" s="149"/>
      <c r="AP90" s="143">
        <v>18.0</v>
      </c>
      <c r="AQ90" s="128">
        <v>10.0</v>
      </c>
      <c r="AR90" s="44" t="s">
        <v>283</v>
      </c>
      <c r="AS90" s="44" t="s">
        <v>284</v>
      </c>
      <c r="AT90" s="44">
        <v>89.0</v>
      </c>
      <c r="AU90" s="44"/>
      <c r="AV90" s="44"/>
      <c r="AW90" s="145"/>
      <c r="AX90" s="44"/>
      <c r="AY90" s="145"/>
      <c r="AZ90" s="145"/>
      <c r="BA90" s="145"/>
      <c r="BB90" s="146"/>
      <c r="BC90" s="145"/>
      <c r="BD90" s="44"/>
      <c r="BE90" s="145"/>
      <c r="BF90" s="44"/>
      <c r="BG90" s="145"/>
      <c r="BH90" s="145"/>
      <c r="BI90" s="145"/>
      <c r="BJ90" s="146"/>
      <c r="BK90" s="145"/>
    </row>
    <row r="91">
      <c r="A91" s="140">
        <v>44184.11597222222</v>
      </c>
      <c r="B91" s="141" t="s">
        <v>107</v>
      </c>
      <c r="C91" s="128">
        <v>945.6025268497132</v>
      </c>
      <c r="D91" s="128">
        <v>1.0</v>
      </c>
      <c r="E91" s="142">
        <v>947.9307108769133</v>
      </c>
      <c r="F91" s="44" t="s">
        <v>23</v>
      </c>
      <c r="G91" s="128">
        <v>1228.8814713783402</v>
      </c>
      <c r="H91" s="128">
        <v>31.0</v>
      </c>
      <c r="I91" s="128">
        <v>1231.5532873511402</v>
      </c>
      <c r="J91" s="148"/>
      <c r="M91" s="149"/>
      <c r="R91" s="148"/>
      <c r="U91" s="149"/>
      <c r="V91" s="44" t="s">
        <v>47</v>
      </c>
      <c r="W91" s="128">
        <v>990.9899183499982</v>
      </c>
      <c r="X91" s="128">
        <v>14.0</v>
      </c>
      <c r="Y91" s="128">
        <v>988.4596267847892</v>
      </c>
      <c r="Z91" s="141" t="s">
        <v>112</v>
      </c>
      <c r="AA91" s="128">
        <v>997.9925730647402</v>
      </c>
      <c r="AB91" s="128">
        <v>19.0</v>
      </c>
      <c r="AC91" s="142">
        <v>995.5228646299493</v>
      </c>
      <c r="AH91" s="148"/>
      <c r="AK91" s="149"/>
      <c r="AP91" s="143">
        <v>15.0</v>
      </c>
      <c r="AQ91" s="128">
        <v>13.0</v>
      </c>
      <c r="AR91" s="44" t="s">
        <v>283</v>
      </c>
      <c r="AS91" s="44" t="s">
        <v>285</v>
      </c>
      <c r="AT91" s="44">
        <v>90.0</v>
      </c>
      <c r="AU91" s="44"/>
      <c r="AV91" s="44"/>
      <c r="AW91" s="145"/>
      <c r="AX91" s="44"/>
      <c r="AY91" s="145"/>
      <c r="AZ91" s="145"/>
      <c r="BA91" s="145"/>
      <c r="BB91" s="146"/>
      <c r="BC91" s="145"/>
      <c r="BD91" s="44"/>
      <c r="BE91" s="145"/>
      <c r="BF91" s="44"/>
      <c r="BG91" s="145"/>
      <c r="BH91" s="145"/>
      <c r="BI91" s="145"/>
      <c r="BJ91" s="146"/>
      <c r="BK91" s="145"/>
    </row>
    <row r="92">
      <c r="A92" s="140">
        <v>44184.936111111114</v>
      </c>
      <c r="B92" s="141" t="s">
        <v>90</v>
      </c>
      <c r="C92" s="128">
        <v>966.5984387480419</v>
      </c>
      <c r="D92" s="128">
        <v>22.0</v>
      </c>
      <c r="E92" s="142">
        <v>968.2897595200213</v>
      </c>
      <c r="F92" s="44" t="s">
        <v>248</v>
      </c>
      <c r="G92" s="128">
        <v>984.8914992658729</v>
      </c>
      <c r="H92" s="128">
        <v>13.0</v>
      </c>
      <c r="I92" s="128">
        <v>986.5029545369005</v>
      </c>
      <c r="J92" s="141" t="s">
        <v>23</v>
      </c>
      <c r="K92" s="128">
        <v>1231.5532873511402</v>
      </c>
      <c r="L92" s="128">
        <v>25.0</v>
      </c>
      <c r="M92" s="142">
        <v>1233.2505113081331</v>
      </c>
      <c r="R92" s="148"/>
      <c r="U92" s="149"/>
      <c r="V92" s="44" t="s">
        <v>47</v>
      </c>
      <c r="W92" s="128">
        <v>988.4596267847892</v>
      </c>
      <c r="X92" s="128">
        <v>15.0</v>
      </c>
      <c r="Y92" s="128">
        <v>986.7718402333709</v>
      </c>
      <c r="Z92" s="141" t="s">
        <v>112</v>
      </c>
      <c r="AA92" s="128">
        <v>995.5228646299493</v>
      </c>
      <c r="AB92" s="128">
        <v>13.0</v>
      </c>
      <c r="AC92" s="142">
        <v>993.8170017479997</v>
      </c>
      <c r="AD92" s="44" t="s">
        <v>236</v>
      </c>
      <c r="AE92" s="128">
        <v>998.1069582573558</v>
      </c>
      <c r="AF92" s="128">
        <v>25.0</v>
      </c>
      <c r="AG92" s="128">
        <v>996.5006076907237</v>
      </c>
      <c r="AH92" s="148"/>
      <c r="AK92" s="149"/>
      <c r="AP92" s="143">
        <v>15.0</v>
      </c>
      <c r="AQ92" s="128">
        <v>13.0</v>
      </c>
      <c r="AR92" s="44" t="s">
        <v>286</v>
      </c>
      <c r="AS92" s="44" t="s">
        <v>287</v>
      </c>
      <c r="AT92" s="44">
        <v>91.0</v>
      </c>
      <c r="AU92" s="44"/>
      <c r="AV92" s="44"/>
      <c r="AW92" s="145"/>
      <c r="AX92" s="44"/>
      <c r="AY92" s="145"/>
      <c r="AZ92" s="145"/>
      <c r="BA92" s="145"/>
      <c r="BB92" s="146"/>
      <c r="BC92" s="145"/>
      <c r="BD92" s="44"/>
      <c r="BE92" s="145"/>
      <c r="BF92" s="44"/>
      <c r="BG92" s="145"/>
      <c r="BH92" s="145"/>
      <c r="BI92" s="145"/>
      <c r="BJ92" s="146"/>
      <c r="BK92" s="145"/>
    </row>
    <row r="93">
      <c r="A93" s="140">
        <v>44184.98055555556</v>
      </c>
      <c r="B93" s="141" t="s">
        <v>90</v>
      </c>
      <c r="C93" s="128">
        <v>968.2897595200213</v>
      </c>
      <c r="D93" s="128">
        <v>11.0</v>
      </c>
      <c r="E93" s="142">
        <v>971.1830188061996</v>
      </c>
      <c r="F93" s="44" t="s">
        <v>248</v>
      </c>
      <c r="G93" s="128">
        <v>986.5029545369005</v>
      </c>
      <c r="H93" s="128">
        <v>18.0</v>
      </c>
      <c r="I93" s="128">
        <v>989.493125558281</v>
      </c>
      <c r="J93" s="141" t="s">
        <v>23</v>
      </c>
      <c r="K93" s="128">
        <v>1233.2505113081331</v>
      </c>
      <c r="L93" s="128">
        <v>28.0</v>
      </c>
      <c r="M93" s="142">
        <v>1236.3670810005744</v>
      </c>
      <c r="R93" s="148"/>
      <c r="U93" s="149"/>
      <c r="V93" s="44" t="s">
        <v>47</v>
      </c>
      <c r="W93" s="128">
        <v>986.7718402333709</v>
      </c>
      <c r="X93" s="128">
        <v>16.0</v>
      </c>
      <c r="Y93" s="128">
        <v>983.7488631109113</v>
      </c>
      <c r="Z93" s="141" t="s">
        <v>112</v>
      </c>
      <c r="AA93" s="128">
        <v>993.8170017479997</v>
      </c>
      <c r="AB93" s="128">
        <v>14.0</v>
      </c>
      <c r="AC93" s="142">
        <v>990.7614536739275</v>
      </c>
      <c r="AD93" s="44" t="s">
        <v>236</v>
      </c>
      <c r="AE93" s="128">
        <v>996.5006076907237</v>
      </c>
      <c r="AF93" s="128">
        <v>23.0</v>
      </c>
      <c r="AG93" s="128">
        <v>993.5791328872555</v>
      </c>
      <c r="AH93" s="148"/>
      <c r="AK93" s="149"/>
      <c r="AP93" s="143">
        <v>16.0</v>
      </c>
      <c r="AQ93" s="128">
        <v>12.0</v>
      </c>
      <c r="AR93" s="44" t="s">
        <v>286</v>
      </c>
      <c r="AS93" s="44" t="s">
        <v>229</v>
      </c>
      <c r="AT93" s="44">
        <v>92.0</v>
      </c>
      <c r="AU93" s="44"/>
      <c r="AV93" s="44"/>
      <c r="AW93" s="145"/>
      <c r="AX93" s="44"/>
      <c r="AY93" s="145"/>
      <c r="AZ93" s="145"/>
      <c r="BA93" s="145"/>
      <c r="BB93" s="146"/>
      <c r="BC93" s="145"/>
      <c r="BD93" s="44"/>
      <c r="BE93" s="145"/>
      <c r="BF93" s="44"/>
      <c r="BG93" s="145"/>
      <c r="BH93" s="145"/>
      <c r="BI93" s="145"/>
      <c r="BJ93" s="146"/>
      <c r="BK93" s="145"/>
    </row>
    <row r="94">
      <c r="A94" s="140">
        <v>44185.02638888889</v>
      </c>
      <c r="B94" s="141" t="s">
        <v>90</v>
      </c>
      <c r="C94" s="128">
        <v>971.1830188061996</v>
      </c>
      <c r="D94" s="128">
        <v>20.0</v>
      </c>
      <c r="E94" s="142">
        <v>976.7647231078635</v>
      </c>
      <c r="F94" s="44" t="s">
        <v>47</v>
      </c>
      <c r="G94" s="128">
        <v>983.7488631109113</v>
      </c>
      <c r="H94" s="128">
        <v>24.0</v>
      </c>
      <c r="I94" s="128">
        <v>989.4307570434598</v>
      </c>
      <c r="J94" s="141" t="s">
        <v>23</v>
      </c>
      <c r="K94" s="128">
        <v>1236.3670810005744</v>
      </c>
      <c r="L94" s="128">
        <v>28.0</v>
      </c>
      <c r="M94" s="142">
        <v>1242.103482766362</v>
      </c>
      <c r="R94" s="148"/>
      <c r="U94" s="149"/>
      <c r="V94" s="44" t="s">
        <v>230</v>
      </c>
      <c r="W94" s="128">
        <v>984.8967195128276</v>
      </c>
      <c r="X94" s="128">
        <v>6.0</v>
      </c>
      <c r="Y94" s="128">
        <v>979.0053377249559</v>
      </c>
      <c r="Z94" s="141" t="s">
        <v>248</v>
      </c>
      <c r="AA94" s="128">
        <v>989.493125558281</v>
      </c>
      <c r="AB94" s="128">
        <v>17.0</v>
      </c>
      <c r="AC94" s="142">
        <v>983.9108282718006</v>
      </c>
      <c r="AD94" s="44" t="s">
        <v>112</v>
      </c>
      <c r="AE94" s="128">
        <v>990.7614536739275</v>
      </c>
      <c r="AF94" s="128">
        <v>19.0</v>
      </c>
      <c r="AG94" s="128">
        <v>985.2351327482796</v>
      </c>
      <c r="AH94" s="148"/>
      <c r="AK94" s="149"/>
      <c r="AP94" s="143">
        <v>21.0</v>
      </c>
      <c r="AQ94" s="128">
        <v>7.0</v>
      </c>
      <c r="AR94" s="44" t="s">
        <v>286</v>
      </c>
      <c r="AS94" s="44" t="s">
        <v>288</v>
      </c>
      <c r="AT94" s="44">
        <v>93.0</v>
      </c>
      <c r="AU94" s="44"/>
      <c r="AV94" s="44"/>
      <c r="AW94" s="145"/>
      <c r="AX94" s="44"/>
      <c r="AY94" s="145"/>
      <c r="AZ94" s="145"/>
      <c r="BA94" s="145"/>
      <c r="BB94" s="146"/>
      <c r="BC94" s="145"/>
      <c r="BD94" s="44"/>
      <c r="BE94" s="145"/>
      <c r="BF94" s="44"/>
      <c r="BG94" s="145"/>
      <c r="BH94" s="145"/>
      <c r="BI94" s="145"/>
      <c r="BJ94" s="146"/>
      <c r="BK94" s="145"/>
    </row>
    <row r="95">
      <c r="A95" s="140">
        <v>44185.895833333336</v>
      </c>
      <c r="B95" s="141" t="s">
        <v>112</v>
      </c>
      <c r="C95" s="128">
        <v>985.2351327482796</v>
      </c>
      <c r="D95" s="128">
        <v>12.0</v>
      </c>
      <c r="E95" s="142">
        <v>989.6059834199399</v>
      </c>
      <c r="F95" s="44" t="s">
        <v>23</v>
      </c>
      <c r="G95" s="128">
        <v>1242.103482766362</v>
      </c>
      <c r="H95" s="128">
        <v>25.0</v>
      </c>
      <c r="I95" s="128">
        <v>1246.7326320947018</v>
      </c>
      <c r="J95" s="148"/>
      <c r="M95" s="149"/>
      <c r="R95" s="148"/>
      <c r="U95" s="149"/>
      <c r="V95" s="44" t="s">
        <v>47</v>
      </c>
      <c r="W95" s="128">
        <v>989.4307570434598</v>
      </c>
      <c r="X95" s="128">
        <v>18.0</v>
      </c>
      <c r="Y95" s="128">
        <v>985.0057911851724</v>
      </c>
      <c r="Z95" s="141" t="s">
        <v>92</v>
      </c>
      <c r="AA95" s="128">
        <v>1033.061124015696</v>
      </c>
      <c r="AB95" s="128">
        <v>12.0</v>
      </c>
      <c r="AC95" s="142">
        <v>1028.4860898739832</v>
      </c>
      <c r="AH95" s="148"/>
      <c r="AK95" s="149"/>
      <c r="AP95" s="143">
        <v>16.0</v>
      </c>
      <c r="AQ95" s="128">
        <v>11.0</v>
      </c>
      <c r="AR95" s="44" t="s">
        <v>289</v>
      </c>
      <c r="AS95" s="44" t="s">
        <v>229</v>
      </c>
      <c r="AT95" s="44">
        <v>94.0</v>
      </c>
      <c r="AU95" s="44"/>
      <c r="AV95" s="44"/>
      <c r="AW95" s="145"/>
      <c r="AX95" s="44"/>
      <c r="AY95" s="145"/>
      <c r="AZ95" s="145"/>
      <c r="BA95" s="145"/>
      <c r="BB95" s="146"/>
      <c r="BC95" s="145"/>
      <c r="BD95" s="44"/>
      <c r="BE95" s="145"/>
      <c r="BF95" s="44"/>
      <c r="BG95" s="145"/>
      <c r="BH95" s="145"/>
      <c r="BI95" s="145"/>
      <c r="BJ95" s="146"/>
      <c r="BK95" s="145"/>
    </row>
    <row r="96">
      <c r="A96" s="140">
        <v>44185.92986111111</v>
      </c>
      <c r="B96" s="141" t="s">
        <v>47</v>
      </c>
      <c r="C96" s="128">
        <v>985.0057911851724</v>
      </c>
      <c r="D96" s="128">
        <v>22.0</v>
      </c>
      <c r="E96" s="142">
        <v>994.008623406703</v>
      </c>
      <c r="F96" s="44" t="s">
        <v>112</v>
      </c>
      <c r="G96" s="128">
        <v>989.6059834199399</v>
      </c>
      <c r="H96" s="128">
        <v>12.0</v>
      </c>
      <c r="I96" s="128">
        <v>998.1525953041001</v>
      </c>
      <c r="J96" s="141" t="s">
        <v>92</v>
      </c>
      <c r="K96" s="128">
        <v>1028.4860898739832</v>
      </c>
      <c r="L96" s="128">
        <v>33.0</v>
      </c>
      <c r="M96" s="142">
        <v>1037.9366457682925</v>
      </c>
      <c r="R96" s="148"/>
      <c r="U96" s="149"/>
      <c r="V96" s="44" t="s">
        <v>224</v>
      </c>
      <c r="W96" s="128">
        <v>912.0053021186711</v>
      </c>
      <c r="X96" s="128">
        <v>4.0</v>
      </c>
      <c r="Y96" s="128">
        <v>902.5778945637566</v>
      </c>
      <c r="Z96" s="141" t="s">
        <v>90</v>
      </c>
      <c r="AA96" s="128">
        <v>976.7647231078635</v>
      </c>
      <c r="AB96" s="128">
        <v>10.0</v>
      </c>
      <c r="AC96" s="142">
        <v>967.5179094545815</v>
      </c>
      <c r="AD96" s="44" t="s">
        <v>23</v>
      </c>
      <c r="AE96" s="128">
        <v>1246.7326320947018</v>
      </c>
      <c r="AF96" s="128">
        <v>32.0</v>
      </c>
      <c r="AG96" s="128">
        <v>1238.4068533028983</v>
      </c>
      <c r="AH96" s="148"/>
      <c r="AK96" s="149"/>
      <c r="AP96" s="143">
        <v>17.0</v>
      </c>
      <c r="AQ96" s="128">
        <v>11.0</v>
      </c>
      <c r="AR96" s="44" t="s">
        <v>289</v>
      </c>
      <c r="AS96" s="44" t="s">
        <v>290</v>
      </c>
      <c r="AT96" s="44">
        <v>95.0</v>
      </c>
      <c r="AU96" s="44"/>
      <c r="AV96" s="44"/>
      <c r="AW96" s="145"/>
      <c r="AX96" s="44"/>
      <c r="AY96" s="145"/>
      <c r="AZ96" s="145"/>
      <c r="BA96" s="145"/>
      <c r="BB96" s="146"/>
      <c r="BC96" s="145"/>
      <c r="BD96" s="44"/>
      <c r="BE96" s="145"/>
      <c r="BF96" s="44"/>
      <c r="BG96" s="145"/>
      <c r="BH96" s="145"/>
      <c r="BI96" s="145"/>
      <c r="BJ96" s="146"/>
      <c r="BK96" s="145"/>
    </row>
    <row r="97">
      <c r="A97" s="140">
        <v>44185.96944444445</v>
      </c>
      <c r="B97" s="141" t="s">
        <v>47</v>
      </c>
      <c r="C97" s="128">
        <v>994.008623406703</v>
      </c>
      <c r="D97" s="128">
        <v>19.0</v>
      </c>
      <c r="E97" s="142">
        <v>999.049446239169</v>
      </c>
      <c r="F97" s="44" t="s">
        <v>23</v>
      </c>
      <c r="G97" s="128">
        <v>1238.4068533028983</v>
      </c>
      <c r="H97" s="128">
        <v>17.0</v>
      </c>
      <c r="I97" s="128">
        <v>1243.3660304704322</v>
      </c>
      <c r="J97" s="148"/>
      <c r="M97" s="149"/>
      <c r="R97" s="148"/>
      <c r="U97" s="149"/>
      <c r="V97" s="44" t="s">
        <v>112</v>
      </c>
      <c r="W97" s="128">
        <v>998.1525953041001</v>
      </c>
      <c r="X97" s="128">
        <v>19.0</v>
      </c>
      <c r="Y97" s="128">
        <v>993.2226792492538</v>
      </c>
      <c r="Z97" s="141" t="s">
        <v>92</v>
      </c>
      <c r="AA97" s="128">
        <v>1037.9366457682925</v>
      </c>
      <c r="AB97" s="128">
        <v>14.0</v>
      </c>
      <c r="AC97" s="142">
        <v>1032.866561823139</v>
      </c>
      <c r="AH97" s="148"/>
      <c r="AK97" s="149"/>
      <c r="AP97" s="143">
        <v>16.0</v>
      </c>
      <c r="AQ97" s="128">
        <v>12.0</v>
      </c>
      <c r="AR97" s="44" t="s">
        <v>289</v>
      </c>
      <c r="AS97" s="44" t="s">
        <v>291</v>
      </c>
      <c r="AT97" s="44">
        <v>96.0</v>
      </c>
      <c r="AU97" s="44"/>
      <c r="AV97" s="44"/>
      <c r="AW97" s="145"/>
      <c r="AX97" s="44"/>
      <c r="AY97" s="145"/>
      <c r="AZ97" s="145"/>
      <c r="BA97" s="145"/>
      <c r="BB97" s="146"/>
      <c r="BC97" s="145"/>
      <c r="BD97" s="44"/>
      <c r="BE97" s="145"/>
      <c r="BF97" s="44"/>
      <c r="BG97" s="145"/>
      <c r="BH97" s="145"/>
      <c r="BI97" s="145"/>
      <c r="BJ97" s="146"/>
      <c r="BK97" s="145"/>
    </row>
    <row r="98">
      <c r="A98" s="140">
        <v>44186.933333333334</v>
      </c>
      <c r="B98" s="141" t="s">
        <v>90</v>
      </c>
      <c r="C98" s="128">
        <v>967.5179094545815</v>
      </c>
      <c r="D98" s="128">
        <v>28.0</v>
      </c>
      <c r="E98" s="142">
        <v>970.3811764282523</v>
      </c>
      <c r="F98" s="44" t="s">
        <v>112</v>
      </c>
      <c r="G98" s="128">
        <v>993.2226792492538</v>
      </c>
      <c r="H98" s="128">
        <v>18.0</v>
      </c>
      <c r="I98" s="128">
        <v>995.9379591869786</v>
      </c>
      <c r="J98" s="141" t="s">
        <v>47</v>
      </c>
      <c r="K98" s="128">
        <v>999.049446239169</v>
      </c>
      <c r="L98" s="128">
        <v>21.0</v>
      </c>
      <c r="M98" s="142">
        <v>1001.803959245619</v>
      </c>
      <c r="N98" s="44" t="s">
        <v>23</v>
      </c>
      <c r="O98" s="128">
        <v>1243.3660304704322</v>
      </c>
      <c r="P98" s="128">
        <v>16.0</v>
      </c>
      <c r="Q98" s="128">
        <v>1246.0329705525867</v>
      </c>
      <c r="R98" s="148"/>
      <c r="U98" s="149"/>
      <c r="V98" s="44" t="s">
        <v>228</v>
      </c>
      <c r="W98" s="128">
        <v>1000.124029779827</v>
      </c>
      <c r="X98" s="128">
        <v>17.0</v>
      </c>
      <c r="Y98" s="128">
        <v>997.3725698488037</v>
      </c>
      <c r="Z98" s="141" t="s">
        <v>234</v>
      </c>
      <c r="AA98" s="128">
        <v>1001.1966630198314</v>
      </c>
      <c r="AB98" s="128">
        <v>11.0</v>
      </c>
      <c r="AC98" s="142">
        <v>998.362411748211</v>
      </c>
      <c r="AD98" s="44" t="s">
        <v>27</v>
      </c>
      <c r="AE98" s="128">
        <v>1001.2867542938453</v>
      </c>
      <c r="AF98" s="128">
        <v>23.0</v>
      </c>
      <c r="AG98" s="128">
        <v>998.6174787188158</v>
      </c>
      <c r="AH98" s="141" t="s">
        <v>92</v>
      </c>
      <c r="AI98" s="128">
        <v>1032.866561823139</v>
      </c>
      <c r="AJ98" s="128">
        <v>18.0</v>
      </c>
      <c r="AK98" s="142">
        <v>1030.121548600812</v>
      </c>
      <c r="AP98" s="143">
        <v>17.0</v>
      </c>
      <c r="AQ98" s="128">
        <v>11.0</v>
      </c>
      <c r="AS98" s="44" t="s">
        <v>229</v>
      </c>
      <c r="AT98" s="44">
        <v>97.0</v>
      </c>
      <c r="AU98" s="44"/>
      <c r="AW98" s="93"/>
      <c r="AY98" s="93"/>
      <c r="AZ98" s="93"/>
      <c r="BA98" s="93"/>
      <c r="BB98" s="155"/>
      <c r="BC98" s="93"/>
      <c r="BE98" s="93"/>
      <c r="BG98" s="93"/>
      <c r="BH98" s="93"/>
      <c r="BI98" s="93"/>
      <c r="BJ98" s="155"/>
      <c r="BK98" s="93"/>
    </row>
    <row r="99">
      <c r="A99" s="140">
        <v>44187.00069444445</v>
      </c>
      <c r="B99" s="141" t="s">
        <v>107</v>
      </c>
      <c r="C99" s="128">
        <v>947.9307108769133</v>
      </c>
      <c r="D99" s="128">
        <v>16.0</v>
      </c>
      <c r="E99" s="142">
        <v>950.8638210628941</v>
      </c>
      <c r="F99" s="44" t="s">
        <v>123</v>
      </c>
      <c r="G99" s="128">
        <v>948.4528629190182</v>
      </c>
      <c r="H99" s="128">
        <v>18.0</v>
      </c>
      <c r="I99" s="128">
        <v>951.4156504611077</v>
      </c>
      <c r="J99" s="141" t="s">
        <v>90</v>
      </c>
      <c r="K99" s="128">
        <v>970.3811764282523</v>
      </c>
      <c r="L99" s="128">
        <v>21.0</v>
      </c>
      <c r="M99" s="142">
        <v>973.3764949116313</v>
      </c>
      <c r="N99" s="44" t="s">
        <v>112</v>
      </c>
      <c r="O99" s="128">
        <v>995.9379591869786</v>
      </c>
      <c r="P99" s="128">
        <v>17.0</v>
      </c>
      <c r="Q99" s="128">
        <v>998.8614833466322</v>
      </c>
      <c r="R99" s="141" t="s">
        <v>23</v>
      </c>
      <c r="S99" s="128">
        <v>1246.0329705525867</v>
      </c>
      <c r="T99" s="128">
        <v>36.0</v>
      </c>
      <c r="U99" s="142">
        <v>1249.2182301814837</v>
      </c>
      <c r="V99" s="44" t="s">
        <v>228</v>
      </c>
      <c r="W99" s="128">
        <v>997.3725698488037</v>
      </c>
      <c r="X99" s="128">
        <v>10.0</v>
      </c>
      <c r="Y99" s="128">
        <v>994.2487591197579</v>
      </c>
      <c r="Z99" s="141" t="s">
        <v>234</v>
      </c>
      <c r="AA99" s="128">
        <v>998.362411748211</v>
      </c>
      <c r="AB99" s="128">
        <v>13.0</v>
      </c>
      <c r="AC99" s="142">
        <v>995.2832787101717</v>
      </c>
      <c r="AD99" s="44" t="s">
        <v>27</v>
      </c>
      <c r="AE99" s="128">
        <v>998.6174787188158</v>
      </c>
      <c r="AF99" s="128">
        <v>22.0</v>
      </c>
      <c r="AG99" s="128">
        <v>995.673263212799</v>
      </c>
      <c r="AH99" s="141" t="s">
        <v>47</v>
      </c>
      <c r="AI99" s="128">
        <v>1001.803959245619</v>
      </c>
      <c r="AJ99" s="128">
        <v>28.0</v>
      </c>
      <c r="AK99" s="142">
        <v>998.9487336655386</v>
      </c>
      <c r="AL99" s="44" t="s">
        <v>92</v>
      </c>
      <c r="AM99" s="128">
        <v>1030.121548600812</v>
      </c>
      <c r="AN99" s="128">
        <v>19.0</v>
      </c>
      <c r="AO99" s="128">
        <v>1027.1239334539944</v>
      </c>
      <c r="AP99" s="143">
        <v>17.0</v>
      </c>
      <c r="AQ99" s="128">
        <v>11.0</v>
      </c>
      <c r="AR99" s="159" t="s">
        <v>292</v>
      </c>
      <c r="AS99" s="44" t="s">
        <v>293</v>
      </c>
      <c r="AT99" s="44">
        <v>98.0</v>
      </c>
      <c r="AU99" s="44"/>
      <c r="AV99" s="159"/>
      <c r="AW99" s="160"/>
      <c r="AX99" s="159"/>
      <c r="AY99" s="160"/>
      <c r="AZ99" s="160"/>
      <c r="BA99" s="160"/>
      <c r="BB99" s="161"/>
      <c r="BC99" s="160"/>
      <c r="BD99" s="159"/>
      <c r="BE99" s="160"/>
      <c r="BF99" s="159"/>
      <c r="BG99" s="160"/>
      <c r="BH99" s="160"/>
      <c r="BI99" s="160"/>
      <c r="BJ99" s="161"/>
      <c r="BK99" s="160"/>
    </row>
    <row r="100">
      <c r="A100" s="140">
        <v>44187.04583333333</v>
      </c>
      <c r="B100" s="141" t="s">
        <v>107</v>
      </c>
      <c r="C100" s="128">
        <v>950.8638210628941</v>
      </c>
      <c r="D100" s="128">
        <v>17.0</v>
      </c>
      <c r="E100" s="142">
        <v>958.1995359046789</v>
      </c>
      <c r="F100" s="44" t="s">
        <v>23</v>
      </c>
      <c r="G100" s="128">
        <v>1249.2182301814837</v>
      </c>
      <c r="H100" s="128">
        <v>29.0</v>
      </c>
      <c r="I100" s="128">
        <v>1256.882515339699</v>
      </c>
      <c r="J100" s="148"/>
      <c r="M100" s="149"/>
      <c r="R100" s="148"/>
      <c r="U100" s="149"/>
      <c r="V100" s="44" t="s">
        <v>123</v>
      </c>
      <c r="W100" s="128">
        <v>951.4156504611077</v>
      </c>
      <c r="X100" s="128">
        <v>6.0</v>
      </c>
      <c r="Y100" s="128">
        <v>943.6896219463265</v>
      </c>
      <c r="Z100" s="141" t="s">
        <v>47</v>
      </c>
      <c r="AA100" s="128">
        <v>998.9487336655386</v>
      </c>
      <c r="AB100" s="128">
        <v>19.0</v>
      </c>
      <c r="AC100" s="142">
        <v>991.6747621803198</v>
      </c>
      <c r="AH100" s="148"/>
      <c r="AK100" s="149"/>
      <c r="AP100" s="143">
        <v>20.0</v>
      </c>
      <c r="AQ100" s="128">
        <v>7.0</v>
      </c>
      <c r="AR100" s="44" t="s">
        <v>294</v>
      </c>
      <c r="AS100" s="44" t="s">
        <v>295</v>
      </c>
      <c r="AT100" s="44">
        <v>99.0</v>
      </c>
      <c r="AU100" s="44"/>
      <c r="AV100" s="44"/>
      <c r="AW100" s="145"/>
      <c r="AX100" s="44"/>
      <c r="AY100" s="145"/>
      <c r="AZ100" s="145"/>
      <c r="BA100" s="145"/>
      <c r="BB100" s="146"/>
      <c r="BC100" s="145"/>
      <c r="BD100" s="44"/>
      <c r="BE100" s="145"/>
      <c r="BF100" s="44"/>
      <c r="BG100" s="145"/>
      <c r="BH100" s="145"/>
      <c r="BI100" s="145"/>
      <c r="BJ100" s="146"/>
      <c r="BK100" s="145"/>
    </row>
    <row r="101">
      <c r="A101" s="140">
        <v>44187.950694444444</v>
      </c>
      <c r="B101" s="141" t="s">
        <v>228</v>
      </c>
      <c r="C101" s="128">
        <v>994.2487591197579</v>
      </c>
      <c r="D101" s="128">
        <v>11.0</v>
      </c>
      <c r="E101" s="142">
        <v>991.1581994035812</v>
      </c>
      <c r="F101" s="44" t="s">
        <v>27</v>
      </c>
      <c r="G101" s="128">
        <v>995.673263212799</v>
      </c>
      <c r="H101" s="128">
        <v>19.0</v>
      </c>
      <c r="I101" s="128">
        <v>992.7022569889907</v>
      </c>
      <c r="J101" s="141" t="s">
        <v>112</v>
      </c>
      <c r="K101" s="128">
        <v>998.8614833466322</v>
      </c>
      <c r="L101" s="128">
        <v>26.0</v>
      </c>
      <c r="M101" s="142">
        <v>995.9945030428545</v>
      </c>
      <c r="N101" s="44" t="s">
        <v>296</v>
      </c>
      <c r="O101" s="128">
        <v>1000.0</v>
      </c>
      <c r="P101" s="128">
        <v>10.0</v>
      </c>
      <c r="Q101" s="128">
        <v>996.8926802809236</v>
      </c>
      <c r="R101" s="141" t="s">
        <v>92</v>
      </c>
      <c r="S101" s="128">
        <v>1027.1239334539944</v>
      </c>
      <c r="T101" s="128">
        <v>20.0</v>
      </c>
      <c r="U101" s="142">
        <v>1024.1597994168335</v>
      </c>
      <c r="V101" s="44" t="s">
        <v>224</v>
      </c>
      <c r="W101" s="128">
        <v>902.5778945637566</v>
      </c>
      <c r="X101" s="128">
        <v>5.0</v>
      </c>
      <c r="Y101" s="128">
        <v>905.3935570657993</v>
      </c>
      <c r="Z101" s="141" t="s">
        <v>90</v>
      </c>
      <c r="AA101" s="128">
        <v>973.3764949116313</v>
      </c>
      <c r="AB101" s="128">
        <v>21.0</v>
      </c>
      <c r="AC101" s="142">
        <v>976.3886427891244</v>
      </c>
      <c r="AD101" s="44" t="s">
        <v>248</v>
      </c>
      <c r="AE101" s="128">
        <v>983.9108282718006</v>
      </c>
      <c r="AF101" s="128">
        <v>28.0</v>
      </c>
      <c r="AG101" s="128">
        <v>987.0232189505556</v>
      </c>
      <c r="AH101" s="141" t="s">
        <v>47</v>
      </c>
      <c r="AI101" s="128">
        <v>991.6747621803198</v>
      </c>
      <c r="AJ101" s="128">
        <v>19.0</v>
      </c>
      <c r="AK101" s="142">
        <v>994.6489484626796</v>
      </c>
      <c r="AL101" s="44" t="s">
        <v>23</v>
      </c>
      <c r="AM101" s="128">
        <v>1256.882515339699</v>
      </c>
      <c r="AN101" s="128">
        <v>28.0</v>
      </c>
      <c r="AO101" s="128">
        <v>1259.9681279990482</v>
      </c>
      <c r="AP101" s="143">
        <v>12.0</v>
      </c>
      <c r="AQ101" s="128">
        <v>16.0</v>
      </c>
      <c r="AR101" s="44" t="s">
        <v>297</v>
      </c>
      <c r="AS101" s="44" t="s">
        <v>255</v>
      </c>
      <c r="AT101" s="44">
        <v>100.0</v>
      </c>
      <c r="AU101" s="44"/>
      <c r="AV101" s="44"/>
      <c r="AW101" s="145"/>
      <c r="AX101" s="44"/>
      <c r="AY101" s="145"/>
      <c r="AZ101" s="145"/>
      <c r="BA101" s="145"/>
      <c r="BB101" s="146"/>
      <c r="BC101" s="145"/>
      <c r="BD101" s="44"/>
      <c r="BE101" s="145"/>
      <c r="BF101" s="44"/>
      <c r="BG101" s="145"/>
      <c r="BH101" s="145"/>
      <c r="BI101" s="145"/>
      <c r="BJ101" s="146"/>
      <c r="BK101" s="145"/>
    </row>
    <row r="102">
      <c r="A102" s="140">
        <v>44188.00208333333</v>
      </c>
      <c r="B102" s="141" t="s">
        <v>123</v>
      </c>
      <c r="C102" s="128">
        <v>943.6896219463265</v>
      </c>
      <c r="D102" s="128">
        <v>13.0</v>
      </c>
      <c r="E102" s="142">
        <v>945.9758768871545</v>
      </c>
      <c r="F102" s="44" t="s">
        <v>90</v>
      </c>
      <c r="G102" s="128">
        <v>976.3886427891244</v>
      </c>
      <c r="H102" s="44">
        <v>20.0</v>
      </c>
      <c r="I102" s="128">
        <v>978.7907184491486</v>
      </c>
      <c r="J102" s="141" t="s">
        <v>248</v>
      </c>
      <c r="K102" s="128">
        <v>987.0232189505556</v>
      </c>
      <c r="L102" s="44">
        <v>17.0</v>
      </c>
      <c r="M102" s="142">
        <v>989.3849345278009</v>
      </c>
      <c r="N102" s="44" t="s">
        <v>228</v>
      </c>
      <c r="O102" s="128">
        <v>991.1581994035812</v>
      </c>
      <c r="P102" s="44">
        <v>14.0</v>
      </c>
      <c r="Q102" s="128">
        <v>993.4463404331873</v>
      </c>
      <c r="R102" s="141" t="s">
        <v>23</v>
      </c>
      <c r="S102" s="128">
        <v>1259.9681279990482</v>
      </c>
      <c r="T102" s="44">
        <v>40.0</v>
      </c>
      <c r="U102" s="142">
        <v>1262.6299407913448</v>
      </c>
      <c r="V102" s="44" t="s">
        <v>27</v>
      </c>
      <c r="W102" s="128">
        <v>992.7022569889907</v>
      </c>
      <c r="X102" s="44">
        <v>29.0</v>
      </c>
      <c r="Y102" s="128">
        <v>990.4294522217582</v>
      </c>
      <c r="Z102" s="141" t="s">
        <v>47</v>
      </c>
      <c r="AA102" s="128">
        <v>994.6489484626796</v>
      </c>
      <c r="AB102" s="44">
        <v>24.0</v>
      </c>
      <c r="AC102" s="142">
        <v>992.2914945835861</v>
      </c>
      <c r="AD102" s="44" t="s">
        <v>112</v>
      </c>
      <c r="AE102" s="128">
        <v>995.9945030428545</v>
      </c>
      <c r="AF102" s="44">
        <v>27.0</v>
      </c>
      <c r="AG102" s="128">
        <v>993.6606084716425</v>
      </c>
      <c r="AH102" s="141" t="s">
        <v>296</v>
      </c>
      <c r="AI102" s="128">
        <v>996.8926802809236</v>
      </c>
      <c r="AJ102" s="128">
        <v>2.0</v>
      </c>
      <c r="AK102" s="142">
        <v>994.2464951605367</v>
      </c>
      <c r="AL102" s="44" t="s">
        <v>92</v>
      </c>
      <c r="AM102" s="128">
        <v>1024.1597994168335</v>
      </c>
      <c r="AN102" s="44">
        <v>19.0</v>
      </c>
      <c r="AO102" s="128">
        <v>1021.7701377547585</v>
      </c>
      <c r="AP102" s="143">
        <v>16.0</v>
      </c>
      <c r="AQ102" s="128">
        <v>12.0</v>
      </c>
      <c r="AR102" s="44" t="s">
        <v>298</v>
      </c>
      <c r="AS102" s="44" t="s">
        <v>266</v>
      </c>
      <c r="AT102" s="44">
        <v>101.0</v>
      </c>
      <c r="AU102" s="44"/>
      <c r="AV102" s="44"/>
      <c r="AW102" s="145"/>
      <c r="AX102" s="44"/>
      <c r="AY102" s="145"/>
      <c r="AZ102" s="145"/>
      <c r="BA102" s="145"/>
      <c r="BB102" s="146"/>
      <c r="BC102" s="145"/>
      <c r="BD102" s="44"/>
      <c r="BE102" s="145"/>
      <c r="BF102" s="44"/>
      <c r="BG102" s="145"/>
      <c r="BH102" s="145"/>
      <c r="BI102" s="145"/>
      <c r="BJ102" s="146"/>
      <c r="BK102" s="145"/>
    </row>
    <row r="103">
      <c r="A103" s="140">
        <v>44188.9375</v>
      </c>
      <c r="B103" s="141" t="s">
        <v>90</v>
      </c>
      <c r="C103" s="128">
        <v>978.7907184491486</v>
      </c>
      <c r="D103" s="128">
        <v>19.0</v>
      </c>
      <c r="E103" s="142">
        <v>985.3899210701313</v>
      </c>
      <c r="F103" s="44" t="s">
        <v>47</v>
      </c>
      <c r="G103" s="128">
        <v>992.2914945835861</v>
      </c>
      <c r="H103" s="128">
        <v>14.0</v>
      </c>
      <c r="I103" s="128">
        <v>998.7073304271562</v>
      </c>
      <c r="J103" s="141" t="s">
        <v>236</v>
      </c>
      <c r="K103" s="128">
        <v>993.5791328872555</v>
      </c>
      <c r="L103" s="128">
        <v>29.0</v>
      </c>
      <c r="M103" s="142">
        <v>1000.4999271529007</v>
      </c>
      <c r="N103" s="44" t="s">
        <v>23</v>
      </c>
      <c r="O103" s="128">
        <v>1262.6299407913448</v>
      </c>
      <c r="P103" s="128">
        <v>35.0</v>
      </c>
      <c r="Q103" s="128">
        <v>1269.6941080611468</v>
      </c>
      <c r="R103" s="148"/>
      <c r="U103" s="149"/>
      <c r="V103" s="44" t="s">
        <v>112</v>
      </c>
      <c r="W103" s="128">
        <v>993.6606084716425</v>
      </c>
      <c r="X103" s="128">
        <v>12.0</v>
      </c>
      <c r="Y103" s="128">
        <v>986.9145748891067</v>
      </c>
      <c r="Z103" s="141" t="s">
        <v>296</v>
      </c>
      <c r="AA103" s="128">
        <v>994.2464951605367</v>
      </c>
      <c r="AB103" s="128">
        <v>9.0</v>
      </c>
      <c r="AC103" s="142">
        <v>987.3989230791218</v>
      </c>
      <c r="AD103" s="44" t="s">
        <v>233</v>
      </c>
      <c r="AE103" s="128">
        <v>1001.5768776228249</v>
      </c>
      <c r="AF103" s="128">
        <v>4.0</v>
      </c>
      <c r="AG103" s="128">
        <v>994.5570993016051</v>
      </c>
      <c r="AH103" s="141" t="s">
        <v>92</v>
      </c>
      <c r="AI103" s="128">
        <v>1021.7701377547585</v>
      </c>
      <c r="AJ103" s="128">
        <v>23.0</v>
      </c>
      <c r="AK103" s="142">
        <v>1015.3835217399289</v>
      </c>
      <c r="AP103" s="143">
        <v>26.0</v>
      </c>
      <c r="AQ103" s="128">
        <v>2.0</v>
      </c>
      <c r="AR103" s="44" t="s">
        <v>299</v>
      </c>
      <c r="AS103" s="44" t="s">
        <v>229</v>
      </c>
      <c r="AT103" s="44">
        <v>102.0</v>
      </c>
      <c r="AU103" s="44"/>
      <c r="AV103" s="44"/>
      <c r="AW103" s="145"/>
      <c r="AX103" s="44"/>
      <c r="AY103" s="145"/>
      <c r="AZ103" s="145"/>
      <c r="BA103" s="145"/>
      <c r="BB103" s="146"/>
      <c r="BC103" s="145"/>
      <c r="BD103" s="44"/>
      <c r="BE103" s="145"/>
      <c r="BF103" s="44"/>
      <c r="BG103" s="145"/>
      <c r="BH103" s="145"/>
      <c r="BI103" s="145"/>
      <c r="BJ103" s="146"/>
      <c r="BK103" s="145"/>
    </row>
    <row r="104">
      <c r="A104" s="140">
        <v>44189.009722222225</v>
      </c>
      <c r="B104" s="141" t="s">
        <v>123</v>
      </c>
      <c r="C104" s="128">
        <v>945.9758768871545</v>
      </c>
      <c r="D104" s="128">
        <v>14.0</v>
      </c>
      <c r="E104" s="142">
        <v>945.144201557367</v>
      </c>
      <c r="F104" s="44" t="s">
        <v>107</v>
      </c>
      <c r="G104" s="128">
        <v>958.1995359046789</v>
      </c>
      <c r="H104" s="128">
        <v>20.0</v>
      </c>
      <c r="I104" s="128">
        <v>957.3896534254693</v>
      </c>
      <c r="J104" s="141" t="s">
        <v>90</v>
      </c>
      <c r="K104" s="128">
        <v>985.3899210701313</v>
      </c>
      <c r="L104" s="128">
        <v>22.0</v>
      </c>
      <c r="M104" s="142">
        <v>984.5838603791648</v>
      </c>
      <c r="N104" s="44" t="s">
        <v>112</v>
      </c>
      <c r="O104" s="128">
        <v>986.9145748891067</v>
      </c>
      <c r="P104" s="128">
        <v>28.0</v>
      </c>
      <c r="Q104" s="128">
        <v>986.1323103958953</v>
      </c>
      <c r="R104" s="141" t="s">
        <v>23</v>
      </c>
      <c r="S104" s="128">
        <v>1269.6941080611468</v>
      </c>
      <c r="T104" s="128">
        <v>33.0</v>
      </c>
      <c r="U104" s="142">
        <v>1268.923991054322</v>
      </c>
      <c r="V104" s="44" t="s">
        <v>27</v>
      </c>
      <c r="W104" s="128">
        <v>990.4294522217582</v>
      </c>
      <c r="X104" s="128">
        <v>23.0</v>
      </c>
      <c r="Y104" s="128">
        <v>991.2469578790727</v>
      </c>
      <c r="Z104" s="141" t="s">
        <v>47</v>
      </c>
      <c r="AA104" s="128">
        <v>998.7073304271562</v>
      </c>
      <c r="AB104" s="128">
        <v>16.0</v>
      </c>
      <c r="AC104" s="142">
        <v>999.496041990403</v>
      </c>
      <c r="AD104" s="44" t="s">
        <v>300</v>
      </c>
      <c r="AE104" s="128">
        <v>1000.0</v>
      </c>
      <c r="AF104" s="128">
        <v>20.0</v>
      </c>
      <c r="AG104" s="128">
        <v>1000.8045942598129</v>
      </c>
      <c r="AH104" s="141" t="s">
        <v>301</v>
      </c>
      <c r="AI104" s="128">
        <v>1000.0</v>
      </c>
      <c r="AJ104" s="128">
        <v>16.0</v>
      </c>
      <c r="AK104" s="142">
        <v>1000.788594259813</v>
      </c>
      <c r="AL104" s="44" t="s">
        <v>108</v>
      </c>
      <c r="AM104" s="128">
        <v>1000.0</v>
      </c>
      <c r="AN104" s="128">
        <v>19.0</v>
      </c>
      <c r="AO104" s="128">
        <v>1000.8005942598129</v>
      </c>
      <c r="AP104" s="143">
        <v>14.0</v>
      </c>
      <c r="AQ104" s="128">
        <v>14.0</v>
      </c>
      <c r="AR104" s="44" t="s">
        <v>302</v>
      </c>
      <c r="AS104" s="44" t="s">
        <v>303</v>
      </c>
      <c r="AT104" s="44">
        <v>103.0</v>
      </c>
      <c r="AU104" s="44"/>
      <c r="AV104" s="44"/>
      <c r="AW104" s="145"/>
      <c r="AX104" s="44"/>
      <c r="AY104" s="145"/>
      <c r="AZ104" s="145"/>
      <c r="BA104" s="145"/>
      <c r="BB104" s="146"/>
      <c r="BC104" s="145"/>
      <c r="BD104" s="44"/>
      <c r="BE104" s="145"/>
      <c r="BF104" s="44"/>
      <c r="BG104" s="145"/>
      <c r="BH104" s="145"/>
      <c r="BI104" s="145"/>
      <c r="BJ104" s="146"/>
      <c r="BK104" s="145"/>
    </row>
    <row r="105">
      <c r="A105" s="140">
        <v>44189.040972222225</v>
      </c>
      <c r="B105" s="141" t="s">
        <v>123</v>
      </c>
      <c r="C105" s="128">
        <v>945.144201557367</v>
      </c>
      <c r="D105" s="128">
        <v>18.0</v>
      </c>
      <c r="E105" s="142">
        <v>947.8775562887233</v>
      </c>
      <c r="F105" s="44" t="s">
        <v>107</v>
      </c>
      <c r="G105" s="128">
        <v>957.3896534254693</v>
      </c>
      <c r="H105" s="128">
        <v>24.0</v>
      </c>
      <c r="I105" s="128">
        <v>960.1987819300756</v>
      </c>
      <c r="J105" s="141" t="s">
        <v>112</v>
      </c>
      <c r="K105" s="128">
        <v>986.1323103958953</v>
      </c>
      <c r="L105" s="128">
        <v>12.0</v>
      </c>
      <c r="M105" s="142">
        <v>988.7630815025645</v>
      </c>
      <c r="N105" s="44" t="s">
        <v>23</v>
      </c>
      <c r="O105" s="128">
        <v>1268.923991054322</v>
      </c>
      <c r="P105" s="128">
        <v>28.0</v>
      </c>
      <c r="Q105" s="128">
        <v>1271.75073671169</v>
      </c>
      <c r="R105" s="148"/>
      <c r="U105" s="149"/>
      <c r="V105" s="44" t="s">
        <v>248</v>
      </c>
      <c r="W105" s="128">
        <v>989.3849345278009</v>
      </c>
      <c r="X105" s="128">
        <v>10.0</v>
      </c>
      <c r="Y105" s="128">
        <v>986.5438507783867</v>
      </c>
      <c r="Z105" s="141" t="s">
        <v>27</v>
      </c>
      <c r="AA105" s="128">
        <v>991.2469578790727</v>
      </c>
      <c r="AB105" s="128">
        <v>20.0</v>
      </c>
      <c r="AC105" s="142">
        <v>988.5427979214098</v>
      </c>
      <c r="AD105" s="44" t="s">
        <v>47</v>
      </c>
      <c r="AE105" s="128">
        <v>999.496041990403</v>
      </c>
      <c r="AF105" s="128">
        <v>18.0</v>
      </c>
      <c r="AG105" s="128">
        <v>996.7619692456068</v>
      </c>
      <c r="AH105" s="141" t="s">
        <v>108</v>
      </c>
      <c r="AI105" s="128">
        <v>1000.8005942598129</v>
      </c>
      <c r="AJ105" s="128">
        <v>19.0</v>
      </c>
      <c r="AK105" s="142">
        <v>998.0799107116861</v>
      </c>
      <c r="AP105" s="143">
        <v>17.0</v>
      </c>
      <c r="AQ105" s="128">
        <v>11.0</v>
      </c>
      <c r="AS105" s="44" t="s">
        <v>229</v>
      </c>
      <c r="AT105" s="44">
        <v>104.0</v>
      </c>
      <c r="AU105" s="44"/>
      <c r="AW105" s="93"/>
      <c r="AY105" s="93"/>
      <c r="AZ105" s="93"/>
      <c r="BA105" s="93"/>
      <c r="BB105" s="155"/>
      <c r="BC105" s="93"/>
      <c r="BE105" s="93"/>
      <c r="BG105" s="93"/>
      <c r="BH105" s="93"/>
      <c r="BI105" s="93"/>
      <c r="BJ105" s="155"/>
      <c r="BK105" s="93"/>
    </row>
    <row r="106">
      <c r="A106" s="140">
        <v>44189.08263888889</v>
      </c>
      <c r="B106" s="141" t="s">
        <v>123</v>
      </c>
      <c r="C106" s="128">
        <v>947.8775562887233</v>
      </c>
      <c r="D106" s="128">
        <v>12.0</v>
      </c>
      <c r="E106" s="142">
        <v>934.2765162717852</v>
      </c>
      <c r="F106" s="44" t="s">
        <v>47</v>
      </c>
      <c r="G106" s="128">
        <v>996.7619692456068</v>
      </c>
      <c r="H106" s="128">
        <v>9.0</v>
      </c>
      <c r="I106" s="128">
        <v>982.8923188555308</v>
      </c>
      <c r="J106" s="141" t="s">
        <v>108</v>
      </c>
      <c r="K106" s="128">
        <v>998.0799107116861</v>
      </c>
      <c r="L106" s="128">
        <v>14.0</v>
      </c>
      <c r="M106" s="142">
        <v>984.5506011187001</v>
      </c>
      <c r="R106" s="148"/>
      <c r="U106" s="149"/>
      <c r="V106" s="44" t="s">
        <v>107</v>
      </c>
      <c r="W106" s="128">
        <v>960.1987819300756</v>
      </c>
      <c r="X106" s="128">
        <v>29.0</v>
      </c>
      <c r="Y106" s="128">
        <v>974.2775689511636</v>
      </c>
      <c r="Z106" s="141" t="s">
        <v>248</v>
      </c>
      <c r="AA106" s="128">
        <v>986.5438507783867</v>
      </c>
      <c r="AB106" s="128">
        <v>18.0</v>
      </c>
      <c r="AC106" s="142">
        <v>999.8019825096301</v>
      </c>
      <c r="AD106" s="44" t="s">
        <v>112</v>
      </c>
      <c r="AE106" s="128">
        <v>988.7630815025645</v>
      </c>
      <c r="AF106" s="128">
        <v>24.0</v>
      </c>
      <c r="AG106" s="128">
        <v>1002.4261627502331</v>
      </c>
      <c r="AH106" s="148"/>
      <c r="AK106" s="149"/>
      <c r="AP106" s="143">
        <v>6.0</v>
      </c>
      <c r="AQ106" s="128">
        <v>22.0</v>
      </c>
      <c r="AS106" s="44" t="s">
        <v>253</v>
      </c>
      <c r="AT106" s="44">
        <v>105.0</v>
      </c>
      <c r="AU106" s="44"/>
      <c r="AW106" s="93"/>
      <c r="AY106" s="93"/>
      <c r="AZ106" s="93"/>
      <c r="BA106" s="93"/>
      <c r="BB106" s="155"/>
      <c r="BC106" s="93"/>
      <c r="BE106" s="93"/>
      <c r="BG106" s="93"/>
      <c r="BH106" s="93"/>
      <c r="BI106" s="93"/>
      <c r="BJ106" s="155"/>
      <c r="BK106" s="93"/>
    </row>
    <row r="107">
      <c r="A107" s="140">
        <v>44190.00069444445</v>
      </c>
      <c r="B107" s="141" t="s">
        <v>90</v>
      </c>
      <c r="C107" s="128">
        <v>984.5838603791648</v>
      </c>
      <c r="D107" s="128">
        <v>13.0</v>
      </c>
      <c r="E107" s="142">
        <v>981.548829373868</v>
      </c>
      <c r="F107" s="44" t="s">
        <v>23</v>
      </c>
      <c r="G107" s="128">
        <v>1271.75073671169</v>
      </c>
      <c r="H107" s="128">
        <v>19.0</v>
      </c>
      <c r="I107" s="128">
        <v>1268.7857677169868</v>
      </c>
      <c r="J107" s="148"/>
      <c r="M107" s="149"/>
      <c r="R107" s="148"/>
      <c r="U107" s="149"/>
      <c r="V107" s="44" t="s">
        <v>112</v>
      </c>
      <c r="W107" s="128">
        <v>1002.4261627502331</v>
      </c>
      <c r="X107" s="128">
        <v>14.0</v>
      </c>
      <c r="Y107" s="128">
        <v>1005.4275909284206</v>
      </c>
      <c r="Z107" s="141" t="s">
        <v>92</v>
      </c>
      <c r="AA107" s="128">
        <v>1015.3835217399289</v>
      </c>
      <c r="AB107" s="128">
        <v>14.0</v>
      </c>
      <c r="AC107" s="142">
        <v>1018.3820935617414</v>
      </c>
      <c r="AH107" s="148"/>
      <c r="AK107" s="149"/>
      <c r="AP107" s="143">
        <v>14.0</v>
      </c>
      <c r="AQ107" s="128">
        <v>14.0</v>
      </c>
      <c r="AR107" s="44" t="s">
        <v>304</v>
      </c>
      <c r="AS107" s="44" t="s">
        <v>229</v>
      </c>
      <c r="AT107" s="44">
        <v>106.0</v>
      </c>
      <c r="AU107" s="44"/>
      <c r="AV107" s="44"/>
      <c r="AW107" s="145"/>
      <c r="AX107" s="44"/>
      <c r="AY107" s="145"/>
      <c r="AZ107" s="145"/>
      <c r="BA107" s="145"/>
      <c r="BB107" s="146"/>
      <c r="BC107" s="145"/>
      <c r="BD107" s="44"/>
      <c r="BE107" s="145"/>
      <c r="BF107" s="44"/>
      <c r="BG107" s="145"/>
      <c r="BH107" s="145"/>
      <c r="BI107" s="145"/>
      <c r="BJ107" s="146"/>
      <c r="BK107" s="145"/>
    </row>
    <row r="108">
      <c r="A108" s="140">
        <v>44190.044444444444</v>
      </c>
      <c r="B108" s="141" t="s">
        <v>107</v>
      </c>
      <c r="C108" s="128">
        <v>974.2775689511636</v>
      </c>
      <c r="D108" s="128">
        <v>20.0</v>
      </c>
      <c r="E108" s="142">
        <v>975.9584402207113</v>
      </c>
      <c r="F108" s="44" t="s">
        <v>90</v>
      </c>
      <c r="G108" s="128">
        <v>981.548829373868</v>
      </c>
      <c r="H108" s="128">
        <v>16.0</v>
      </c>
      <c r="I108" s="128">
        <v>983.1946314506623</v>
      </c>
      <c r="J108" s="141" t="s">
        <v>23</v>
      </c>
      <c r="K108" s="128">
        <v>1268.7857677169868</v>
      </c>
      <c r="L108" s="128">
        <v>21.0</v>
      </c>
      <c r="M108" s="142">
        <v>1270.4590943706448</v>
      </c>
      <c r="R108" s="148"/>
      <c r="U108" s="149"/>
      <c r="V108" s="44" t="s">
        <v>27</v>
      </c>
      <c r="W108" s="128">
        <v>988.5427979214098</v>
      </c>
      <c r="X108" s="128">
        <v>18.0</v>
      </c>
      <c r="Y108" s="128">
        <v>986.8843248839119</v>
      </c>
      <c r="Z108" s="141" t="s">
        <v>112</v>
      </c>
      <c r="AA108" s="128">
        <v>1005.4275909284206</v>
      </c>
      <c r="AB108" s="128">
        <v>11.0</v>
      </c>
      <c r="AC108" s="142">
        <v>1003.7077837114745</v>
      </c>
      <c r="AD108" s="44" t="s">
        <v>92</v>
      </c>
      <c r="AE108" s="128">
        <v>1018.3820935617414</v>
      </c>
      <c r="AF108" s="128">
        <v>23.0</v>
      </c>
      <c r="AG108" s="128">
        <v>1016.7603738161855</v>
      </c>
      <c r="AH108" s="148"/>
      <c r="AK108" s="149"/>
      <c r="AP108" s="143">
        <v>15.0</v>
      </c>
      <c r="AQ108" s="128">
        <v>13.0</v>
      </c>
      <c r="AS108" s="44" t="s">
        <v>266</v>
      </c>
      <c r="AT108" s="44">
        <v>107.0</v>
      </c>
      <c r="AU108" s="44"/>
      <c r="AW108" s="93"/>
      <c r="AY108" s="93"/>
      <c r="AZ108" s="93"/>
      <c r="BA108" s="93"/>
      <c r="BB108" s="155"/>
      <c r="BC108" s="93"/>
      <c r="BE108" s="93"/>
      <c r="BG108" s="93"/>
      <c r="BH108" s="93"/>
      <c r="BI108" s="93"/>
      <c r="BJ108" s="155"/>
      <c r="BK108" s="93"/>
    </row>
    <row r="109">
      <c r="A109" s="140">
        <v>44190.07083333333</v>
      </c>
      <c r="B109" s="141" t="s">
        <v>107</v>
      </c>
      <c r="C109" s="128">
        <v>975.9584402207113</v>
      </c>
      <c r="D109" s="128">
        <v>13.0</v>
      </c>
      <c r="E109" s="142">
        <v>984.1613432483368</v>
      </c>
      <c r="F109" s="44" t="s">
        <v>23</v>
      </c>
      <c r="G109" s="128">
        <v>1270.4590943706448</v>
      </c>
      <c r="H109" s="128">
        <v>29.0</v>
      </c>
      <c r="I109" s="128">
        <v>1279.2561913430193</v>
      </c>
      <c r="J109" s="148"/>
      <c r="M109" s="149"/>
      <c r="R109" s="148"/>
      <c r="U109" s="149"/>
      <c r="V109" s="44" t="s">
        <v>112</v>
      </c>
      <c r="W109" s="128">
        <v>1003.7077837114745</v>
      </c>
      <c r="X109" s="128">
        <v>15.0</v>
      </c>
      <c r="Y109" s="128">
        <v>995.25429737538</v>
      </c>
      <c r="Z109" s="141" t="s">
        <v>92</v>
      </c>
      <c r="AA109" s="128">
        <v>1016.7603738161855</v>
      </c>
      <c r="AB109" s="128">
        <v>13.0</v>
      </c>
      <c r="AC109" s="142">
        <v>1008.21386015228</v>
      </c>
      <c r="AH109" s="148"/>
      <c r="AK109" s="149"/>
      <c r="AP109" s="143">
        <v>19.0</v>
      </c>
      <c r="AQ109" s="128">
        <v>9.0</v>
      </c>
      <c r="AR109" s="44" t="s">
        <v>305</v>
      </c>
      <c r="AS109" s="44" t="s">
        <v>280</v>
      </c>
      <c r="AT109" s="44">
        <v>108.0</v>
      </c>
      <c r="AU109" s="44"/>
      <c r="AV109" s="44"/>
      <c r="AW109" s="145"/>
      <c r="AX109" s="44"/>
      <c r="AY109" s="145"/>
      <c r="AZ109" s="145"/>
      <c r="BA109" s="145"/>
      <c r="BB109" s="146"/>
      <c r="BC109" s="145"/>
      <c r="BD109" s="44"/>
      <c r="BE109" s="145"/>
      <c r="BF109" s="44"/>
      <c r="BG109" s="145"/>
      <c r="BH109" s="145"/>
      <c r="BI109" s="145"/>
      <c r="BJ109" s="146"/>
      <c r="BK109" s="145"/>
    </row>
    <row r="110">
      <c r="A110" s="140">
        <v>44190.90555555555</v>
      </c>
      <c r="B110" s="141" t="s">
        <v>224</v>
      </c>
      <c r="C110" s="128">
        <v>905.39355706579</v>
      </c>
      <c r="D110" s="128">
        <v>9.0</v>
      </c>
      <c r="E110" s="142">
        <v>913.9828203767122</v>
      </c>
      <c r="F110" s="44" t="s">
        <v>27</v>
      </c>
      <c r="G110" s="128">
        <v>986.8843248839119</v>
      </c>
      <c r="H110" s="128">
        <v>23.0</v>
      </c>
      <c r="I110" s="128">
        <v>995.9437144205574</v>
      </c>
      <c r="J110" s="141" t="s">
        <v>112</v>
      </c>
      <c r="K110" s="128">
        <v>995.25429737538</v>
      </c>
      <c r="L110" s="128">
        <v>25.0</v>
      </c>
      <c r="M110" s="142">
        <v>1004.3925715578155</v>
      </c>
      <c r="N110" s="44" t="s">
        <v>92</v>
      </c>
      <c r="O110" s="128">
        <v>1008.21386015228</v>
      </c>
      <c r="P110" s="128">
        <v>27.0</v>
      </c>
      <c r="Q110" s="128">
        <v>1017.4269331222768</v>
      </c>
      <c r="R110" s="148"/>
      <c r="U110" s="149"/>
      <c r="V110" s="44" t="s">
        <v>296</v>
      </c>
      <c r="W110" s="128">
        <v>987.3989230791218</v>
      </c>
      <c r="X110" s="128">
        <v>6.0</v>
      </c>
      <c r="Y110" s="128">
        <v>977.9582910609495</v>
      </c>
      <c r="Z110" s="141" t="s">
        <v>306</v>
      </c>
      <c r="AA110" s="128">
        <v>1000.0</v>
      </c>
      <c r="AB110" s="128">
        <v>6.0</v>
      </c>
      <c r="AC110" s="142">
        <v>990.5475404845223</v>
      </c>
      <c r="AD110" s="44" t="s">
        <v>307</v>
      </c>
      <c r="AE110" s="128">
        <v>1000.0</v>
      </c>
      <c r="AF110" s="128">
        <v>8.0</v>
      </c>
      <c r="AG110" s="128">
        <v>990.6375404845222</v>
      </c>
      <c r="AH110" s="141" t="s">
        <v>23</v>
      </c>
      <c r="AI110" s="128">
        <v>1279.2561913430193</v>
      </c>
      <c r="AJ110" s="128">
        <v>45.0</v>
      </c>
      <c r="AK110" s="142">
        <v>1271.511742392147</v>
      </c>
      <c r="AP110" s="143">
        <v>17.0</v>
      </c>
      <c r="AQ110" s="128">
        <v>11.0</v>
      </c>
      <c r="AR110" s="44" t="s">
        <v>308</v>
      </c>
      <c r="AS110" s="44" t="s">
        <v>309</v>
      </c>
      <c r="AT110" s="44">
        <v>109.0</v>
      </c>
      <c r="AU110" s="44"/>
      <c r="AV110" s="44"/>
      <c r="AW110" s="145"/>
      <c r="AX110" s="44"/>
      <c r="AY110" s="145"/>
      <c r="AZ110" s="145"/>
      <c r="BA110" s="145"/>
      <c r="BB110" s="146"/>
      <c r="BC110" s="145"/>
      <c r="BD110" s="44"/>
      <c r="BE110" s="145"/>
      <c r="BF110" s="44"/>
      <c r="BG110" s="145"/>
      <c r="BH110" s="145"/>
      <c r="BI110" s="145"/>
      <c r="BJ110" s="146"/>
      <c r="BK110" s="145"/>
    </row>
    <row r="111">
      <c r="A111" s="140">
        <v>44190.95347222222</v>
      </c>
      <c r="B111" s="141" t="s">
        <v>224</v>
      </c>
      <c r="C111" s="128">
        <v>913.9828203767122</v>
      </c>
      <c r="D111" s="128">
        <v>6.0</v>
      </c>
      <c r="E111" s="142">
        <v>916.8085768785704</v>
      </c>
      <c r="F111" s="44" t="s">
        <v>296</v>
      </c>
      <c r="G111" s="128">
        <v>977.9582910609495</v>
      </c>
      <c r="H111" s="128">
        <v>6.0</v>
      </c>
      <c r="I111" s="128">
        <v>980.7423508554273</v>
      </c>
      <c r="J111" s="141" t="s">
        <v>90</v>
      </c>
      <c r="K111" s="128">
        <v>983.1946314506623</v>
      </c>
      <c r="L111" s="128">
        <v>25.0</v>
      </c>
      <c r="M111" s="142">
        <v>986.2611350431439</v>
      </c>
      <c r="N111" s="44" t="s">
        <v>23</v>
      </c>
      <c r="O111" s="128">
        <v>1271.511742392147</v>
      </c>
      <c r="P111" s="128">
        <v>44.0</v>
      </c>
      <c r="Q111" s="128">
        <v>1274.8354225033293</v>
      </c>
      <c r="R111" s="148"/>
      <c r="U111" s="149"/>
      <c r="V111" s="44" t="s">
        <v>306</v>
      </c>
      <c r="W111" s="128">
        <v>990.5475404845223</v>
      </c>
      <c r="X111" s="128">
        <v>2.0</v>
      </c>
      <c r="Y111" s="128">
        <v>987.3113661618662</v>
      </c>
      <c r="Z111" s="141" t="s">
        <v>27</v>
      </c>
      <c r="AA111" s="128">
        <v>995.9437144205574</v>
      </c>
      <c r="AB111" s="128">
        <v>21.0</v>
      </c>
      <c r="AC111" s="142">
        <v>992.9905814299801</v>
      </c>
      <c r="AD111" s="44" t="s">
        <v>112</v>
      </c>
      <c r="AE111" s="128">
        <v>1004.3925715578155</v>
      </c>
      <c r="AF111" s="128">
        <v>24.0</v>
      </c>
      <c r="AG111" s="128">
        <v>1001.4816164740174</v>
      </c>
      <c r="AH111" s="141" t="s">
        <v>92</v>
      </c>
      <c r="AI111" s="128">
        <v>1017.4269331222768</v>
      </c>
      <c r="AJ111" s="128">
        <v>25.0</v>
      </c>
      <c r="AK111" s="142">
        <v>1014.5271955193082</v>
      </c>
      <c r="AP111" s="143">
        <v>17.0</v>
      </c>
      <c r="AQ111" s="128">
        <v>11.0</v>
      </c>
      <c r="AR111" s="44" t="s">
        <v>308</v>
      </c>
      <c r="AS111" s="44" t="s">
        <v>255</v>
      </c>
      <c r="AT111" s="44">
        <v>110.0</v>
      </c>
      <c r="AU111" s="44"/>
      <c r="AV111" s="44"/>
      <c r="AW111" s="145"/>
      <c r="AX111" s="44"/>
      <c r="AY111" s="145"/>
      <c r="AZ111" s="145"/>
      <c r="BA111" s="145"/>
      <c r="BB111" s="146"/>
      <c r="BC111" s="145"/>
      <c r="BD111" s="44"/>
      <c r="BE111" s="145"/>
      <c r="BF111" s="44"/>
      <c r="BG111" s="145"/>
      <c r="BH111" s="145"/>
      <c r="BI111" s="145"/>
      <c r="BJ111" s="146"/>
      <c r="BK111" s="145"/>
    </row>
    <row r="112">
      <c r="A112" s="140">
        <v>44191.00277777778</v>
      </c>
      <c r="B112" s="141" t="s">
        <v>224</v>
      </c>
      <c r="C112" s="128">
        <v>916.8085768785704</v>
      </c>
      <c r="D112" s="128">
        <v>0.0</v>
      </c>
      <c r="E112" s="142">
        <v>909.1513345392492</v>
      </c>
      <c r="F112" s="44" t="s">
        <v>107</v>
      </c>
      <c r="G112" s="128">
        <v>984.1613432483368</v>
      </c>
      <c r="H112" s="128">
        <v>22.0</v>
      </c>
      <c r="I112" s="128">
        <v>977.1703150242002</v>
      </c>
      <c r="J112" s="141" t="s">
        <v>90</v>
      </c>
      <c r="K112" s="128">
        <v>986.2611350431439</v>
      </c>
      <c r="L112" s="128">
        <v>25.0</v>
      </c>
      <c r="M112" s="142">
        <v>979.3727190122488</v>
      </c>
      <c r="N112" s="44" t="s">
        <v>23</v>
      </c>
      <c r="O112" s="128">
        <v>1274.8354225033293</v>
      </c>
      <c r="P112" s="128">
        <v>39.0</v>
      </c>
      <c r="Q112" s="128">
        <v>1268.3721090976821</v>
      </c>
      <c r="R112" s="148"/>
      <c r="U112" s="149"/>
      <c r="V112" s="44" t="s">
        <v>27</v>
      </c>
      <c r="W112" s="128">
        <v>992.9905814299801</v>
      </c>
      <c r="X112" s="128">
        <v>24.0</v>
      </c>
      <c r="Y112" s="128">
        <v>1000.0778738364215</v>
      </c>
      <c r="Z112" s="141" t="s">
        <v>248</v>
      </c>
      <c r="AA112" s="128">
        <v>999.8019825096301</v>
      </c>
      <c r="AB112" s="128">
        <v>19.0</v>
      </c>
      <c r="AC112" s="142">
        <v>1006.7076053011597</v>
      </c>
      <c r="AD112" s="44" t="s">
        <v>112</v>
      </c>
      <c r="AE112" s="128">
        <v>1001.4816164740174</v>
      </c>
      <c r="AF112" s="128">
        <v>20.0</v>
      </c>
      <c r="AG112" s="128">
        <v>1008.4206774188708</v>
      </c>
      <c r="AH112" s="141" t="s">
        <v>92</v>
      </c>
      <c r="AI112" s="128">
        <v>1014.5271955193082</v>
      </c>
      <c r="AJ112" s="128">
        <v>24.0</v>
      </c>
      <c r="AK112" s="142">
        <v>1021.5952193764838</v>
      </c>
      <c r="AL112" s="44" t="s">
        <v>306</v>
      </c>
      <c r="AM112" s="44">
        <v>987.31</v>
      </c>
      <c r="AN112" s="44">
        <v>0.0</v>
      </c>
      <c r="AO112" s="44">
        <v>987.31</v>
      </c>
      <c r="AP112" s="143">
        <v>10.0</v>
      </c>
      <c r="AQ112" s="128">
        <v>18.0</v>
      </c>
      <c r="AS112" s="44" t="s">
        <v>310</v>
      </c>
      <c r="AT112" s="44">
        <v>111.0</v>
      </c>
      <c r="AU112" s="44"/>
      <c r="AW112" s="93"/>
      <c r="AY112" s="93"/>
      <c r="AZ112" s="93"/>
      <c r="BA112" s="93"/>
      <c r="BB112" s="155"/>
      <c r="BC112" s="93"/>
      <c r="BE112" s="93"/>
      <c r="BG112" s="93"/>
      <c r="BH112" s="93"/>
      <c r="BI112" s="93"/>
      <c r="BJ112" s="155"/>
      <c r="BK112" s="93"/>
    </row>
    <row r="113">
      <c r="A113" s="140">
        <v>44191.05138888889</v>
      </c>
      <c r="B113" s="141" t="s">
        <v>107</v>
      </c>
      <c r="C113" s="128">
        <v>977.1703150242002</v>
      </c>
      <c r="D113" s="128">
        <v>23.0</v>
      </c>
      <c r="E113" s="142">
        <v>975.9396820517288</v>
      </c>
      <c r="F113" s="44" t="s">
        <v>90</v>
      </c>
      <c r="G113" s="128">
        <v>979.3727190122488</v>
      </c>
      <c r="H113" s="128">
        <v>22.0</v>
      </c>
      <c r="I113" s="128">
        <v>978.1353873588898</v>
      </c>
      <c r="J113" s="141" t="s">
        <v>306</v>
      </c>
      <c r="K113" s="128">
        <v>987.3113661618662</v>
      </c>
      <c r="L113" s="128">
        <v>0.0</v>
      </c>
      <c r="M113" s="142">
        <v>985.9349989812722</v>
      </c>
      <c r="N113" s="44" t="s">
        <v>23</v>
      </c>
      <c r="O113" s="128">
        <v>1268.3721090976821</v>
      </c>
      <c r="P113" s="128">
        <v>37.0</v>
      </c>
      <c r="Q113" s="128">
        <v>1267.2164409041065</v>
      </c>
      <c r="R113" s="148"/>
      <c r="U113" s="149"/>
      <c r="V113" s="44" t="s">
        <v>27</v>
      </c>
      <c r="W113" s="128">
        <v>1000.0778738364215</v>
      </c>
      <c r="X113" s="128">
        <v>17.0</v>
      </c>
      <c r="Y113" s="128">
        <v>1001.3274040223907</v>
      </c>
      <c r="Z113" s="141" t="s">
        <v>248</v>
      </c>
      <c r="AA113" s="128">
        <v>1006.7076053011597</v>
      </c>
      <c r="AB113" s="128">
        <v>18.0</v>
      </c>
      <c r="AC113" s="142">
        <v>1007.9625427413181</v>
      </c>
      <c r="AD113" s="44" t="s">
        <v>112</v>
      </c>
      <c r="AE113" s="128">
        <v>1008.4206774188708</v>
      </c>
      <c r="AF113" s="128">
        <v>14.0</v>
      </c>
      <c r="AG113" s="128">
        <v>1009.6504087172648</v>
      </c>
      <c r="AH113" s="141" t="s">
        <v>92</v>
      </c>
      <c r="AI113" s="128">
        <v>1021.5952193764838</v>
      </c>
      <c r="AJ113" s="128">
        <v>20.0</v>
      </c>
      <c r="AK113" s="142">
        <v>1022.8610204519622</v>
      </c>
      <c r="AP113" s="143">
        <v>14.0</v>
      </c>
      <c r="AQ113" s="128">
        <v>14.0</v>
      </c>
      <c r="AR113" s="44" t="s">
        <v>311</v>
      </c>
      <c r="AS113" s="44" t="s">
        <v>295</v>
      </c>
      <c r="AT113" s="44">
        <v>112.0</v>
      </c>
      <c r="AU113" s="44"/>
      <c r="AV113" s="44"/>
      <c r="AW113" s="145"/>
      <c r="AX113" s="44"/>
      <c r="AY113" s="145"/>
      <c r="AZ113" s="145"/>
      <c r="BA113" s="145"/>
      <c r="BB113" s="146"/>
      <c r="BC113" s="145"/>
      <c r="BD113" s="44"/>
      <c r="BE113" s="145"/>
      <c r="BF113" s="44"/>
      <c r="BG113" s="145"/>
      <c r="BH113" s="145"/>
      <c r="BI113" s="145"/>
      <c r="BJ113" s="146"/>
      <c r="BK113" s="145"/>
    </row>
    <row r="114">
      <c r="A114" s="140">
        <v>44191.89166666667</v>
      </c>
      <c r="B114" s="141" t="s">
        <v>90</v>
      </c>
      <c r="C114" s="128">
        <v>978.1353873588898</v>
      </c>
      <c r="D114" s="128">
        <v>24.0</v>
      </c>
      <c r="E114" s="142">
        <v>983.876333920941</v>
      </c>
      <c r="F114" s="44" t="s">
        <v>78</v>
      </c>
      <c r="G114" s="128">
        <v>1000.0</v>
      </c>
      <c r="H114" s="128">
        <v>9.0</v>
      </c>
      <c r="I114" s="128">
        <v>1005.2957162713001</v>
      </c>
      <c r="J114" s="141" t="s">
        <v>23</v>
      </c>
      <c r="K114" s="128">
        <v>1267.2164409041065</v>
      </c>
      <c r="L114" s="128">
        <v>34.0</v>
      </c>
      <c r="M114" s="142">
        <v>1273.1797780707554</v>
      </c>
      <c r="R114" s="148"/>
      <c r="U114" s="149"/>
      <c r="V114" s="44" t="s">
        <v>58</v>
      </c>
      <c r="W114" s="128">
        <v>1000.0</v>
      </c>
      <c r="X114" s="128">
        <v>18.0</v>
      </c>
      <c r="Y114" s="128">
        <v>994.4213542578174</v>
      </c>
      <c r="Z114" s="141" t="s">
        <v>248</v>
      </c>
      <c r="AA114" s="128">
        <v>1007.9625427413181</v>
      </c>
      <c r="AB114" s="128">
        <v>20.0</v>
      </c>
      <c r="AC114" s="142">
        <v>1002.4364410168824</v>
      </c>
      <c r="AD114" s="44" t="s">
        <v>112</v>
      </c>
      <c r="AE114" s="128">
        <v>1009.6504087172648</v>
      </c>
      <c r="AF114" s="128">
        <v>7.0</v>
      </c>
      <c r="AG114" s="128">
        <v>1003.7551561838831</v>
      </c>
      <c r="AH114" s="148"/>
      <c r="AK114" s="149"/>
      <c r="AP114" s="143">
        <v>20.0</v>
      </c>
      <c r="AQ114" s="128">
        <v>8.0</v>
      </c>
      <c r="AR114" s="44" t="s">
        <v>312</v>
      </c>
      <c r="AS114" s="44" t="s">
        <v>229</v>
      </c>
      <c r="AT114" s="44">
        <v>113.0</v>
      </c>
      <c r="AU114" s="44"/>
      <c r="AV114" s="44"/>
      <c r="AW114" s="145"/>
      <c r="AX114" s="44"/>
      <c r="AY114" s="145"/>
      <c r="AZ114" s="145"/>
      <c r="BA114" s="145"/>
      <c r="BB114" s="146"/>
      <c r="BC114" s="145"/>
      <c r="BD114" s="44"/>
      <c r="BE114" s="145"/>
      <c r="BF114" s="44"/>
      <c r="BG114" s="145"/>
      <c r="BH114" s="145"/>
      <c r="BI114" s="145"/>
      <c r="BJ114" s="146"/>
      <c r="BK114" s="145"/>
    </row>
    <row r="115">
      <c r="A115" s="140">
        <v>44191.93541666667</v>
      </c>
      <c r="B115" s="141" t="s">
        <v>90</v>
      </c>
      <c r="C115" s="128">
        <v>983.876333920941</v>
      </c>
      <c r="D115" s="128">
        <v>17.0</v>
      </c>
      <c r="E115" s="142">
        <v>968.2990179833434</v>
      </c>
      <c r="F115" s="44" t="s">
        <v>228</v>
      </c>
      <c r="G115" s="128">
        <v>993.4463404331873</v>
      </c>
      <c r="H115" s="128">
        <v>10.0</v>
      </c>
      <c r="I115" s="128">
        <v>977.301131182182</v>
      </c>
      <c r="J115" s="141" t="s">
        <v>58</v>
      </c>
      <c r="K115" s="128">
        <v>994.4213542578174</v>
      </c>
      <c r="L115" s="128">
        <v>10.0</v>
      </c>
      <c r="M115" s="142">
        <v>978.2745502925992</v>
      </c>
      <c r="N115" s="44" t="s">
        <v>23</v>
      </c>
      <c r="O115" s="128">
        <v>1273.1797780707554</v>
      </c>
      <c r="P115" s="128">
        <v>24.0</v>
      </c>
      <c r="Q115" s="128">
        <v>1258.0491072245763</v>
      </c>
      <c r="R115" s="148"/>
      <c r="U115" s="149"/>
      <c r="V115" s="44" t="s">
        <v>236</v>
      </c>
      <c r="W115" s="128">
        <v>1000.4999271529007</v>
      </c>
      <c r="X115" s="128">
        <v>33.0</v>
      </c>
      <c r="Y115" s="128">
        <v>1017.0429867104613</v>
      </c>
      <c r="Z115" s="141" t="s">
        <v>248</v>
      </c>
      <c r="AA115" s="128">
        <v>1002.4364410168824</v>
      </c>
      <c r="AB115" s="128">
        <v>15.0</v>
      </c>
      <c r="AC115" s="142">
        <v>1017.5576381307374</v>
      </c>
      <c r="AD115" s="44" t="s">
        <v>112</v>
      </c>
      <c r="AE115" s="128">
        <v>1003.7551561838831</v>
      </c>
      <c r="AF115" s="128">
        <v>30.0</v>
      </c>
      <c r="AG115" s="128">
        <v>1020.0546948839153</v>
      </c>
      <c r="AH115" s="141" t="s">
        <v>78</v>
      </c>
      <c r="AI115" s="128">
        <v>1005.2957162713001</v>
      </c>
      <c r="AJ115" s="128">
        <v>14.0</v>
      </c>
      <c r="AK115" s="142">
        <v>1020.3319208998523</v>
      </c>
      <c r="AP115" s="143">
        <v>8.0</v>
      </c>
      <c r="AQ115" s="128">
        <v>20.0</v>
      </c>
      <c r="AS115" s="44" t="s">
        <v>229</v>
      </c>
      <c r="AT115" s="44">
        <v>114.0</v>
      </c>
      <c r="AU115" s="44"/>
      <c r="AW115" s="93"/>
      <c r="AY115" s="93"/>
      <c r="AZ115" s="93"/>
      <c r="BA115" s="93"/>
      <c r="BB115" s="155"/>
      <c r="BC115" s="93"/>
      <c r="BE115" s="93"/>
      <c r="BG115" s="93"/>
      <c r="BH115" s="93"/>
      <c r="BI115" s="93"/>
      <c r="BJ115" s="155"/>
      <c r="BK115" s="93"/>
    </row>
    <row r="116">
      <c r="A116" s="140">
        <v>44191.98263888889</v>
      </c>
      <c r="B116" s="141" t="s">
        <v>90</v>
      </c>
      <c r="C116" s="128">
        <v>968.2990179833434</v>
      </c>
      <c r="D116" s="128">
        <v>25.0</v>
      </c>
      <c r="E116" s="142">
        <v>969.738946363681</v>
      </c>
      <c r="F116" s="44" t="s">
        <v>228</v>
      </c>
      <c r="G116" s="128">
        <v>977.301131182182</v>
      </c>
      <c r="H116" s="128">
        <v>12.0</v>
      </c>
      <c r="I116" s="128">
        <v>978.6477242489799</v>
      </c>
      <c r="J116" s="141" t="s">
        <v>58</v>
      </c>
      <c r="K116" s="128">
        <v>978.2745502925992</v>
      </c>
      <c r="L116" s="128">
        <v>18.0</v>
      </c>
      <c r="M116" s="142">
        <v>979.6629032961187</v>
      </c>
      <c r="N116" s="44" t="s">
        <v>296</v>
      </c>
      <c r="O116" s="128">
        <v>980.7423508554273</v>
      </c>
      <c r="P116" s="128">
        <v>11.0</v>
      </c>
      <c r="Q116" s="128">
        <v>982.0811061981942</v>
      </c>
      <c r="R116" s="141" t="s">
        <v>23</v>
      </c>
      <c r="S116" s="128">
        <v>1258.0491072245763</v>
      </c>
      <c r="T116" s="128">
        <v>34.0</v>
      </c>
      <c r="U116" s="142">
        <v>1259.5354774311545</v>
      </c>
      <c r="V116" s="44" t="s">
        <v>306</v>
      </c>
      <c r="W116" s="128">
        <v>985.9349989812722</v>
      </c>
      <c r="X116" s="128">
        <v>5.0</v>
      </c>
      <c r="Y116" s="128">
        <v>984.4436407525433</v>
      </c>
      <c r="Z116" s="141" t="s">
        <v>98</v>
      </c>
      <c r="AA116" s="128">
        <v>1000.0</v>
      </c>
      <c r="AB116" s="128">
        <v>22.0</v>
      </c>
      <c r="AC116" s="142">
        <v>998.6249968217892</v>
      </c>
      <c r="AD116" s="44" t="s">
        <v>236</v>
      </c>
      <c r="AE116" s="128">
        <v>1017.0429867104613</v>
      </c>
      <c r="AF116" s="128">
        <v>27.0</v>
      </c>
      <c r="AG116" s="128">
        <v>1015.7003815378331</v>
      </c>
      <c r="AH116" s="141" t="s">
        <v>112</v>
      </c>
      <c r="AI116" s="128">
        <v>1020.0546948839153</v>
      </c>
      <c r="AJ116" s="128">
        <v>24.0</v>
      </c>
      <c r="AK116" s="142">
        <v>1018.6906958218617</v>
      </c>
      <c r="AL116" s="44" t="s">
        <v>78</v>
      </c>
      <c r="AM116" s="128">
        <v>1020.3319208998523</v>
      </c>
      <c r="AN116" s="128">
        <v>15.0</v>
      </c>
      <c r="AO116" s="128">
        <v>1018.9048865414738</v>
      </c>
      <c r="AP116" s="143">
        <v>15.0</v>
      </c>
      <c r="AQ116" s="128">
        <v>13.0</v>
      </c>
      <c r="AS116" s="44" t="s">
        <v>313</v>
      </c>
      <c r="AT116" s="44">
        <v>115.0</v>
      </c>
      <c r="AU116" s="44"/>
      <c r="AW116" s="93"/>
      <c r="AY116" s="93"/>
      <c r="AZ116" s="93"/>
      <c r="BA116" s="93"/>
      <c r="BB116" s="155"/>
      <c r="BC116" s="93"/>
      <c r="BE116" s="93"/>
      <c r="BG116" s="93"/>
      <c r="BH116" s="93"/>
      <c r="BI116" s="93"/>
      <c r="BJ116" s="155"/>
      <c r="BK116" s="93"/>
    </row>
    <row r="117">
      <c r="A117" s="140">
        <v>44192.02916666667</v>
      </c>
      <c r="B117" s="141" t="s">
        <v>90</v>
      </c>
      <c r="C117" s="128">
        <v>969.738946363681</v>
      </c>
      <c r="D117" s="128">
        <v>29.0</v>
      </c>
      <c r="E117" s="142">
        <v>973.4640198177269</v>
      </c>
      <c r="F117" s="44" t="s">
        <v>58</v>
      </c>
      <c r="G117" s="128">
        <v>979.6629032961187</v>
      </c>
      <c r="H117" s="128">
        <v>15.0</v>
      </c>
      <c r="I117" s="128">
        <v>983.1225118231237</v>
      </c>
      <c r="J117" s="141" t="s">
        <v>23</v>
      </c>
      <c r="K117" s="128">
        <v>1259.5354774311545</v>
      </c>
      <c r="L117" s="128">
        <v>37.0</v>
      </c>
      <c r="M117" s="142">
        <v>1263.3507954501035</v>
      </c>
      <c r="R117" s="148"/>
      <c r="U117" s="149"/>
      <c r="V117" s="44" t="s">
        <v>98</v>
      </c>
      <c r="W117" s="128">
        <v>998.6249968217892</v>
      </c>
      <c r="X117" s="128">
        <v>15.0</v>
      </c>
      <c r="Y117" s="128">
        <v>994.962627096343</v>
      </c>
      <c r="Z117" s="141" t="s">
        <v>112</v>
      </c>
      <c r="AA117" s="128">
        <v>1018.6906958218617</v>
      </c>
      <c r="AB117" s="128">
        <v>11.0</v>
      </c>
      <c r="AC117" s="142">
        <v>1014.9485766297436</v>
      </c>
      <c r="AD117" s="44" t="s">
        <v>78</v>
      </c>
      <c r="AE117" s="128">
        <v>1018.9048865414738</v>
      </c>
      <c r="AF117" s="128">
        <v>19.0</v>
      </c>
      <c r="AG117" s="128">
        <v>1015.3093754590382</v>
      </c>
      <c r="AH117" s="141" t="s">
        <v>306</v>
      </c>
      <c r="AI117" s="44">
        <v>984.44</v>
      </c>
      <c r="AJ117" s="44">
        <v>0.0</v>
      </c>
      <c r="AK117" s="147">
        <v>980.44</v>
      </c>
      <c r="AP117" s="143">
        <v>18.0</v>
      </c>
      <c r="AQ117" s="128">
        <v>10.0</v>
      </c>
      <c r="AR117" s="44" t="s">
        <v>314</v>
      </c>
      <c r="AS117" s="44" t="s">
        <v>243</v>
      </c>
      <c r="AT117" s="44">
        <v>116.0</v>
      </c>
      <c r="AU117" s="44"/>
      <c r="AV117" s="44"/>
      <c r="AW117" s="145"/>
      <c r="AX117" s="44"/>
      <c r="AY117" s="145"/>
      <c r="AZ117" s="145"/>
      <c r="BA117" s="145"/>
      <c r="BB117" s="146"/>
      <c r="BC117" s="145"/>
      <c r="BD117" s="44"/>
      <c r="BE117" s="145"/>
      <c r="BF117" s="44"/>
      <c r="BG117" s="145"/>
      <c r="BH117" s="145"/>
      <c r="BI117" s="145"/>
      <c r="BJ117" s="146"/>
      <c r="BK117" s="145"/>
    </row>
    <row r="118">
      <c r="A118" s="140">
        <v>44192.06875</v>
      </c>
      <c r="B118" s="141" t="s">
        <v>107</v>
      </c>
      <c r="C118" s="128">
        <v>975.9396820517288</v>
      </c>
      <c r="D118" s="128">
        <v>12.0</v>
      </c>
      <c r="E118" s="142">
        <v>980.3143192253915</v>
      </c>
      <c r="F118" s="44" t="s">
        <v>23</v>
      </c>
      <c r="G118" s="128">
        <v>1263.3507954501035</v>
      </c>
      <c r="H118" s="128">
        <v>25.0</v>
      </c>
      <c r="I118" s="128">
        <v>1267.9761582764409</v>
      </c>
      <c r="J118" s="148"/>
      <c r="M118" s="149"/>
      <c r="R118" s="148"/>
      <c r="U118" s="149"/>
      <c r="V118" s="44" t="s">
        <v>112</v>
      </c>
      <c r="W118" s="128">
        <v>1014.9485766297436</v>
      </c>
      <c r="X118" s="128">
        <v>17.0</v>
      </c>
      <c r="Y118" s="128">
        <v>1010.516496897087</v>
      </c>
      <c r="Z118" s="141" t="s">
        <v>248</v>
      </c>
      <c r="AA118" s="128">
        <v>1017.5576381307374</v>
      </c>
      <c r="AB118" s="128">
        <v>11.0</v>
      </c>
      <c r="AC118" s="142">
        <v>1012.9897178633939</v>
      </c>
      <c r="AH118" s="148"/>
      <c r="AK118" s="149"/>
      <c r="AP118" s="143">
        <v>16.0</v>
      </c>
      <c r="AQ118" s="128">
        <v>12.0</v>
      </c>
      <c r="AS118" s="44" t="s">
        <v>268</v>
      </c>
      <c r="AT118" s="44">
        <v>117.0</v>
      </c>
      <c r="AU118" s="44"/>
      <c r="AW118" s="93"/>
      <c r="AY118" s="93"/>
      <c r="AZ118" s="93"/>
      <c r="BA118" s="93"/>
      <c r="BB118" s="155"/>
      <c r="BC118" s="93"/>
      <c r="BE118" s="93"/>
      <c r="BG118" s="93"/>
      <c r="BH118" s="93"/>
      <c r="BI118" s="93"/>
      <c r="BJ118" s="155"/>
      <c r="BK118" s="93"/>
    </row>
    <row r="119">
      <c r="A119" s="140">
        <v>44192.950694444444</v>
      </c>
      <c r="B119" s="141" t="s">
        <v>90</v>
      </c>
      <c r="C119" s="128">
        <v>973.4640198177269</v>
      </c>
      <c r="D119" s="128">
        <v>19.0</v>
      </c>
      <c r="E119" s="142">
        <v>972.4671477173314</v>
      </c>
      <c r="F119" s="44" t="s">
        <v>228</v>
      </c>
      <c r="G119" s="128">
        <v>978.6477242489799</v>
      </c>
      <c r="H119" s="128">
        <v>9.0</v>
      </c>
      <c r="I119" s="128">
        <v>977.6000018376966</v>
      </c>
      <c r="J119" s="141" t="s">
        <v>58</v>
      </c>
      <c r="K119" s="128">
        <v>983.1225118231237</v>
      </c>
      <c r="L119" s="128">
        <v>20.0</v>
      </c>
      <c r="M119" s="142">
        <v>982.1290911369682</v>
      </c>
      <c r="N119" s="44" t="s">
        <v>23</v>
      </c>
      <c r="O119" s="128">
        <v>1267.9761582764409</v>
      </c>
      <c r="P119" s="128">
        <v>28.0</v>
      </c>
      <c r="Q119" s="128">
        <v>1267.0141734742751</v>
      </c>
      <c r="R119" s="148"/>
      <c r="U119" s="149"/>
      <c r="V119" s="44" t="s">
        <v>112</v>
      </c>
      <c r="W119" s="128">
        <v>1010.516496897087</v>
      </c>
      <c r="X119" s="128">
        <v>17.0</v>
      </c>
      <c r="Y119" s="128">
        <v>1011.5007698760843</v>
      </c>
      <c r="Z119" s="141" t="s">
        <v>248</v>
      </c>
      <c r="AA119" s="128">
        <v>1012.9897178633939</v>
      </c>
      <c r="AB119" s="128">
        <v>16.0</v>
      </c>
      <c r="AC119" s="142">
        <v>1013.9687188335832</v>
      </c>
      <c r="AD119" s="44" t="s">
        <v>236</v>
      </c>
      <c r="AE119" s="128">
        <v>1015.7003815378331</v>
      </c>
      <c r="AF119" s="128">
        <v>34.0</v>
      </c>
      <c r="AG119" s="128">
        <v>1016.769095662561</v>
      </c>
      <c r="AH119" s="141" t="s">
        <v>92</v>
      </c>
      <c r="AI119" s="128">
        <v>1022.8610204519622</v>
      </c>
      <c r="AJ119" s="128">
        <v>14.0</v>
      </c>
      <c r="AK119" s="142">
        <v>1023.8290323780477</v>
      </c>
      <c r="AP119" s="143">
        <v>14.0</v>
      </c>
      <c r="AQ119" s="128">
        <v>14.0</v>
      </c>
      <c r="AS119" s="44" t="s">
        <v>229</v>
      </c>
      <c r="AT119" s="44">
        <v>118.0</v>
      </c>
      <c r="AU119" s="44"/>
      <c r="AW119" s="93"/>
      <c r="AY119" s="93"/>
      <c r="AZ119" s="93"/>
      <c r="BA119" s="93"/>
      <c r="BB119" s="155"/>
      <c r="BC119" s="93"/>
      <c r="BE119" s="93"/>
      <c r="BG119" s="93"/>
      <c r="BH119" s="93"/>
      <c r="BI119" s="93"/>
      <c r="BJ119" s="155"/>
      <c r="BK119" s="93"/>
    </row>
    <row r="120">
      <c r="A120" s="140">
        <v>44192.99513888889</v>
      </c>
      <c r="B120" s="141" t="s">
        <v>90</v>
      </c>
      <c r="C120" s="128">
        <v>972.4671477173314</v>
      </c>
      <c r="D120" s="128">
        <v>12.0</v>
      </c>
      <c r="E120" s="142">
        <v>962.2574667748361</v>
      </c>
      <c r="F120" s="44" t="s">
        <v>98</v>
      </c>
      <c r="G120" s="128">
        <v>994.962627096343</v>
      </c>
      <c r="H120" s="128">
        <v>13.0</v>
      </c>
      <c r="I120" s="128">
        <v>984.7728305545096</v>
      </c>
      <c r="J120" s="141" t="s">
        <v>23</v>
      </c>
      <c r="K120" s="128">
        <v>1267.0141734742751</v>
      </c>
      <c r="L120" s="128">
        <v>26.0</v>
      </c>
      <c r="M120" s="142">
        <v>1257.4136509586037</v>
      </c>
      <c r="R120" s="148"/>
      <c r="U120" s="149"/>
      <c r="V120" s="44" t="s">
        <v>112</v>
      </c>
      <c r="W120" s="128">
        <v>1011.5007698760843</v>
      </c>
      <c r="X120" s="128">
        <v>20.0</v>
      </c>
      <c r="Y120" s="128">
        <v>1021.4891512892724</v>
      </c>
      <c r="Z120" s="141" t="s">
        <v>248</v>
      </c>
      <c r="AA120" s="128">
        <v>1013.9687188335832</v>
      </c>
      <c r="AB120" s="128">
        <v>16.0</v>
      </c>
      <c r="AC120" s="142">
        <v>1023.7544133555638</v>
      </c>
      <c r="AD120" s="44" t="s">
        <v>92</v>
      </c>
      <c r="AE120" s="128">
        <v>1023.8290323780477</v>
      </c>
      <c r="AF120" s="128">
        <v>25.0</v>
      </c>
      <c r="AG120" s="128">
        <v>1034.054956442879</v>
      </c>
      <c r="AH120" s="148"/>
      <c r="AK120" s="149"/>
      <c r="AP120" s="143">
        <v>11.0</v>
      </c>
      <c r="AQ120" s="128">
        <v>17.0</v>
      </c>
      <c r="AS120" s="44" t="s">
        <v>315</v>
      </c>
      <c r="AT120" s="44">
        <v>119.0</v>
      </c>
      <c r="AU120" s="44"/>
      <c r="AW120" s="93"/>
      <c r="AY120" s="93"/>
      <c r="AZ120" s="93"/>
      <c r="BA120" s="93"/>
      <c r="BB120" s="155"/>
      <c r="BC120" s="93"/>
      <c r="BE120" s="93"/>
      <c r="BG120" s="93"/>
      <c r="BH120" s="93"/>
      <c r="BI120" s="93"/>
      <c r="BJ120" s="155"/>
      <c r="BK120" s="93"/>
    </row>
    <row r="121">
      <c r="A121" s="140">
        <v>44193.91805555556</v>
      </c>
      <c r="B121" s="141" t="s">
        <v>90</v>
      </c>
      <c r="C121" s="128">
        <v>962.2574667748361</v>
      </c>
      <c r="D121" s="128">
        <v>21.0</v>
      </c>
      <c r="E121" s="142">
        <v>966.3369429421886</v>
      </c>
      <c r="F121" s="44" t="s">
        <v>107</v>
      </c>
      <c r="G121" s="128">
        <v>980.3143192253915</v>
      </c>
      <c r="H121" s="128">
        <v>14.0</v>
      </c>
      <c r="I121" s="128">
        <v>984.2417548584218</v>
      </c>
      <c r="J121" s="141" t="s">
        <v>23</v>
      </c>
      <c r="K121" s="128">
        <v>1257.4136509586037</v>
      </c>
      <c r="L121" s="128">
        <v>19.0</v>
      </c>
      <c r="M121" s="142">
        <v>1261.406739158221</v>
      </c>
      <c r="R121" s="148"/>
      <c r="U121" s="149"/>
      <c r="V121" s="44" t="s">
        <v>27</v>
      </c>
      <c r="W121" s="128">
        <v>1001.3274040223907</v>
      </c>
      <c r="X121" s="128">
        <v>20.0</v>
      </c>
      <c r="Y121" s="128">
        <v>997.3805797490645</v>
      </c>
      <c r="Z121" s="141" t="s">
        <v>112</v>
      </c>
      <c r="AA121" s="128">
        <v>1021.4891512892724</v>
      </c>
      <c r="AB121" s="128">
        <v>21.0</v>
      </c>
      <c r="AC121" s="142">
        <v>1017.5544454263247</v>
      </c>
      <c r="AD121" s="44" t="s">
        <v>92</v>
      </c>
      <c r="AE121" s="128">
        <v>1034.054956442879</v>
      </c>
      <c r="AF121" s="128">
        <v>12.0</v>
      </c>
      <c r="AG121" s="128">
        <v>1029.9364865791529</v>
      </c>
      <c r="AH121" s="148"/>
      <c r="AK121" s="149"/>
      <c r="AP121" s="143">
        <v>16.0</v>
      </c>
      <c r="AQ121" s="128">
        <v>12.0</v>
      </c>
      <c r="AS121" s="44" t="s">
        <v>229</v>
      </c>
      <c r="AT121" s="44">
        <v>120.0</v>
      </c>
      <c r="AU121" s="44"/>
      <c r="AW121" s="93"/>
      <c r="AY121" s="93"/>
      <c r="AZ121" s="93"/>
      <c r="BA121" s="93"/>
      <c r="BB121" s="155"/>
      <c r="BC121" s="93"/>
      <c r="BE121" s="93"/>
      <c r="BG121" s="93"/>
      <c r="BH121" s="93"/>
      <c r="BI121" s="93"/>
      <c r="BJ121" s="155"/>
      <c r="BK121" s="93"/>
    </row>
    <row r="122">
      <c r="A122" s="140">
        <v>44193.96319444444</v>
      </c>
      <c r="B122" s="141" t="s">
        <v>90</v>
      </c>
      <c r="C122" s="128">
        <v>966.3369429421886</v>
      </c>
      <c r="D122" s="128">
        <v>16.0</v>
      </c>
      <c r="E122" s="142">
        <v>962.8206057818084</v>
      </c>
      <c r="F122" s="44" t="s">
        <v>107</v>
      </c>
      <c r="G122" s="128">
        <v>984.2417548584218</v>
      </c>
      <c r="H122" s="128">
        <v>17.0</v>
      </c>
      <c r="I122" s="128">
        <v>980.7331056668775</v>
      </c>
      <c r="J122" s="141" t="s">
        <v>227</v>
      </c>
      <c r="K122" s="128">
        <v>984.5724965763045</v>
      </c>
      <c r="L122" s="128">
        <v>8.0</v>
      </c>
      <c r="M122" s="142">
        <v>980.9061827879834</v>
      </c>
      <c r="N122" s="44" t="s">
        <v>23</v>
      </c>
      <c r="O122" s="128">
        <v>1261.406739158221</v>
      </c>
      <c r="P122" s="44">
        <v>32.0</v>
      </c>
      <c r="Q122" s="128">
        <v>1258.0980392984666</v>
      </c>
      <c r="R122" s="148"/>
      <c r="U122" s="149"/>
      <c r="V122" s="44" t="s">
        <v>27</v>
      </c>
      <c r="W122" s="128">
        <v>997.3805797490645</v>
      </c>
      <c r="X122" s="128">
        <v>19.0</v>
      </c>
      <c r="Y122" s="128">
        <v>1000.8873260211716</v>
      </c>
      <c r="Z122" s="141" t="s">
        <v>236</v>
      </c>
      <c r="AA122" s="128">
        <v>1016.769095662561</v>
      </c>
      <c r="AB122" s="128">
        <v>21.0</v>
      </c>
      <c r="AC122" s="142">
        <v>1020.3032687328348</v>
      </c>
      <c r="AD122" s="44" t="s">
        <v>112</v>
      </c>
      <c r="AE122" s="128">
        <v>1017.5544454263247</v>
      </c>
      <c r="AF122" s="128">
        <v>20.0</v>
      </c>
      <c r="AG122" s="128">
        <v>1021.0708548231248</v>
      </c>
      <c r="AH122" s="141" t="s">
        <v>92</v>
      </c>
      <c r="AI122" s="128">
        <v>1029.9364865791529</v>
      </c>
      <c r="AJ122" s="128">
        <v>16.0</v>
      </c>
      <c r="AK122" s="142">
        <v>1033.3791578399719</v>
      </c>
      <c r="AP122" s="143">
        <v>13.0</v>
      </c>
      <c r="AQ122" s="128">
        <v>15.0</v>
      </c>
      <c r="AR122" s="44" t="s">
        <v>316</v>
      </c>
      <c r="AS122" s="44" t="s">
        <v>232</v>
      </c>
      <c r="AT122" s="44">
        <v>121.0</v>
      </c>
      <c r="AU122" s="44"/>
      <c r="AV122" s="44"/>
      <c r="AW122" s="145"/>
      <c r="AX122" s="44"/>
      <c r="AY122" s="145"/>
      <c r="AZ122" s="145"/>
      <c r="BA122" s="145"/>
      <c r="BB122" s="146"/>
      <c r="BC122" s="145"/>
      <c r="BD122" s="44"/>
      <c r="BE122" s="145"/>
      <c r="BF122" s="44"/>
      <c r="BG122" s="145"/>
      <c r="BH122" s="145"/>
      <c r="BI122" s="145"/>
      <c r="BJ122" s="146"/>
      <c r="BK122" s="145"/>
    </row>
    <row r="123">
      <c r="A123" s="140">
        <v>44194.027083333334</v>
      </c>
      <c r="B123" s="141" t="s">
        <v>90</v>
      </c>
      <c r="C123" s="128">
        <v>962.8206057818084</v>
      </c>
      <c r="D123" s="128">
        <v>24.0</v>
      </c>
      <c r="E123" s="142">
        <v>968.9465718389222</v>
      </c>
      <c r="F123" s="44" t="s">
        <v>107</v>
      </c>
      <c r="G123" s="128">
        <v>980.7331056668775</v>
      </c>
      <c r="H123" s="128">
        <v>22.0</v>
      </c>
      <c r="I123" s="128">
        <v>986.7774825379496</v>
      </c>
      <c r="J123" s="141" t="s">
        <v>317</v>
      </c>
      <c r="K123" s="128">
        <v>1000.0</v>
      </c>
      <c r="L123" s="128">
        <v>13.0</v>
      </c>
      <c r="M123" s="142">
        <v>1005.7554639748608</v>
      </c>
      <c r="N123" s="44" t="s">
        <v>23</v>
      </c>
      <c r="O123" s="128">
        <v>1258.0980392984666</v>
      </c>
      <c r="P123" s="128">
        <v>25.0</v>
      </c>
      <c r="Q123" s="128">
        <v>1264.1722323954198</v>
      </c>
      <c r="R123" s="148"/>
      <c r="U123" s="149"/>
      <c r="V123" s="44" t="s">
        <v>100</v>
      </c>
      <c r="W123" s="128">
        <v>1000.0</v>
      </c>
      <c r="X123" s="128">
        <v>16.0</v>
      </c>
      <c r="Y123" s="128">
        <v>993.9998926381602</v>
      </c>
      <c r="Z123" s="141" t="s">
        <v>27</v>
      </c>
      <c r="AA123" s="128">
        <v>1000.8873260211716</v>
      </c>
      <c r="AB123" s="128">
        <v>16.0</v>
      </c>
      <c r="AC123" s="142">
        <v>994.8866405761498</v>
      </c>
      <c r="AD123" s="44" t="s">
        <v>112</v>
      </c>
      <c r="AE123" s="128">
        <v>1021.0708548231248</v>
      </c>
      <c r="AF123" s="128">
        <v>18.0</v>
      </c>
      <c r="AG123" s="128">
        <v>1015.118873069306</v>
      </c>
      <c r="AH123" s="141" t="s">
        <v>92</v>
      </c>
      <c r="AI123" s="128">
        <v>1033.3791578399719</v>
      </c>
      <c r="AJ123" s="128">
        <v>15.0</v>
      </c>
      <c r="AK123" s="142">
        <v>1027.3319324006522</v>
      </c>
      <c r="AP123" s="143">
        <v>19.0</v>
      </c>
      <c r="AQ123" s="128">
        <v>9.0</v>
      </c>
      <c r="AR123" s="44" t="s">
        <v>318</v>
      </c>
      <c r="AS123" s="44" t="s">
        <v>243</v>
      </c>
      <c r="AT123" s="44">
        <v>122.0</v>
      </c>
      <c r="AU123" s="44"/>
      <c r="AV123" s="44"/>
      <c r="AW123" s="145"/>
      <c r="AX123" s="44"/>
      <c r="AY123" s="145"/>
      <c r="AZ123" s="145"/>
      <c r="BA123" s="145"/>
      <c r="BB123" s="146"/>
      <c r="BC123" s="145"/>
      <c r="BD123" s="44"/>
      <c r="BE123" s="145"/>
      <c r="BF123" s="44"/>
      <c r="BG123" s="145"/>
      <c r="BH123" s="145"/>
      <c r="BI123" s="145"/>
      <c r="BJ123" s="146"/>
      <c r="BK123" s="145"/>
    </row>
    <row r="124">
      <c r="A124" s="140">
        <v>44194.978472222225</v>
      </c>
      <c r="B124" s="141" t="s">
        <v>112</v>
      </c>
      <c r="C124" s="128">
        <v>1015.118873069306</v>
      </c>
      <c r="D124" s="128">
        <v>28.0</v>
      </c>
      <c r="E124" s="142">
        <v>1017.7905955878883</v>
      </c>
      <c r="F124" s="44" t="s">
        <v>78</v>
      </c>
      <c r="G124" s="128">
        <v>1015.3093754590382</v>
      </c>
      <c r="H124" s="128">
        <v>21.0</v>
      </c>
      <c r="I124" s="128">
        <v>1017.8900382459883</v>
      </c>
      <c r="J124" s="141" t="s">
        <v>236</v>
      </c>
      <c r="K124" s="128">
        <v>1020.3032687328348</v>
      </c>
      <c r="L124" s="128">
        <v>31.0</v>
      </c>
      <c r="M124" s="142">
        <v>1023.0124306592726</v>
      </c>
      <c r="N124" s="44" t="s">
        <v>248</v>
      </c>
      <c r="O124" s="128">
        <v>1023.7544133555638</v>
      </c>
      <c r="P124" s="128">
        <v>20.0</v>
      </c>
      <c r="Q124" s="128">
        <v>1026.3196099268473</v>
      </c>
      <c r="R124" s="141" t="s">
        <v>92</v>
      </c>
      <c r="S124" s="128">
        <v>1027.3319324006522</v>
      </c>
      <c r="T124" s="128">
        <v>13.0</v>
      </c>
      <c r="U124" s="142">
        <v>1029.8051885973985</v>
      </c>
      <c r="V124" s="44" t="s">
        <v>90</v>
      </c>
      <c r="W124" s="128">
        <v>968.9465718389222</v>
      </c>
      <c r="X124" s="128">
        <v>26.0</v>
      </c>
      <c r="Y124" s="128">
        <v>966.4195640269218</v>
      </c>
      <c r="Z124" s="141" t="s">
        <v>58</v>
      </c>
      <c r="AA124" s="128">
        <v>982.1290911369682</v>
      </c>
      <c r="AB124" s="128">
        <v>26.0</v>
      </c>
      <c r="AC124" s="142">
        <v>979.5953108803537</v>
      </c>
      <c r="AD124" s="44" t="s">
        <v>100</v>
      </c>
      <c r="AE124" s="128">
        <v>993.9998926381602</v>
      </c>
      <c r="AF124" s="128">
        <v>6.0</v>
      </c>
      <c r="AG124" s="128">
        <v>991.2008104326657</v>
      </c>
      <c r="AH124" s="141" t="s">
        <v>115</v>
      </c>
      <c r="AI124" s="128">
        <v>1000.0</v>
      </c>
      <c r="AJ124" s="128">
        <v>13.0</v>
      </c>
      <c r="AK124" s="142">
        <v>997.2895238496776</v>
      </c>
      <c r="AL124" s="44" t="s">
        <v>23</v>
      </c>
      <c r="AM124" s="128">
        <v>1264.1722323954198</v>
      </c>
      <c r="AN124" s="128">
        <v>36.0</v>
      </c>
      <c r="AO124" s="128">
        <v>1261.7425788198516</v>
      </c>
      <c r="AP124" s="143">
        <v>15.0</v>
      </c>
      <c r="AQ124" s="128">
        <v>13.0</v>
      </c>
      <c r="AR124" s="44" t="s">
        <v>319</v>
      </c>
      <c r="AS124" s="44" t="s">
        <v>229</v>
      </c>
      <c r="AT124" s="44">
        <v>123.0</v>
      </c>
      <c r="AU124" s="44"/>
      <c r="AV124" s="44"/>
      <c r="AW124" s="145"/>
      <c r="AX124" s="44"/>
      <c r="AY124" s="145"/>
      <c r="AZ124" s="145"/>
      <c r="BA124" s="145"/>
      <c r="BB124" s="146"/>
      <c r="BC124" s="145"/>
      <c r="BD124" s="44"/>
      <c r="BE124" s="145"/>
      <c r="BF124" s="44"/>
      <c r="BG124" s="145"/>
      <c r="BH124" s="145"/>
      <c r="BI124" s="145"/>
      <c r="BJ124" s="146"/>
      <c r="BK124" s="145"/>
    </row>
    <row r="125">
      <c r="A125" s="140">
        <v>44195.02222222222</v>
      </c>
      <c r="B125" s="141" t="s">
        <v>112</v>
      </c>
      <c r="C125" s="128">
        <v>1017.7905955878883</v>
      </c>
      <c r="D125" s="128">
        <v>17.0</v>
      </c>
      <c r="E125" s="142">
        <v>1013.4380869695169</v>
      </c>
      <c r="F125" s="44" t="s">
        <v>248</v>
      </c>
      <c r="G125" s="128">
        <v>1026.3196099268473</v>
      </c>
      <c r="H125" s="128">
        <v>24.0</v>
      </c>
      <c r="I125" s="128">
        <v>1022.1156099400334</v>
      </c>
      <c r="J125" s="141" t="s">
        <v>92</v>
      </c>
      <c r="K125" s="128">
        <v>1029.8051885973985</v>
      </c>
      <c r="L125" s="128">
        <v>13.0</v>
      </c>
      <c r="M125" s="142">
        <v>1025.3616972025836</v>
      </c>
      <c r="R125" s="148"/>
      <c r="U125" s="149"/>
      <c r="V125" s="44" t="s">
        <v>90</v>
      </c>
      <c r="W125" s="128">
        <v>966.4195640269218</v>
      </c>
      <c r="X125" s="128">
        <v>17.0</v>
      </c>
      <c r="Y125" s="128">
        <v>970.6680948738909</v>
      </c>
      <c r="Z125" s="141" t="s">
        <v>58</v>
      </c>
      <c r="AA125" s="128">
        <v>979.5953108803537</v>
      </c>
      <c r="AB125" s="128">
        <v>16.0</v>
      </c>
      <c r="AC125" s="142">
        <v>983.8101972894841</v>
      </c>
      <c r="AD125" s="44" t="s">
        <v>23</v>
      </c>
      <c r="AE125" s="128">
        <v>1261.7425788198516</v>
      </c>
      <c r="AF125" s="128">
        <v>33.0</v>
      </c>
      <c r="AG125" s="128">
        <v>1266.279161563752</v>
      </c>
      <c r="AH125" s="148"/>
      <c r="AK125" s="149"/>
      <c r="AP125" s="143">
        <v>11.0</v>
      </c>
      <c r="AQ125" s="128">
        <v>16.0</v>
      </c>
      <c r="AR125" s="44" t="s">
        <v>320</v>
      </c>
      <c r="AS125" s="44" t="s">
        <v>268</v>
      </c>
      <c r="AT125" s="44">
        <v>124.0</v>
      </c>
      <c r="AU125" s="44"/>
      <c r="AV125" s="44"/>
      <c r="AW125" s="145"/>
      <c r="AX125" s="44"/>
      <c r="AY125" s="145"/>
      <c r="AZ125" s="145"/>
      <c r="BA125" s="145"/>
      <c r="BB125" s="146"/>
      <c r="BC125" s="145"/>
      <c r="BD125" s="44"/>
      <c r="BE125" s="145"/>
      <c r="BF125" s="44"/>
      <c r="BG125" s="145"/>
      <c r="BH125" s="145"/>
      <c r="BI125" s="145"/>
      <c r="BJ125" s="146"/>
      <c r="BK125" s="145"/>
    </row>
    <row r="126">
      <c r="A126" s="140">
        <v>44195.955555555556</v>
      </c>
      <c r="B126" s="141" t="s">
        <v>58</v>
      </c>
      <c r="C126" s="128">
        <v>983.8101972894841</v>
      </c>
      <c r="D126" s="128">
        <v>15.0</v>
      </c>
      <c r="E126" s="142">
        <v>981.1814613764748</v>
      </c>
      <c r="F126" s="44" t="s">
        <v>98</v>
      </c>
      <c r="G126" s="128">
        <v>984.7728305545096</v>
      </c>
      <c r="H126" s="128">
        <v>18.0</v>
      </c>
      <c r="I126" s="128">
        <v>982.1827281704026</v>
      </c>
      <c r="J126" s="141" t="s">
        <v>27</v>
      </c>
      <c r="K126" s="128">
        <v>994.8866405761498</v>
      </c>
      <c r="L126" s="128">
        <v>19.0</v>
      </c>
      <c r="M126" s="142">
        <v>992.3059316023538</v>
      </c>
      <c r="N126" s="44" t="s">
        <v>112</v>
      </c>
      <c r="O126" s="128">
        <v>1013.4380869695169</v>
      </c>
      <c r="P126" s="128">
        <v>16.0</v>
      </c>
      <c r="Q126" s="128">
        <v>1010.8128996607951</v>
      </c>
      <c r="R126" s="141" t="s">
        <v>248</v>
      </c>
      <c r="S126" s="128">
        <v>1022.1156099400334</v>
      </c>
      <c r="T126" s="128">
        <v>20.0</v>
      </c>
      <c r="U126" s="142">
        <v>1019.5403445196675</v>
      </c>
      <c r="V126" s="44" t="s">
        <v>123</v>
      </c>
      <c r="W126" s="128">
        <v>934.2765162717852</v>
      </c>
      <c r="X126" s="128">
        <v>18.0</v>
      </c>
      <c r="Y126" s="128">
        <v>936.8831301701654</v>
      </c>
      <c r="Z126" s="141" t="s">
        <v>90</v>
      </c>
      <c r="AA126" s="128">
        <v>970.6680948738909</v>
      </c>
      <c r="AB126" s="128">
        <v>13.0</v>
      </c>
      <c r="AC126" s="142">
        <v>973.1883611431921</v>
      </c>
      <c r="AD126" s="44" t="s">
        <v>228</v>
      </c>
      <c r="AE126" s="128">
        <v>977.6000018376966</v>
      </c>
      <c r="AF126" s="128">
        <v>5.0</v>
      </c>
      <c r="AG126" s="128">
        <v>980.0129128309388</v>
      </c>
      <c r="AH126" s="141" t="s">
        <v>47</v>
      </c>
      <c r="AI126" s="128">
        <v>982.8923188555308</v>
      </c>
      <c r="AJ126" s="128">
        <v>20.0</v>
      </c>
      <c r="AK126" s="142">
        <v>985.4978282212816</v>
      </c>
      <c r="AL126" s="44" t="s">
        <v>23</v>
      </c>
      <c r="AM126" s="128">
        <v>1266.279161563752</v>
      </c>
      <c r="AN126" s="128">
        <v>41.0</v>
      </c>
      <c r="AO126" s="128">
        <v>1269.1338610370776</v>
      </c>
      <c r="AP126" s="143">
        <v>12.0</v>
      </c>
      <c r="AQ126" s="128">
        <v>16.0</v>
      </c>
      <c r="AR126" s="44" t="s">
        <v>321</v>
      </c>
      <c r="AS126" s="44" t="s">
        <v>229</v>
      </c>
      <c r="AT126" s="44">
        <v>125.0</v>
      </c>
      <c r="AU126" s="44"/>
      <c r="AV126" s="44"/>
      <c r="AW126" s="145"/>
      <c r="AX126" s="44"/>
      <c r="AY126" s="145"/>
      <c r="AZ126" s="145"/>
      <c r="BA126" s="145"/>
      <c r="BB126" s="146"/>
      <c r="BC126" s="145"/>
      <c r="BD126" s="44"/>
      <c r="BE126" s="145"/>
      <c r="BF126" s="44"/>
      <c r="BG126" s="145"/>
      <c r="BH126" s="145"/>
      <c r="BI126" s="145"/>
      <c r="BJ126" s="146"/>
      <c r="BK126" s="145"/>
    </row>
    <row r="127">
      <c r="A127" s="140">
        <v>44195.99722222222</v>
      </c>
      <c r="B127" s="141" t="s">
        <v>123</v>
      </c>
      <c r="C127" s="128">
        <v>936.8831301701654</v>
      </c>
      <c r="D127" s="128">
        <v>10.0</v>
      </c>
      <c r="E127" s="142">
        <v>925.4612625554925</v>
      </c>
      <c r="F127" s="44" t="s">
        <v>90</v>
      </c>
      <c r="G127" s="128">
        <v>973.1883611431921</v>
      </c>
      <c r="H127" s="128">
        <v>9.0</v>
      </c>
      <c r="I127" s="128">
        <v>961.6398152047472</v>
      </c>
      <c r="J127" s="141" t="s">
        <v>228</v>
      </c>
      <c r="K127" s="128">
        <v>980.0129128309388</v>
      </c>
      <c r="L127" s="128">
        <v>6.0</v>
      </c>
      <c r="M127" s="142">
        <v>968.2854553131604</v>
      </c>
      <c r="N127" s="44" t="s">
        <v>58</v>
      </c>
      <c r="O127" s="128">
        <v>981.1814613764748</v>
      </c>
      <c r="P127" s="128">
        <v>14.0</v>
      </c>
      <c r="Q127" s="128">
        <v>969.9002136032714</v>
      </c>
      <c r="R127" s="141" t="s">
        <v>23</v>
      </c>
      <c r="S127" s="128">
        <v>1269.1338610370776</v>
      </c>
      <c r="T127" s="128">
        <v>38.0</v>
      </c>
      <c r="U127" s="142">
        <v>1259.1129798811774</v>
      </c>
      <c r="V127" s="44" t="s">
        <v>98</v>
      </c>
      <c r="W127" s="128">
        <v>982.1827281704026</v>
      </c>
      <c r="X127" s="128">
        <v>11.0</v>
      </c>
      <c r="Y127" s="128">
        <v>992.7289169964506</v>
      </c>
      <c r="Z127" s="141" t="s">
        <v>47</v>
      </c>
      <c r="AA127" s="128">
        <v>985.4978282212816</v>
      </c>
      <c r="AB127" s="128">
        <v>35.0</v>
      </c>
      <c r="AC127" s="142">
        <v>997.3808405413486</v>
      </c>
      <c r="AD127" s="44" t="s">
        <v>27</v>
      </c>
      <c r="AE127" s="128">
        <v>992.3059316023538</v>
      </c>
      <c r="AF127" s="128">
        <v>14.0</v>
      </c>
      <c r="AG127" s="128">
        <v>1002.9990512105084</v>
      </c>
      <c r="AH127" s="141" t="s">
        <v>112</v>
      </c>
      <c r="AI127" s="128">
        <v>1010.8128996607951</v>
      </c>
      <c r="AJ127" s="128">
        <v>27.0</v>
      </c>
      <c r="AK127" s="142">
        <v>1022.2019196967191</v>
      </c>
      <c r="AL127" s="44" t="s">
        <v>248</v>
      </c>
      <c r="AM127" s="128">
        <v>1019.5403445196675</v>
      </c>
      <c r="AN127" s="128">
        <v>29.0</v>
      </c>
      <c r="AO127" s="128">
        <v>1031.029003729474</v>
      </c>
      <c r="AP127" s="143">
        <v>9.0</v>
      </c>
      <c r="AQ127" s="128">
        <v>19.0</v>
      </c>
      <c r="AR127" s="44" t="s">
        <v>322</v>
      </c>
      <c r="AS127" s="44" t="s">
        <v>253</v>
      </c>
      <c r="AT127" s="44">
        <v>126.0</v>
      </c>
      <c r="AU127" s="44"/>
      <c r="AV127" s="44"/>
      <c r="AW127" s="145"/>
      <c r="AX127" s="44"/>
      <c r="AY127" s="145"/>
      <c r="AZ127" s="145"/>
      <c r="BA127" s="145"/>
      <c r="BB127" s="146"/>
      <c r="BC127" s="145"/>
      <c r="BD127" s="44"/>
      <c r="BE127" s="145"/>
      <c r="BF127" s="44"/>
      <c r="BG127" s="145"/>
      <c r="BH127" s="145"/>
      <c r="BI127" s="145"/>
      <c r="BJ127" s="146"/>
      <c r="BK127" s="145"/>
    </row>
    <row r="128">
      <c r="A128" s="154">
        <v>44197.84166666667</v>
      </c>
      <c r="B128" s="141" t="s">
        <v>107</v>
      </c>
      <c r="C128" s="128">
        <v>986.7774825379496</v>
      </c>
      <c r="D128" s="128">
        <v>14.0</v>
      </c>
      <c r="E128" s="142">
        <v>988.6490868068119</v>
      </c>
      <c r="F128" s="44" t="s">
        <v>23</v>
      </c>
      <c r="G128" s="128">
        <v>1259.1129798811774</v>
      </c>
      <c r="H128" s="128">
        <v>42.0</v>
      </c>
      <c r="I128" s="128">
        <v>1261.241375612315</v>
      </c>
      <c r="J128" s="148"/>
      <c r="M128" s="149"/>
      <c r="R128" s="148"/>
      <c r="U128" s="149"/>
      <c r="V128" s="44" t="s">
        <v>47</v>
      </c>
      <c r="W128" s="128">
        <v>997.3808405413486</v>
      </c>
      <c r="X128" s="128">
        <v>20.0</v>
      </c>
      <c r="Y128" s="128">
        <v>995.4281026509598</v>
      </c>
      <c r="Z128" s="141" t="s">
        <v>112</v>
      </c>
      <c r="AA128" s="128">
        <v>1022.2019196967191</v>
      </c>
      <c r="AB128" s="128">
        <v>11.0</v>
      </c>
      <c r="AC128" s="142">
        <v>1020.1546575871079</v>
      </c>
      <c r="AD128" s="141" t="s">
        <v>306</v>
      </c>
      <c r="AE128" s="44">
        <v>980.44</v>
      </c>
      <c r="AF128" s="44">
        <v>0.0</v>
      </c>
      <c r="AG128" s="147">
        <v>977.44</v>
      </c>
      <c r="AH128" s="148"/>
      <c r="AK128" s="149"/>
      <c r="AP128" s="143">
        <v>15.0</v>
      </c>
      <c r="AQ128" s="128">
        <v>13.0</v>
      </c>
      <c r="AR128" s="44" t="s">
        <v>323</v>
      </c>
      <c r="AS128" s="44" t="s">
        <v>229</v>
      </c>
      <c r="AT128" s="44">
        <v>127.0</v>
      </c>
      <c r="AU128" s="44"/>
      <c r="AV128" s="44"/>
      <c r="AW128" s="145"/>
      <c r="AX128" s="44"/>
      <c r="AY128" s="145"/>
      <c r="AZ128" s="145"/>
      <c r="BA128" s="145"/>
      <c r="BB128" s="146"/>
      <c r="BC128" s="145"/>
      <c r="BD128" s="44"/>
      <c r="BE128" s="145"/>
      <c r="BF128" s="44"/>
      <c r="BG128" s="145"/>
      <c r="BH128" s="145"/>
      <c r="BI128" s="145"/>
      <c r="BJ128" s="146"/>
      <c r="BK128" s="145"/>
    </row>
    <row r="129">
      <c r="A129" s="154">
        <v>44197.89444444444</v>
      </c>
      <c r="B129" s="141" t="s">
        <v>324</v>
      </c>
      <c r="C129" s="128">
        <v>1000.0</v>
      </c>
      <c r="D129" s="128">
        <v>15.0</v>
      </c>
      <c r="E129" s="142">
        <v>1007.0699765830169</v>
      </c>
      <c r="F129" s="44" t="s">
        <v>245</v>
      </c>
      <c r="G129" s="128">
        <v>1004.44328995853</v>
      </c>
      <c r="H129" s="128">
        <v>20.0</v>
      </c>
      <c r="I129" s="128">
        <v>1011.6902120588992</v>
      </c>
      <c r="J129" s="141" t="s">
        <v>112</v>
      </c>
      <c r="K129" s="128">
        <v>1020.1546575871079</v>
      </c>
      <c r="L129" s="128">
        <v>23.0</v>
      </c>
      <c r="M129" s="142">
        <v>1027.497228710031</v>
      </c>
      <c r="N129" s="44" t="s">
        <v>236</v>
      </c>
      <c r="O129" s="128">
        <v>1023.0124306592726</v>
      </c>
      <c r="P129" s="128">
        <v>23.0</v>
      </c>
      <c r="Q129" s="128">
        <v>1030.3529608529632</v>
      </c>
      <c r="R129" s="148"/>
      <c r="U129" s="149"/>
      <c r="V129" s="44" t="s">
        <v>90</v>
      </c>
      <c r="W129" s="128">
        <v>961.6398152047472</v>
      </c>
      <c r="X129" s="128">
        <v>11.0</v>
      </c>
      <c r="Y129" s="128">
        <v>954.2619136018656</v>
      </c>
      <c r="Z129" s="141" t="s">
        <v>98</v>
      </c>
      <c r="AA129" s="128">
        <v>992.7289169964506</v>
      </c>
      <c r="AB129" s="128">
        <v>4.0</v>
      </c>
      <c r="AC129" s="142">
        <v>985.0652850245558</v>
      </c>
      <c r="AD129" s="44" t="s">
        <v>47</v>
      </c>
      <c r="AE129" s="128">
        <v>995.4281026509598</v>
      </c>
      <c r="AF129" s="128">
        <v>24.0</v>
      </c>
      <c r="AG129" s="128">
        <v>988.487193415462</v>
      </c>
      <c r="AH129" s="141" t="s">
        <v>23</v>
      </c>
      <c r="AI129" s="128">
        <v>1261.241375612315</v>
      </c>
      <c r="AJ129" s="128">
        <v>23.0</v>
      </c>
      <c r="AK129" s="142">
        <v>1254.2238184225894</v>
      </c>
      <c r="AP129" s="143">
        <v>17.0</v>
      </c>
      <c r="AQ129" s="128">
        <v>11.0</v>
      </c>
      <c r="AR129" s="44" t="s">
        <v>325</v>
      </c>
      <c r="AS129" s="44" t="s">
        <v>232</v>
      </c>
      <c r="AT129" s="44">
        <v>128.0</v>
      </c>
      <c r="AU129" s="44"/>
      <c r="AV129" s="44"/>
      <c r="AW129" s="145"/>
      <c r="AX129" s="44"/>
      <c r="AY129" s="145"/>
      <c r="AZ129" s="145"/>
      <c r="BA129" s="145"/>
      <c r="BB129" s="146"/>
      <c r="BC129" s="145"/>
      <c r="BD129" s="44"/>
      <c r="BE129" s="145"/>
      <c r="BF129" s="44"/>
      <c r="BG129" s="145"/>
      <c r="BH129" s="145"/>
      <c r="BI129" s="145"/>
      <c r="BJ129" s="146"/>
      <c r="BK129" s="145"/>
    </row>
    <row r="130">
      <c r="A130" s="154">
        <v>44197.93819444445</v>
      </c>
      <c r="B130" s="141" t="s">
        <v>27</v>
      </c>
      <c r="C130" s="128">
        <v>1002.9990512105084</v>
      </c>
      <c r="D130" s="128">
        <v>19.0</v>
      </c>
      <c r="E130" s="142">
        <v>999.7563665160009</v>
      </c>
      <c r="F130" s="44" t="s">
        <v>324</v>
      </c>
      <c r="G130" s="128">
        <v>1007.0699765830169</v>
      </c>
      <c r="H130" s="128">
        <v>15.0</v>
      </c>
      <c r="I130" s="128">
        <v>1003.7607062650031</v>
      </c>
      <c r="J130" s="141" t="s">
        <v>245</v>
      </c>
      <c r="K130" s="128">
        <v>1011.6902120588992</v>
      </c>
      <c r="L130" s="128">
        <v>10.0</v>
      </c>
      <c r="M130" s="142">
        <v>1008.2980064614192</v>
      </c>
      <c r="N130" s="44" t="s">
        <v>112</v>
      </c>
      <c r="O130" s="128">
        <v>1027.497228710031</v>
      </c>
      <c r="P130" s="128">
        <v>31.0</v>
      </c>
      <c r="Q130" s="128">
        <v>1024.4413893200324</v>
      </c>
      <c r="R130" s="148"/>
      <c r="U130" s="149"/>
      <c r="V130" s="44" t="s">
        <v>90</v>
      </c>
      <c r="W130" s="128">
        <v>954.2619136018656</v>
      </c>
      <c r="X130" s="128">
        <v>15.0</v>
      </c>
      <c r="Y130" s="128">
        <v>957.4552259483381</v>
      </c>
      <c r="Z130" s="141" t="s">
        <v>58</v>
      </c>
      <c r="AA130" s="128">
        <v>969.9002136032714</v>
      </c>
      <c r="AB130" s="128">
        <v>13.0</v>
      </c>
      <c r="AC130" s="142">
        <v>973.0500463195245</v>
      </c>
      <c r="AD130" s="44" t="s">
        <v>47</v>
      </c>
      <c r="AE130" s="128">
        <v>988.487193415462</v>
      </c>
      <c r="AF130" s="128">
        <v>11.0</v>
      </c>
      <c r="AG130" s="128">
        <v>991.5935139977759</v>
      </c>
      <c r="AH130" s="141" t="s">
        <v>23</v>
      </c>
      <c r="AI130" s="128">
        <v>1254.2238184225894</v>
      </c>
      <c r="AJ130" s="128">
        <v>40.0</v>
      </c>
      <c r="AK130" s="142">
        <v>1257.77435277755</v>
      </c>
      <c r="AP130" s="143">
        <v>12.0</v>
      </c>
      <c r="AQ130" s="128">
        <v>16.0</v>
      </c>
      <c r="AR130" s="44" t="s">
        <v>326</v>
      </c>
      <c r="AS130" s="44" t="s">
        <v>295</v>
      </c>
      <c r="AT130" s="44">
        <v>129.0</v>
      </c>
      <c r="AU130" s="44"/>
      <c r="AV130" s="44"/>
      <c r="AW130" s="145"/>
      <c r="AX130" s="44"/>
      <c r="AY130" s="145"/>
      <c r="AZ130" s="145"/>
      <c r="BA130" s="145"/>
      <c r="BB130" s="146"/>
      <c r="BC130" s="145"/>
      <c r="BD130" s="44"/>
      <c r="BE130" s="145"/>
      <c r="BF130" s="44"/>
      <c r="BG130" s="145"/>
      <c r="BH130" s="145"/>
      <c r="BI130" s="145"/>
      <c r="BJ130" s="146"/>
      <c r="BK130" s="145"/>
    </row>
    <row r="131">
      <c r="A131" s="154">
        <v>44197.98888888889</v>
      </c>
      <c r="B131" s="141" t="s">
        <v>27</v>
      </c>
      <c r="C131" s="128">
        <v>999.7563665160009</v>
      </c>
      <c r="D131" s="128">
        <v>29.0</v>
      </c>
      <c r="E131" s="142">
        <v>1003.4245503848339</v>
      </c>
      <c r="F131" s="44" t="s">
        <v>245</v>
      </c>
      <c r="G131" s="128">
        <v>1008.2980064614192</v>
      </c>
      <c r="H131" s="128">
        <v>23.0</v>
      </c>
      <c r="I131" s="128">
        <v>1011.8573926516078</v>
      </c>
      <c r="J131" s="141" t="s">
        <v>112</v>
      </c>
      <c r="K131" s="128">
        <v>1024.4413893200324</v>
      </c>
      <c r="L131" s="128">
        <v>15.0</v>
      </c>
      <c r="M131" s="142">
        <v>1027.8548439980973</v>
      </c>
      <c r="N131" s="44" t="s">
        <v>248</v>
      </c>
      <c r="O131" s="128">
        <v>1031.029003729474</v>
      </c>
      <c r="P131" s="128">
        <v>12.0</v>
      </c>
      <c r="Q131" s="128">
        <v>1034.3879789923876</v>
      </c>
      <c r="R131" s="148"/>
      <c r="U131" s="149"/>
      <c r="V131" s="44" t="s">
        <v>90</v>
      </c>
      <c r="W131" s="128">
        <v>957.4552259483381</v>
      </c>
      <c r="X131" s="128">
        <v>18.0</v>
      </c>
      <c r="Y131" s="128">
        <v>953.9963585094163</v>
      </c>
      <c r="Z131" s="141" t="s">
        <v>98</v>
      </c>
      <c r="AA131" s="128">
        <v>985.0652850245558</v>
      </c>
      <c r="AB131" s="128">
        <v>14.0</v>
      </c>
      <c r="AC131" s="142">
        <v>981.5204743270034</v>
      </c>
      <c r="AD131" s="44" t="s">
        <v>47</v>
      </c>
      <c r="AE131" s="128">
        <v>991.5935139977759</v>
      </c>
      <c r="AF131" s="128">
        <v>16.0</v>
      </c>
      <c r="AG131" s="128">
        <v>988.0805785966129</v>
      </c>
      <c r="AH131" s="141" t="s">
        <v>23</v>
      </c>
      <c r="AI131" s="128">
        <v>1257.77435277755</v>
      </c>
      <c r="AJ131" s="128">
        <v>19.0</v>
      </c>
      <c r="AK131" s="142">
        <v>1254.290966315187</v>
      </c>
      <c r="AP131" s="143">
        <v>15.0</v>
      </c>
      <c r="AQ131" s="128">
        <v>13.0</v>
      </c>
      <c r="AS131" s="44" t="s">
        <v>295</v>
      </c>
      <c r="AT131" s="44">
        <v>130.0</v>
      </c>
      <c r="AU131" s="44"/>
      <c r="AW131" s="93"/>
      <c r="AY131" s="93"/>
      <c r="AZ131" s="93"/>
      <c r="BA131" s="93"/>
      <c r="BB131" s="155"/>
      <c r="BC131" s="93"/>
      <c r="BE131" s="93"/>
      <c r="BG131" s="93"/>
      <c r="BH131" s="93"/>
      <c r="BI131" s="93"/>
      <c r="BJ131" s="155"/>
      <c r="BK131" s="93"/>
    </row>
    <row r="132">
      <c r="A132" s="154">
        <v>44198.04791666667</v>
      </c>
      <c r="B132" s="141" t="s">
        <v>47</v>
      </c>
      <c r="C132" s="128">
        <v>988.0805785966129</v>
      </c>
      <c r="D132" s="128">
        <v>25.0</v>
      </c>
      <c r="E132" s="142">
        <v>986.1465364562162</v>
      </c>
      <c r="F132" s="44" t="s">
        <v>27</v>
      </c>
      <c r="G132" s="128">
        <v>1003.4245503848339</v>
      </c>
      <c r="H132" s="128">
        <v>11.0</v>
      </c>
      <c r="I132" s="128">
        <v>1001.3462634829148</v>
      </c>
      <c r="J132" s="141" t="s">
        <v>112</v>
      </c>
      <c r="K132" s="128">
        <v>1027.8548439980973</v>
      </c>
      <c r="L132" s="128">
        <v>21.0</v>
      </c>
      <c r="M132" s="142">
        <v>1025.8715175137127</v>
      </c>
      <c r="N132" s="44" t="s">
        <v>248</v>
      </c>
      <c r="O132" s="128">
        <v>1034.3879789923876</v>
      </c>
      <c r="P132" s="128">
        <v>19.0</v>
      </c>
      <c r="Q132" s="128">
        <v>1032.383634519088</v>
      </c>
      <c r="R132" s="148"/>
      <c r="U132" s="149"/>
      <c r="V132" s="44" t="s">
        <v>123</v>
      </c>
      <c r="W132" s="128">
        <v>925.4612625554925</v>
      </c>
      <c r="X132" s="128">
        <v>13.0</v>
      </c>
      <c r="Y132" s="128">
        <v>927.4220066690884</v>
      </c>
      <c r="Z132" s="141" t="s">
        <v>58</v>
      </c>
      <c r="AA132" s="128">
        <v>973.0500463195245</v>
      </c>
      <c r="AB132" s="128">
        <v>15.0</v>
      </c>
      <c r="AC132" s="142">
        <v>975.0081876430343</v>
      </c>
      <c r="AD132" s="44" t="s">
        <v>98</v>
      </c>
      <c r="AE132" s="128">
        <v>981.5204743270034</v>
      </c>
      <c r="AF132" s="128">
        <v>25.0</v>
      </c>
      <c r="AG132" s="128">
        <v>983.5754841413026</v>
      </c>
      <c r="AH132" s="141" t="s">
        <v>23</v>
      </c>
      <c r="AI132" s="128">
        <v>1254.290966315187</v>
      </c>
      <c r="AJ132" s="128">
        <v>24.0</v>
      </c>
      <c r="AK132" s="142">
        <v>1256.3170710637821</v>
      </c>
      <c r="AP132" s="143">
        <v>13.0</v>
      </c>
      <c r="AQ132" s="128">
        <v>15.0</v>
      </c>
      <c r="AS132" s="44" t="s">
        <v>327</v>
      </c>
      <c r="AT132" s="44">
        <v>131.0</v>
      </c>
      <c r="AU132" s="44"/>
      <c r="AW132" s="93"/>
      <c r="AY132" s="93"/>
      <c r="AZ132" s="93"/>
      <c r="BA132" s="93"/>
      <c r="BB132" s="155"/>
      <c r="BC132" s="93"/>
      <c r="BE132" s="93"/>
      <c r="BG132" s="93"/>
      <c r="BH132" s="93"/>
      <c r="BI132" s="93"/>
      <c r="BJ132" s="155"/>
      <c r="BK132" s="93"/>
    </row>
    <row r="133">
      <c r="A133" s="154">
        <v>44198.92847222222</v>
      </c>
      <c r="B133" s="141" t="s">
        <v>98</v>
      </c>
      <c r="C133" s="128">
        <v>983.5754841413026</v>
      </c>
      <c r="D133" s="128">
        <v>9.0</v>
      </c>
      <c r="E133" s="142">
        <v>984.0492407136727</v>
      </c>
      <c r="F133" s="44" t="s">
        <v>47</v>
      </c>
      <c r="G133" s="128">
        <v>986.1465364562162</v>
      </c>
      <c r="H133" s="128">
        <v>17.0</v>
      </c>
      <c r="I133" s="128">
        <v>986.640091909475</v>
      </c>
      <c r="J133" s="141" t="s">
        <v>107</v>
      </c>
      <c r="K133" s="128">
        <v>988.6490868068119</v>
      </c>
      <c r="L133" s="128">
        <v>21.0</v>
      </c>
      <c r="M133" s="142">
        <v>989.15245201513</v>
      </c>
      <c r="N133" s="44" t="s">
        <v>23</v>
      </c>
      <c r="O133" s="128">
        <v>1256.3170710637821</v>
      </c>
      <c r="P133" s="128">
        <v>33.0</v>
      </c>
      <c r="Q133" s="128">
        <v>1256.846393829835</v>
      </c>
      <c r="R133" s="148"/>
      <c r="U133" s="149"/>
      <c r="V133" s="44" t="s">
        <v>224</v>
      </c>
      <c r="W133" s="128">
        <v>909.1513345392492</v>
      </c>
      <c r="X133" s="128">
        <v>5.0</v>
      </c>
      <c r="Y133" s="128">
        <v>908.6459093513355</v>
      </c>
      <c r="Z133" s="141" t="s">
        <v>123</v>
      </c>
      <c r="AA133" s="128">
        <v>927.4220066690884</v>
      </c>
      <c r="AB133" s="128">
        <v>12.0</v>
      </c>
      <c r="AC133" s="142">
        <v>926.9330262401804</v>
      </c>
      <c r="AD133" s="44" t="s">
        <v>90</v>
      </c>
      <c r="AE133" s="128">
        <v>953.9963585094163</v>
      </c>
      <c r="AF133" s="128">
        <v>15.0</v>
      </c>
      <c r="AG133" s="128">
        <v>953.5135285887341</v>
      </c>
      <c r="AH133" s="141" t="s">
        <v>236</v>
      </c>
      <c r="AI133" s="128">
        <v>1030.3529608529632</v>
      </c>
      <c r="AJ133" s="44">
        <v>38.0</v>
      </c>
      <c r="AK133" s="142">
        <v>1029.830196390467</v>
      </c>
      <c r="AP133" s="143">
        <v>15.0</v>
      </c>
      <c r="AQ133" s="128">
        <v>13.0</v>
      </c>
      <c r="AR133" s="44" t="s">
        <v>328</v>
      </c>
      <c r="AS133" s="44" t="s">
        <v>229</v>
      </c>
      <c r="AT133" s="44">
        <v>132.0</v>
      </c>
      <c r="AU133" s="44"/>
      <c r="AV133" s="44"/>
      <c r="AW133" s="145"/>
      <c r="AX133" s="44"/>
      <c r="AY133" s="145"/>
      <c r="AZ133" s="145"/>
      <c r="BA133" s="145"/>
      <c r="BB133" s="146"/>
      <c r="BC133" s="145"/>
      <c r="BD133" s="44"/>
      <c r="BE133" s="145"/>
      <c r="BF133" s="44"/>
      <c r="BG133" s="145"/>
      <c r="BH133" s="145"/>
      <c r="BI133" s="145"/>
      <c r="BJ133" s="146"/>
      <c r="BK133" s="145"/>
    </row>
    <row r="134">
      <c r="A134" s="154">
        <v>44198.97638888889</v>
      </c>
      <c r="B134" s="141" t="s">
        <v>224</v>
      </c>
      <c r="C134" s="128">
        <v>908.6459093513355</v>
      </c>
      <c r="D134" s="128">
        <v>3.0</v>
      </c>
      <c r="E134" s="142">
        <v>907.3699877498473</v>
      </c>
      <c r="F134" s="44" t="s">
        <v>58</v>
      </c>
      <c r="G134" s="128">
        <v>975.0081876430343</v>
      </c>
      <c r="H134" s="128">
        <v>21.0</v>
      </c>
      <c r="I134" s="128">
        <v>973.822885982513</v>
      </c>
      <c r="J134" s="141" t="s">
        <v>47</v>
      </c>
      <c r="K134" s="128">
        <v>986.640091909475</v>
      </c>
      <c r="L134" s="128">
        <v>25.0</v>
      </c>
      <c r="M134" s="142">
        <v>985.4765934616022</v>
      </c>
      <c r="N134" s="44" t="s">
        <v>107</v>
      </c>
      <c r="O134" s="128">
        <v>989.15245201513</v>
      </c>
      <c r="P134" s="128">
        <v>19.0</v>
      </c>
      <c r="Q134" s="128">
        <v>987.9525146960211</v>
      </c>
      <c r="R134" s="141" t="s">
        <v>236</v>
      </c>
      <c r="S134" s="128">
        <v>1029.830196390467</v>
      </c>
      <c r="T134" s="128">
        <v>24.0</v>
      </c>
      <c r="U134" s="142">
        <v>1028.6548554194583</v>
      </c>
      <c r="V134" s="44" t="s">
        <v>90</v>
      </c>
      <c r="W134" s="128">
        <v>953.5135285887341</v>
      </c>
      <c r="X134" s="128">
        <v>23.0</v>
      </c>
      <c r="Y134" s="128">
        <v>954.7286595328587</v>
      </c>
      <c r="Z134" s="141" t="s">
        <v>228</v>
      </c>
      <c r="AA134" s="128">
        <v>968.2854553131604</v>
      </c>
      <c r="AB134" s="128">
        <v>14.0</v>
      </c>
      <c r="AC134" s="142">
        <v>969.442697426447</v>
      </c>
      <c r="AD134" s="44" t="s">
        <v>98</v>
      </c>
      <c r="AE134" s="128">
        <v>984.0492407136727</v>
      </c>
      <c r="AF134" s="128">
        <v>13.0</v>
      </c>
      <c r="AG134" s="128">
        <v>985.196880047195</v>
      </c>
      <c r="AH134" s="141" t="s">
        <v>248</v>
      </c>
      <c r="AI134" s="128">
        <v>1032.383634519088</v>
      </c>
      <c r="AJ134" s="128">
        <v>15.0</v>
      </c>
      <c r="AK134" s="142">
        <v>1033.5357230481068</v>
      </c>
      <c r="AL134" s="44" t="s">
        <v>23</v>
      </c>
      <c r="AM134" s="128">
        <v>1256.846393829835</v>
      </c>
      <c r="AN134" s="128">
        <v>45.0</v>
      </c>
      <c r="AO134" s="128">
        <v>1258.1742929098825</v>
      </c>
      <c r="AP134" s="143">
        <v>10.0</v>
      </c>
      <c r="AQ134" s="128">
        <v>18.0</v>
      </c>
      <c r="AS134" s="44" t="s">
        <v>295</v>
      </c>
      <c r="AT134" s="44">
        <v>133.0</v>
      </c>
      <c r="AU134" s="44"/>
      <c r="AW134" s="93"/>
      <c r="AY134" s="93"/>
      <c r="AZ134" s="93"/>
      <c r="BA134" s="93"/>
      <c r="BB134" s="155"/>
      <c r="BC134" s="93"/>
      <c r="BE134" s="93"/>
      <c r="BG134" s="93"/>
      <c r="BH134" s="93"/>
      <c r="BI134" s="93"/>
      <c r="BJ134" s="155"/>
      <c r="BK134" s="93"/>
    </row>
    <row r="135">
      <c r="A135" s="154">
        <v>44199.02361111111</v>
      </c>
      <c r="B135" s="141" t="s">
        <v>47</v>
      </c>
      <c r="C135" s="128">
        <v>985.4765934616022</v>
      </c>
      <c r="D135" s="128">
        <v>23.0</v>
      </c>
      <c r="E135" s="142">
        <v>982.5046737887603</v>
      </c>
      <c r="F135" s="44" t="s">
        <v>107</v>
      </c>
      <c r="G135" s="128">
        <v>987.9525146960211</v>
      </c>
      <c r="H135" s="128">
        <v>26.0</v>
      </c>
      <c r="I135" s="128">
        <v>985.0243753091332</v>
      </c>
      <c r="J135" s="141" t="s">
        <v>92</v>
      </c>
      <c r="K135" s="128">
        <v>1025.3616972025836</v>
      </c>
      <c r="L135" s="128">
        <v>14.0</v>
      </c>
      <c r="M135" s="142">
        <v>1022.2391648391441</v>
      </c>
      <c r="N135" s="44" t="s">
        <v>112</v>
      </c>
      <c r="O135" s="128">
        <v>1025.8715175137127</v>
      </c>
      <c r="P135" s="128">
        <v>26.0</v>
      </c>
      <c r="Q135" s="128">
        <v>1022.9288388409368</v>
      </c>
      <c r="R135" s="141" t="s">
        <v>248</v>
      </c>
      <c r="S135" s="128">
        <v>1033.5357230481068</v>
      </c>
      <c r="T135" s="128">
        <v>20.0</v>
      </c>
      <c r="U135" s="142">
        <v>1030.500993144052</v>
      </c>
      <c r="V135" s="44" t="s">
        <v>90</v>
      </c>
      <c r="W135" s="128">
        <v>954.7286595328587</v>
      </c>
      <c r="X135" s="128">
        <v>19.0</v>
      </c>
      <c r="Y135" s="128">
        <v>957.7410730538892</v>
      </c>
      <c r="Z135" s="141" t="s">
        <v>228</v>
      </c>
      <c r="AA135" s="128">
        <v>969.442697426447</v>
      </c>
      <c r="AB135" s="128">
        <v>13.0</v>
      </c>
      <c r="AC135" s="142">
        <v>972.3566824466433</v>
      </c>
      <c r="AD135" s="44" t="s">
        <v>58</v>
      </c>
      <c r="AE135" s="128">
        <v>973.822885982513</v>
      </c>
      <c r="AF135" s="128">
        <v>12.0</v>
      </c>
      <c r="AG135" s="128">
        <v>976.719569449076</v>
      </c>
      <c r="AH135" s="141" t="s">
        <v>98</v>
      </c>
      <c r="AI135" s="128">
        <v>985.196880047195</v>
      </c>
      <c r="AJ135" s="128">
        <v>19.0</v>
      </c>
      <c r="AK135" s="142">
        <v>988.1930394524145</v>
      </c>
      <c r="AL135" s="44" t="s">
        <v>23</v>
      </c>
      <c r="AM135" s="128">
        <v>1258.1742929098825</v>
      </c>
      <c r="AN135" s="128">
        <v>33.0</v>
      </c>
      <c r="AO135" s="128">
        <v>1261.3550514968733</v>
      </c>
      <c r="AP135" s="143">
        <v>11.0</v>
      </c>
      <c r="AQ135" s="128">
        <v>17.0</v>
      </c>
      <c r="AS135" s="44" t="s">
        <v>329</v>
      </c>
      <c r="AT135" s="44">
        <v>134.0</v>
      </c>
      <c r="AU135" s="44"/>
      <c r="AW135" s="93"/>
      <c r="AY135" s="93"/>
      <c r="AZ135" s="93"/>
      <c r="BA135" s="93"/>
      <c r="BB135" s="155"/>
      <c r="BC135" s="93"/>
      <c r="BE135" s="93"/>
      <c r="BG135" s="93"/>
      <c r="BH135" s="93"/>
      <c r="BI135" s="93"/>
      <c r="BJ135" s="155"/>
      <c r="BK135" s="93"/>
    </row>
    <row r="136">
      <c r="A136" s="154">
        <v>44199.08263888889</v>
      </c>
      <c r="B136" s="141" t="s">
        <v>306</v>
      </c>
      <c r="C136" s="128">
        <v>977.443640752543</v>
      </c>
      <c r="D136" s="128">
        <v>0.0</v>
      </c>
      <c r="E136" s="142">
        <v>954.0378685928346</v>
      </c>
      <c r="F136" s="44" t="s">
        <v>107</v>
      </c>
      <c r="G136" s="128">
        <v>985.0243753091332</v>
      </c>
      <c r="H136" s="128">
        <v>25.0</v>
      </c>
      <c r="I136" s="128">
        <v>964.3049257962055</v>
      </c>
      <c r="J136" s="141" t="s">
        <v>23</v>
      </c>
      <c r="K136" s="128">
        <v>1261.3550514968733</v>
      </c>
      <c r="L136" s="128">
        <v>25.0</v>
      </c>
      <c r="M136" s="142">
        <v>1240.4802731695097</v>
      </c>
      <c r="R136" s="148"/>
      <c r="U136" s="149"/>
      <c r="V136" s="44" t="s">
        <v>123</v>
      </c>
      <c r="W136" s="128">
        <v>929.83302624018</v>
      </c>
      <c r="X136" s="128">
        <v>15.0</v>
      </c>
      <c r="Y136" s="128">
        <v>951.8035928721924</v>
      </c>
      <c r="Z136" s="141" t="s">
        <v>92</v>
      </c>
      <c r="AA136" s="128">
        <v>1022.2391648391441</v>
      </c>
      <c r="AB136" s="128">
        <v>6.0</v>
      </c>
      <c r="AC136" s="142">
        <v>1042.99603720224</v>
      </c>
      <c r="AD136" s="44" t="s">
        <v>112</v>
      </c>
      <c r="AE136" s="128">
        <v>1022.9288388409368</v>
      </c>
      <c r="AF136" s="128">
        <v>20.0</v>
      </c>
      <c r="AG136" s="128">
        <v>1045.2013998458283</v>
      </c>
      <c r="AH136" s="148"/>
      <c r="AK136" s="149"/>
      <c r="AP136" s="143">
        <v>8.0</v>
      </c>
      <c r="AQ136" s="128">
        <v>19.0</v>
      </c>
      <c r="AS136" s="44" t="s">
        <v>253</v>
      </c>
      <c r="AT136" s="44">
        <v>135.0</v>
      </c>
      <c r="AU136" s="44"/>
      <c r="AW136" s="93"/>
      <c r="AY136" s="93"/>
      <c r="AZ136" s="93"/>
      <c r="BA136" s="93"/>
      <c r="BB136" s="155"/>
      <c r="BC136" s="93"/>
      <c r="BE136" s="93"/>
      <c r="BG136" s="93"/>
      <c r="BH136" s="93"/>
      <c r="BI136" s="93"/>
      <c r="BJ136" s="155"/>
      <c r="BK136" s="93"/>
    </row>
    <row r="137">
      <c r="A137" s="154">
        <v>44199.10833333333</v>
      </c>
      <c r="B137" s="141" t="s">
        <v>107</v>
      </c>
      <c r="C137" s="128">
        <v>964.3049257962055</v>
      </c>
      <c r="D137" s="128">
        <v>17.0</v>
      </c>
      <c r="E137" s="142">
        <v>959.3624308803954</v>
      </c>
      <c r="F137" s="44" t="s">
        <v>112</v>
      </c>
      <c r="G137" s="128">
        <v>1045.2013998458283</v>
      </c>
      <c r="H137" s="128">
        <v>14.0</v>
      </c>
      <c r="I137" s="128">
        <v>1040.1438947616382</v>
      </c>
      <c r="J137" s="148"/>
      <c r="M137" s="149"/>
      <c r="R137" s="148"/>
      <c r="U137" s="149"/>
      <c r="V137" s="44" t="s">
        <v>123</v>
      </c>
      <c r="W137" s="128">
        <v>951.8035928721924</v>
      </c>
      <c r="X137" s="128">
        <v>15.0</v>
      </c>
      <c r="Y137" s="128">
        <v>956.7742973880638</v>
      </c>
      <c r="Z137" s="141" t="s">
        <v>23</v>
      </c>
      <c r="AA137" s="128">
        <v>1240.4802731695097</v>
      </c>
      <c r="AB137" s="128">
        <v>20.0</v>
      </c>
      <c r="AC137" s="142">
        <v>1245.5095686536383</v>
      </c>
      <c r="AH137" s="148"/>
      <c r="AK137" s="149"/>
      <c r="AP137" s="143">
        <v>12.0</v>
      </c>
      <c r="AQ137" s="128">
        <v>16.0</v>
      </c>
      <c r="AS137" s="44" t="s">
        <v>229</v>
      </c>
      <c r="AT137" s="44">
        <v>136.0</v>
      </c>
      <c r="AU137" s="44"/>
      <c r="AW137" s="93"/>
      <c r="AY137" s="93"/>
      <c r="AZ137" s="93"/>
      <c r="BA137" s="93"/>
      <c r="BB137" s="155"/>
      <c r="BC137" s="93"/>
      <c r="BE137" s="93"/>
      <c r="BG137" s="93"/>
      <c r="BH137" s="93"/>
      <c r="BI137" s="93"/>
      <c r="BJ137" s="155"/>
      <c r="BK137" s="93"/>
    </row>
    <row r="138">
      <c r="A138" s="154">
        <v>44199.924305555556</v>
      </c>
      <c r="B138" s="141" t="s">
        <v>228</v>
      </c>
      <c r="C138" s="128">
        <v>969.44</v>
      </c>
      <c r="D138" s="128">
        <v>7.0</v>
      </c>
      <c r="E138" s="142">
        <v>971.6509413785766</v>
      </c>
      <c r="F138" s="44" t="s">
        <v>47</v>
      </c>
      <c r="G138" s="128">
        <v>982.5046737887603</v>
      </c>
      <c r="H138" s="128">
        <v>25.0</v>
      </c>
      <c r="I138" s="128">
        <v>984.9206517873099</v>
      </c>
      <c r="J138" s="141" t="s">
        <v>23</v>
      </c>
      <c r="K138" s="128">
        <v>1245.5095686536383</v>
      </c>
      <c r="L138" s="128">
        <v>23.0</v>
      </c>
      <c r="M138" s="142">
        <v>1247.8826492765122</v>
      </c>
      <c r="R138" s="148"/>
      <c r="U138" s="149"/>
      <c r="V138" s="44" t="s">
        <v>27</v>
      </c>
      <c r="W138" s="128">
        <v>1001.3462634829148</v>
      </c>
      <c r="X138" s="128">
        <v>24.0</v>
      </c>
      <c r="Y138" s="128">
        <v>999.0914593061891</v>
      </c>
      <c r="Z138" s="141" t="s">
        <v>248</v>
      </c>
      <c r="AA138" s="128">
        <v>1030.500993144052</v>
      </c>
      <c r="AB138" s="128">
        <v>13.0</v>
      </c>
      <c r="AC138" s="142">
        <v>1028.1116274869694</v>
      </c>
      <c r="AD138" s="44" t="s">
        <v>112</v>
      </c>
      <c r="AE138" s="128">
        <v>1040.1438947616382</v>
      </c>
      <c r="AF138" s="128">
        <v>16.0</v>
      </c>
      <c r="AG138" s="128">
        <v>1037.7880645954465</v>
      </c>
      <c r="AH138" s="148"/>
      <c r="AK138" s="149"/>
      <c r="AP138" s="143">
        <v>15.0</v>
      </c>
      <c r="AQ138" s="128">
        <v>13.0</v>
      </c>
      <c r="AS138" s="44" t="s">
        <v>244</v>
      </c>
      <c r="AT138" s="44">
        <v>137.0</v>
      </c>
      <c r="AU138" s="44"/>
      <c r="AW138" s="93"/>
      <c r="AY138" s="93"/>
      <c r="AZ138" s="93"/>
      <c r="BA138" s="93"/>
      <c r="BB138" s="155"/>
      <c r="BC138" s="93"/>
      <c r="BE138" s="93"/>
      <c r="BG138" s="93"/>
      <c r="BH138" s="93"/>
      <c r="BI138" s="93"/>
      <c r="BJ138" s="155"/>
      <c r="BK138" s="93"/>
    </row>
    <row r="139">
      <c r="A139" s="154">
        <v>44199.97361111111</v>
      </c>
      <c r="B139" s="141" t="s">
        <v>123</v>
      </c>
      <c r="C139" s="128">
        <v>956.7742973880638</v>
      </c>
      <c r="D139" s="128">
        <v>16.0</v>
      </c>
      <c r="E139" s="142">
        <v>952.5272603407509</v>
      </c>
      <c r="F139" s="44" t="s">
        <v>90</v>
      </c>
      <c r="G139" s="128">
        <v>957.7410730538892</v>
      </c>
      <c r="H139" s="128">
        <v>16.0</v>
      </c>
      <c r="I139" s="128">
        <v>953.4931988472273</v>
      </c>
      <c r="J139" s="141" t="s">
        <v>228</v>
      </c>
      <c r="K139" s="128">
        <v>971.6509413785766</v>
      </c>
      <c r="L139" s="128">
        <v>9.0</v>
      </c>
      <c r="M139" s="142">
        <v>967.2447700832566</v>
      </c>
      <c r="N139" s="44" t="s">
        <v>27</v>
      </c>
      <c r="O139" s="128">
        <v>999.0914593061891</v>
      </c>
      <c r="P139" s="128">
        <v>22.0</v>
      </c>
      <c r="Q139" s="128">
        <v>994.9402075421663</v>
      </c>
      <c r="R139" s="141" t="s">
        <v>23</v>
      </c>
      <c r="S139" s="128">
        <v>1247.8826492765122</v>
      </c>
      <c r="T139" s="128">
        <v>33.0</v>
      </c>
      <c r="U139" s="142">
        <v>1243.9349835898297</v>
      </c>
      <c r="V139" s="44" t="s">
        <v>47</v>
      </c>
      <c r="W139" s="128">
        <v>984.9206517873099</v>
      </c>
      <c r="X139" s="128">
        <v>28.0</v>
      </c>
      <c r="Y139" s="128">
        <v>989.2995140919053</v>
      </c>
      <c r="Z139" s="141" t="s">
        <v>248</v>
      </c>
      <c r="AA139" s="128">
        <v>1028.1116274869694</v>
      </c>
      <c r="AB139" s="128">
        <v>16.0</v>
      </c>
      <c r="AC139" s="142">
        <v>1032.2164291791955</v>
      </c>
      <c r="AD139" s="44" t="s">
        <v>236</v>
      </c>
      <c r="AE139" s="128">
        <v>1028.6548554194583</v>
      </c>
      <c r="AF139" s="128">
        <v>21.0</v>
      </c>
      <c r="AG139" s="128">
        <v>1032.8644623431962</v>
      </c>
      <c r="AH139" s="141" t="s">
        <v>112</v>
      </c>
      <c r="AI139" s="128">
        <v>1037.7880645954465</v>
      </c>
      <c r="AJ139" s="128">
        <v>19.0</v>
      </c>
      <c r="AK139" s="142">
        <v>1041.952672661166</v>
      </c>
      <c r="AL139" s="44" t="s">
        <v>92</v>
      </c>
      <c r="AM139" s="128">
        <v>1042.99603720224</v>
      </c>
      <c r="AN139" s="128">
        <v>18.0</v>
      </c>
      <c r="AO139" s="128">
        <v>1047.138158215961</v>
      </c>
      <c r="AP139" s="143">
        <v>12.0</v>
      </c>
      <c r="AQ139" s="128">
        <v>16.0</v>
      </c>
      <c r="AR139" s="44" t="s">
        <v>330</v>
      </c>
      <c r="AS139" s="44" t="s">
        <v>232</v>
      </c>
      <c r="AT139" s="44">
        <v>138.0</v>
      </c>
      <c r="AU139" s="44"/>
      <c r="AV139" s="44"/>
      <c r="AW139" s="145"/>
      <c r="AX139" s="44"/>
      <c r="AY139" s="145"/>
      <c r="AZ139" s="145"/>
      <c r="BA139" s="145"/>
      <c r="BB139" s="146"/>
      <c r="BC139" s="145"/>
      <c r="BD139" s="44"/>
      <c r="BE139" s="145"/>
      <c r="BF139" s="44"/>
      <c r="BG139" s="145"/>
      <c r="BH139" s="145"/>
      <c r="BI139" s="145"/>
      <c r="BJ139" s="146"/>
      <c r="BK139" s="145"/>
    </row>
    <row r="140">
      <c r="A140" s="154">
        <v>44200.00625</v>
      </c>
      <c r="B140" s="141" t="s">
        <v>123</v>
      </c>
      <c r="C140" s="128">
        <v>952.5272603407509</v>
      </c>
      <c r="D140" s="128">
        <v>13.0</v>
      </c>
      <c r="E140" s="142">
        <v>961.3526934386828</v>
      </c>
      <c r="F140" s="44" t="s">
        <v>90</v>
      </c>
      <c r="G140" s="128">
        <v>953.4931988472273</v>
      </c>
      <c r="H140" s="128">
        <v>19.0</v>
      </c>
      <c r="I140" s="128">
        <v>962.5937957554611</v>
      </c>
      <c r="J140" s="141" t="s">
        <v>47</v>
      </c>
      <c r="K140" s="128">
        <v>989.2995140919053</v>
      </c>
      <c r="L140" s="128">
        <v>35.0</v>
      </c>
      <c r="M140" s="142">
        <v>999.066407532258</v>
      </c>
      <c r="N140" s="44" t="s">
        <v>23</v>
      </c>
      <c r="O140" s="128">
        <v>1243.9349835898297</v>
      </c>
      <c r="P140" s="128">
        <v>27.0</v>
      </c>
      <c r="Q140" s="128">
        <v>1253.2420601433112</v>
      </c>
      <c r="R140" s="148"/>
      <c r="U140" s="149"/>
      <c r="V140" s="44" t="s">
        <v>27</v>
      </c>
      <c r="W140" s="128">
        <v>994.9402075421663</v>
      </c>
      <c r="X140" s="128">
        <v>15.0</v>
      </c>
      <c r="Y140" s="128">
        <v>985.7697206538653</v>
      </c>
      <c r="Z140" s="141" t="s">
        <v>248</v>
      </c>
      <c r="AA140" s="128">
        <v>1032.2164291791955</v>
      </c>
      <c r="AB140" s="128">
        <v>16.0</v>
      </c>
      <c r="AC140" s="142">
        <v>1023.0668540634744</v>
      </c>
      <c r="AD140" s="44" t="s">
        <v>112</v>
      </c>
      <c r="AE140" s="128">
        <v>1041.952672661166</v>
      </c>
      <c r="AF140" s="128">
        <v>13.0</v>
      </c>
      <c r="AG140" s="128">
        <v>1032.659958519836</v>
      </c>
      <c r="AH140" s="141" t="s">
        <v>92</v>
      </c>
      <c r="AI140" s="128">
        <v>1047.138158215961</v>
      </c>
      <c r="AJ140" s="128">
        <v>11.0</v>
      </c>
      <c r="AK140" s="142">
        <v>1037.750934361313</v>
      </c>
      <c r="AP140" s="143">
        <v>20.0</v>
      </c>
      <c r="AQ140" s="128">
        <v>8.0</v>
      </c>
      <c r="AR140" s="44" t="s">
        <v>331</v>
      </c>
      <c r="AS140" s="44" t="s">
        <v>290</v>
      </c>
      <c r="AT140" s="44">
        <v>139.0</v>
      </c>
      <c r="AU140" s="44"/>
      <c r="AV140" s="44"/>
      <c r="AW140" s="145"/>
      <c r="AX140" s="44"/>
      <c r="AY140" s="145"/>
      <c r="AZ140" s="145"/>
      <c r="BA140" s="145"/>
      <c r="BB140" s="146"/>
      <c r="BC140" s="145"/>
      <c r="BD140" s="44"/>
      <c r="BE140" s="145"/>
      <c r="BF140" s="44"/>
      <c r="BG140" s="145"/>
      <c r="BH140" s="145"/>
      <c r="BI140" s="145"/>
      <c r="BJ140" s="146"/>
      <c r="BK140" s="145"/>
    </row>
    <row r="141">
      <c r="A141" s="154">
        <v>44200.92013888889</v>
      </c>
      <c r="B141" s="141" t="s">
        <v>224</v>
      </c>
      <c r="C141" s="128">
        <v>907.3699877498473</v>
      </c>
      <c r="D141" s="128">
        <v>3.0</v>
      </c>
      <c r="E141" s="142">
        <v>911.7284050573107</v>
      </c>
      <c r="F141" s="44" t="s">
        <v>47</v>
      </c>
      <c r="G141" s="128">
        <v>999.066407532258</v>
      </c>
      <c r="H141" s="128">
        <v>24.0</v>
      </c>
      <c r="I141" s="128">
        <v>1003.821195140284</v>
      </c>
      <c r="J141" s="141" t="s">
        <v>23</v>
      </c>
      <c r="K141" s="128">
        <v>1253.2420601433112</v>
      </c>
      <c r="L141" s="128">
        <v>31.0</v>
      </c>
      <c r="M141" s="142">
        <v>1258.1288552278218</v>
      </c>
      <c r="R141" s="148"/>
      <c r="U141" s="149"/>
      <c r="V141" s="44" t="s">
        <v>332</v>
      </c>
      <c r="W141" s="128">
        <v>1000.0</v>
      </c>
      <c r="X141" s="128">
        <v>20.0</v>
      </c>
      <c r="Y141" s="128">
        <v>995.4036063859528</v>
      </c>
      <c r="Z141" s="141" t="s">
        <v>248</v>
      </c>
      <c r="AA141" s="128">
        <v>1023.0668540634744</v>
      </c>
      <c r="AB141" s="128">
        <v>16.0</v>
      </c>
      <c r="AC141" s="142">
        <v>1018.3667037228538</v>
      </c>
      <c r="AD141" s="44" t="s">
        <v>112</v>
      </c>
      <c r="AE141" s="128">
        <v>1032.659958519836</v>
      </c>
      <c r="AF141" s="128">
        <v>16.0</v>
      </c>
      <c r="AG141" s="128">
        <v>1027.9565024745038</v>
      </c>
      <c r="AH141" s="148"/>
      <c r="AK141" s="149"/>
      <c r="AP141" s="143">
        <v>17.0</v>
      </c>
      <c r="AQ141" s="128">
        <v>11.0</v>
      </c>
      <c r="AR141" s="44" t="s">
        <v>333</v>
      </c>
      <c r="AS141" s="44" t="s">
        <v>229</v>
      </c>
      <c r="AT141" s="44">
        <v>140.0</v>
      </c>
      <c r="AU141" s="44"/>
      <c r="AV141" s="44"/>
      <c r="AW141" s="145"/>
      <c r="AX141" s="44"/>
      <c r="AY141" s="145"/>
      <c r="AZ141" s="145"/>
      <c r="BA141" s="145"/>
      <c r="BB141" s="146"/>
      <c r="BC141" s="145"/>
      <c r="BD141" s="44"/>
      <c r="BE141" s="145"/>
      <c r="BF141" s="44"/>
      <c r="BG141" s="145"/>
      <c r="BH141" s="145"/>
      <c r="BI141" s="145"/>
      <c r="BJ141" s="146"/>
      <c r="BK141" s="145"/>
    </row>
    <row r="142">
      <c r="A142" s="154">
        <v>44200.99722222222</v>
      </c>
      <c r="B142" s="141" t="s">
        <v>224</v>
      </c>
      <c r="C142" s="128">
        <v>911.7284050573107</v>
      </c>
      <c r="D142" s="128">
        <v>3.0</v>
      </c>
      <c r="E142" s="142">
        <v>915.4752883008001</v>
      </c>
      <c r="F142" s="44" t="s">
        <v>107</v>
      </c>
      <c r="G142" s="128">
        <v>959.3624308803954</v>
      </c>
      <c r="H142" s="128">
        <v>11.0</v>
      </c>
      <c r="I142" s="128">
        <v>963.2246129761888</v>
      </c>
      <c r="J142" s="141" t="s">
        <v>123</v>
      </c>
      <c r="K142" s="128">
        <v>961.3526934386828</v>
      </c>
      <c r="L142" s="128">
        <v>17.0</v>
      </c>
      <c r="M142" s="142">
        <v>965.3333118255462</v>
      </c>
      <c r="N142" s="44" t="s">
        <v>90</v>
      </c>
      <c r="O142" s="128">
        <v>962.5937957554611</v>
      </c>
      <c r="P142" s="128">
        <v>26.0</v>
      </c>
      <c r="Q142" s="128">
        <v>966.7534525117911</v>
      </c>
      <c r="R142" s="141" t="s">
        <v>23</v>
      </c>
      <c r="S142" s="128">
        <v>1258.1288552278218</v>
      </c>
      <c r="T142" s="128">
        <v>33.0</v>
      </c>
      <c r="U142" s="142">
        <v>1262.3795147453454</v>
      </c>
      <c r="V142" s="44" t="s">
        <v>228</v>
      </c>
      <c r="W142" s="128">
        <v>967.2447700832566</v>
      </c>
      <c r="X142" s="128">
        <v>14.0</v>
      </c>
      <c r="Y142" s="128">
        <v>963.2018234944054</v>
      </c>
      <c r="Z142" s="141" t="s">
        <v>47</v>
      </c>
      <c r="AA142" s="128">
        <v>1003.821195140284</v>
      </c>
      <c r="AB142" s="128">
        <v>17.0</v>
      </c>
      <c r="AC142" s="142">
        <v>999.8183708656208</v>
      </c>
      <c r="AD142" s="44" t="s">
        <v>248</v>
      </c>
      <c r="AE142" s="128">
        <v>1018.3667037228538</v>
      </c>
      <c r="AF142" s="128">
        <v>5.0</v>
      </c>
      <c r="AG142" s="128">
        <v>1014.1182245985448</v>
      </c>
      <c r="AH142" s="141" t="s">
        <v>112</v>
      </c>
      <c r="AI142" s="128">
        <v>1027.9565024745038</v>
      </c>
      <c r="AJ142" s="128">
        <v>33.0</v>
      </c>
      <c r="AK142" s="142">
        <v>1024.2649486492546</v>
      </c>
      <c r="AL142" s="44" t="s">
        <v>92</v>
      </c>
      <c r="AM142" s="128">
        <v>1037.750934361313</v>
      </c>
      <c r="AN142" s="128">
        <v>17.0</v>
      </c>
      <c r="AO142" s="128">
        <v>1033.7367381743857</v>
      </c>
      <c r="AP142" s="143">
        <v>16.0</v>
      </c>
      <c r="AQ142" s="128">
        <v>12.0</v>
      </c>
      <c r="AS142" s="44" t="s">
        <v>232</v>
      </c>
      <c r="AT142" s="44">
        <v>141.0</v>
      </c>
      <c r="AU142" s="44"/>
      <c r="AW142" s="93"/>
      <c r="AY142" s="93"/>
      <c r="AZ142" s="93"/>
      <c r="BA142" s="93"/>
      <c r="BB142" s="155"/>
      <c r="BC142" s="93"/>
      <c r="BE142" s="93"/>
      <c r="BG142" s="93"/>
      <c r="BH142" s="93"/>
      <c r="BI142" s="93"/>
      <c r="BJ142" s="155"/>
      <c r="BK142" s="93"/>
    </row>
    <row r="143">
      <c r="A143" s="154">
        <v>44201.944444444445</v>
      </c>
      <c r="B143" s="141" t="s">
        <v>224</v>
      </c>
      <c r="C143" s="128">
        <v>915.4752883008001</v>
      </c>
      <c r="D143" s="128">
        <v>4.0</v>
      </c>
      <c r="E143" s="142">
        <v>919.3065162924977</v>
      </c>
      <c r="F143" s="44" t="s">
        <v>228</v>
      </c>
      <c r="G143" s="128">
        <v>963.2018234944054</v>
      </c>
      <c r="H143" s="128">
        <v>7.0</v>
      </c>
      <c r="I143" s="128">
        <v>966.9688808607018</v>
      </c>
      <c r="J143" s="141" t="s">
        <v>47</v>
      </c>
      <c r="K143" s="128">
        <v>999.8183708656208</v>
      </c>
      <c r="L143" s="128">
        <v>23.0</v>
      </c>
      <c r="M143" s="142">
        <v>1003.8428509732439</v>
      </c>
      <c r="N143" s="44" t="s">
        <v>92</v>
      </c>
      <c r="O143" s="128">
        <v>1033.7367381743857</v>
      </c>
      <c r="P143" s="128">
        <v>20.0</v>
      </c>
      <c r="Q143" s="128">
        <v>1037.6775498547777</v>
      </c>
      <c r="R143" s="141" t="s">
        <v>23</v>
      </c>
      <c r="S143" s="128">
        <v>1062.37951474535</v>
      </c>
      <c r="T143" s="128">
        <v>45.0</v>
      </c>
      <c r="U143" s="142">
        <v>1066.815937599341</v>
      </c>
      <c r="V143" s="44" t="s">
        <v>123</v>
      </c>
      <c r="W143" s="128">
        <v>965.3333118255462</v>
      </c>
      <c r="X143" s="128">
        <v>13.0</v>
      </c>
      <c r="Y143" s="128">
        <v>961.2498162221439</v>
      </c>
      <c r="Z143" s="141" t="s">
        <v>90</v>
      </c>
      <c r="AA143" s="128">
        <v>966.7534525117911</v>
      </c>
      <c r="AB143" s="128">
        <v>20.0</v>
      </c>
      <c r="AC143" s="142">
        <v>962.8071752988936</v>
      </c>
      <c r="AD143" s="44" t="s">
        <v>27</v>
      </c>
      <c r="AE143" s="128">
        <v>985.7697206538653</v>
      </c>
      <c r="AF143" s="128">
        <v>18.0</v>
      </c>
      <c r="AG143" s="128">
        <v>981.7510966129298</v>
      </c>
      <c r="AH143" s="141" t="s">
        <v>112</v>
      </c>
      <c r="AI143" s="128">
        <v>1024.2649486492546</v>
      </c>
      <c r="AJ143" s="128">
        <v>10.0</v>
      </c>
      <c r="AK143" s="142">
        <v>1020.0507701787612</v>
      </c>
      <c r="AL143" s="44" t="s">
        <v>236</v>
      </c>
      <c r="AM143" s="128">
        <v>1032.8644623431962</v>
      </c>
      <c r="AN143" s="128">
        <v>34.0</v>
      </c>
      <c r="AO143" s="128">
        <v>1029.127037670925</v>
      </c>
      <c r="AP143" s="143">
        <v>16.0</v>
      </c>
      <c r="AQ143" s="128">
        <v>11.0</v>
      </c>
      <c r="AR143" s="44" t="s">
        <v>334</v>
      </c>
      <c r="AS143" s="44" t="s">
        <v>229</v>
      </c>
      <c r="AT143" s="44">
        <v>142.0</v>
      </c>
      <c r="AU143" s="44"/>
      <c r="AV143" s="44"/>
      <c r="AW143" s="145"/>
      <c r="AX143" s="44"/>
      <c r="AY143" s="145"/>
      <c r="AZ143" s="145"/>
      <c r="BA143" s="145"/>
      <c r="BB143" s="146"/>
      <c r="BC143" s="145"/>
      <c r="BD143" s="44"/>
      <c r="BE143" s="145"/>
      <c r="BF143" s="44"/>
      <c r="BG143" s="145"/>
      <c r="BH143" s="145"/>
      <c r="BI143" s="145"/>
      <c r="BJ143" s="146"/>
      <c r="BK143" s="145"/>
    </row>
    <row r="144">
      <c r="A144" s="154">
        <v>44202.00763888889</v>
      </c>
      <c r="B144" s="141" t="s">
        <v>224</v>
      </c>
      <c r="C144" s="128">
        <v>919.3065162924977</v>
      </c>
      <c r="D144" s="44">
        <v>6.0</v>
      </c>
      <c r="E144" s="142">
        <v>919.3065162924977</v>
      </c>
      <c r="F144" s="44" t="s">
        <v>228</v>
      </c>
      <c r="G144" s="128">
        <v>966.9688808607018</v>
      </c>
      <c r="H144" s="128">
        <v>15.0</v>
      </c>
      <c r="I144" s="128">
        <v>966.9688808607018</v>
      </c>
      <c r="J144" s="141" t="s">
        <v>112</v>
      </c>
      <c r="K144" s="128">
        <v>1020.0507701787612</v>
      </c>
      <c r="L144" s="128">
        <v>28.0</v>
      </c>
      <c r="M144" s="142">
        <v>1020.0507701787612</v>
      </c>
      <c r="N144" s="44" t="s">
        <v>236</v>
      </c>
      <c r="O144" s="128">
        <v>1029.127037670925</v>
      </c>
      <c r="P144" s="128">
        <v>22.0</v>
      </c>
      <c r="Q144" s="128">
        <v>1029.127037670925</v>
      </c>
      <c r="R144" s="141" t="s">
        <v>92</v>
      </c>
      <c r="S144" s="128">
        <v>1037.6775498547777</v>
      </c>
      <c r="T144" s="128">
        <v>31.0</v>
      </c>
      <c r="U144" s="142">
        <v>1037.6775498547777</v>
      </c>
      <c r="V144" s="44" t="s">
        <v>123</v>
      </c>
      <c r="W144" s="128">
        <v>961.2498162221439</v>
      </c>
      <c r="X144" s="128">
        <v>23.0</v>
      </c>
      <c r="Y144" s="128">
        <v>961.2498162221439</v>
      </c>
      <c r="Z144" s="141" t="s">
        <v>90</v>
      </c>
      <c r="AA144" s="128">
        <v>962.8071752988936</v>
      </c>
      <c r="AB144" s="128">
        <v>24.0</v>
      </c>
      <c r="AC144" s="142">
        <v>962.8071752988936</v>
      </c>
      <c r="AD144" s="44" t="s">
        <v>27</v>
      </c>
      <c r="AE144" s="128">
        <v>981.7510966129298</v>
      </c>
      <c r="AF144" s="128">
        <v>23.0</v>
      </c>
      <c r="AG144" s="128">
        <v>981.7510966129298</v>
      </c>
      <c r="AH144" s="141" t="s">
        <v>47</v>
      </c>
      <c r="AI144" s="128">
        <v>1003.8428509732439</v>
      </c>
      <c r="AJ144" s="128">
        <v>18.0</v>
      </c>
      <c r="AK144" s="142">
        <v>1003.8428509732439</v>
      </c>
      <c r="AL144" s="44" t="s">
        <v>23</v>
      </c>
      <c r="AM144" s="128">
        <v>1066.815937599341</v>
      </c>
      <c r="AN144" s="128">
        <v>31.0</v>
      </c>
      <c r="AO144" s="128">
        <v>1066.815937599341</v>
      </c>
      <c r="AP144" s="143">
        <v>14.0</v>
      </c>
      <c r="AQ144" s="128">
        <v>14.0</v>
      </c>
      <c r="AS144" s="44" t="s">
        <v>335</v>
      </c>
      <c r="AT144" s="44">
        <v>143.0</v>
      </c>
      <c r="AU144" s="44"/>
      <c r="AV144" s="141" t="s">
        <v>98</v>
      </c>
      <c r="AW144" s="145">
        <v>985.196880047195</v>
      </c>
      <c r="AX144" s="44">
        <v>14.0</v>
      </c>
      <c r="AY144" s="162">
        <v>985.19688</v>
      </c>
      <c r="AZ144" s="145"/>
      <c r="BA144" s="145"/>
      <c r="BB144" s="146"/>
      <c r="BC144" s="145"/>
      <c r="BD144" s="44" t="s">
        <v>296</v>
      </c>
      <c r="BE144" s="145">
        <v>980.7423508554273</v>
      </c>
      <c r="BF144" s="44">
        <v>6.0</v>
      </c>
      <c r="BG144" s="145">
        <v>980.742350855427</v>
      </c>
      <c r="BH144" s="145"/>
      <c r="BI144" s="145"/>
      <c r="BJ144" s="146"/>
      <c r="BK144" s="145"/>
    </row>
    <row r="145">
      <c r="A145" s="154">
        <v>44202.072222222225</v>
      </c>
      <c r="B145" s="141" t="s">
        <v>123</v>
      </c>
      <c r="C145" s="128">
        <v>961.2498162221439</v>
      </c>
      <c r="D145" s="128">
        <v>22.0</v>
      </c>
      <c r="E145" s="142">
        <v>966.0861549624431</v>
      </c>
      <c r="F145" s="44" t="s">
        <v>107</v>
      </c>
      <c r="G145" s="128">
        <v>963.2246129761888</v>
      </c>
      <c r="H145" s="128">
        <v>32.0</v>
      </c>
      <c r="I145" s="128">
        <v>968.3024394290728</v>
      </c>
      <c r="J145" s="141" t="s">
        <v>27</v>
      </c>
      <c r="K145" s="128">
        <v>981.7510966129298</v>
      </c>
      <c r="L145" s="128">
        <v>33.0</v>
      </c>
      <c r="M145" s="142">
        <v>986.783671496222</v>
      </c>
      <c r="N145" s="44" t="s">
        <v>23</v>
      </c>
      <c r="O145" s="128">
        <v>1066.815937599341</v>
      </c>
      <c r="P145" s="128">
        <v>38.0</v>
      </c>
      <c r="Q145" s="128">
        <v>1071.8691975228655</v>
      </c>
      <c r="R145" s="148"/>
      <c r="U145" s="149"/>
      <c r="V145" s="44" t="s">
        <v>224</v>
      </c>
      <c r="W145" s="128">
        <v>919.3065162924977</v>
      </c>
      <c r="X145" s="128">
        <v>3.0</v>
      </c>
      <c r="Y145" s="128">
        <v>913.9615843409474</v>
      </c>
      <c r="Z145" s="141" t="s">
        <v>47</v>
      </c>
      <c r="AA145" s="128">
        <v>1003.8428509732439</v>
      </c>
      <c r="AB145" s="128">
        <v>27.0</v>
      </c>
      <c r="AC145" s="142">
        <v>998.8091083539864</v>
      </c>
      <c r="AD145" s="44" t="s">
        <v>112</v>
      </c>
      <c r="AE145" s="128">
        <v>1020.0507701787612</v>
      </c>
      <c r="AF145" s="128">
        <v>28.0</v>
      </c>
      <c r="AG145" s="128">
        <v>1015.0210033406596</v>
      </c>
      <c r="AH145" s="141" t="s">
        <v>92</v>
      </c>
      <c r="AI145" s="128">
        <v>1037.6775498547777</v>
      </c>
      <c r="AJ145" s="128">
        <v>46.0</v>
      </c>
      <c r="AK145" s="142">
        <v>1033.0859912636872</v>
      </c>
      <c r="AP145" s="143">
        <v>26.0</v>
      </c>
      <c r="AQ145" s="128">
        <v>16.0</v>
      </c>
      <c r="AS145" s="44" t="s">
        <v>336</v>
      </c>
      <c r="AT145" s="44">
        <v>144.0</v>
      </c>
      <c r="AU145" s="44"/>
      <c r="AW145" s="93"/>
      <c r="AY145" s="93"/>
      <c r="AZ145" s="93"/>
      <c r="BA145" s="93"/>
      <c r="BB145" s="155"/>
      <c r="BC145" s="93"/>
      <c r="BE145" s="93"/>
      <c r="BG145" s="93"/>
      <c r="BH145" s="93"/>
      <c r="BI145" s="93"/>
      <c r="BJ145" s="155"/>
      <c r="BK145" s="93"/>
    </row>
    <row r="146">
      <c r="A146" s="154">
        <v>44202.103472222225</v>
      </c>
      <c r="B146" s="141" t="s">
        <v>123</v>
      </c>
      <c r="C146" s="128">
        <v>966.0861549624431</v>
      </c>
      <c r="D146" s="128">
        <v>8.0</v>
      </c>
      <c r="E146" s="142">
        <v>960.6824037248228</v>
      </c>
      <c r="F146" s="44" t="s">
        <v>107</v>
      </c>
      <c r="G146" s="128">
        <v>968.3024394290728</v>
      </c>
      <c r="H146" s="128">
        <v>11.0</v>
      </c>
      <c r="I146" s="128">
        <v>962.9752253606666</v>
      </c>
      <c r="J146" s="141" t="s">
        <v>112</v>
      </c>
      <c r="K146" s="128">
        <v>1015.0210033406596</v>
      </c>
      <c r="L146" s="128">
        <v>15.0</v>
      </c>
      <c r="M146" s="142">
        <v>1009.751968646686</v>
      </c>
      <c r="R146" s="148"/>
      <c r="U146" s="149"/>
      <c r="V146" s="44" t="s">
        <v>306</v>
      </c>
      <c r="W146" s="128">
        <v>954.0378685928346</v>
      </c>
      <c r="X146" s="44">
        <v>0.0</v>
      </c>
      <c r="Y146" s="128">
        <v>958.8899343558635</v>
      </c>
      <c r="Z146" s="141" t="s">
        <v>47</v>
      </c>
      <c r="AA146" s="128">
        <v>998.8091083539864</v>
      </c>
      <c r="AB146" s="128">
        <v>21.0</v>
      </c>
      <c r="AC146" s="142">
        <v>1004.1098733052123</v>
      </c>
      <c r="AD146" s="44" t="s">
        <v>23</v>
      </c>
      <c r="AE146" s="128">
        <v>1071.8691975228655</v>
      </c>
      <c r="AF146" s="128">
        <v>43.0</v>
      </c>
      <c r="AG146" s="128">
        <v>1077.7163668086107</v>
      </c>
      <c r="AH146" s="148"/>
      <c r="AK146" s="149"/>
      <c r="AP146" s="143">
        <v>11.0</v>
      </c>
      <c r="AQ146" s="128">
        <v>17.0</v>
      </c>
      <c r="AS146" s="44" t="s">
        <v>337</v>
      </c>
      <c r="AT146" s="44">
        <v>145.0</v>
      </c>
      <c r="AU146" s="44"/>
      <c r="AW146" s="93"/>
      <c r="AY146" s="93"/>
      <c r="AZ146" s="93"/>
      <c r="BA146" s="93"/>
      <c r="BB146" s="155"/>
      <c r="BC146" s="93"/>
      <c r="BE146" s="93"/>
      <c r="BG146" s="93"/>
      <c r="BH146" s="93"/>
      <c r="BI146" s="93"/>
      <c r="BJ146" s="155"/>
      <c r="BK146" s="93"/>
    </row>
    <row r="147">
      <c r="A147" s="154">
        <v>44202.916666666664</v>
      </c>
      <c r="B147" s="141" t="s">
        <v>47</v>
      </c>
      <c r="C147" s="128">
        <v>1004.1098733052123</v>
      </c>
      <c r="D147" s="128">
        <v>16.0</v>
      </c>
      <c r="E147" s="142">
        <v>1021.5345458292029</v>
      </c>
      <c r="F147" s="44" t="s">
        <v>23</v>
      </c>
      <c r="G147" s="128">
        <v>1077.7163668086107</v>
      </c>
      <c r="H147" s="128">
        <v>30.0</v>
      </c>
      <c r="I147" s="128">
        <v>1096.2916942846202</v>
      </c>
      <c r="J147" s="148"/>
      <c r="M147" s="149"/>
      <c r="R147" s="148"/>
      <c r="U147" s="149"/>
      <c r="V147" s="44" t="s">
        <v>112</v>
      </c>
      <c r="W147" s="128">
        <v>1009.751968646686</v>
      </c>
      <c r="X147" s="128">
        <v>9.0</v>
      </c>
      <c r="Y147" s="128">
        <v>991.5422566551719</v>
      </c>
      <c r="Z147" s="141" t="s">
        <v>92</v>
      </c>
      <c r="AA147" s="128">
        <v>1033.0859912636872</v>
      </c>
      <c r="AB147" s="128">
        <v>14.0</v>
      </c>
      <c r="AC147" s="142">
        <v>1015.2957032552014</v>
      </c>
      <c r="AH147" s="148"/>
      <c r="AK147" s="149"/>
      <c r="AP147" s="143">
        <v>20.0</v>
      </c>
      <c r="AQ147" s="128">
        <v>7.0</v>
      </c>
      <c r="AR147" s="44" t="s">
        <v>338</v>
      </c>
      <c r="AS147" s="44" t="s">
        <v>229</v>
      </c>
      <c r="AT147" s="44">
        <v>146.0</v>
      </c>
      <c r="AU147" s="44"/>
      <c r="AW147" s="93"/>
      <c r="AY147" s="93"/>
      <c r="AZ147" s="93"/>
      <c r="BA147" s="93"/>
      <c r="BB147" s="155"/>
      <c r="BC147" s="93"/>
      <c r="BE147" s="93"/>
      <c r="BG147" s="93"/>
      <c r="BH147" s="93"/>
      <c r="BI147" s="93"/>
      <c r="BJ147" s="155"/>
      <c r="BK147" s="93"/>
    </row>
    <row r="148">
      <c r="A148" s="154">
        <v>44202.95486111111</v>
      </c>
      <c r="B148" s="141" t="s">
        <v>332</v>
      </c>
      <c r="C148" s="128">
        <v>995.4036063859528</v>
      </c>
      <c r="D148" s="128">
        <v>20.0</v>
      </c>
      <c r="E148" s="142">
        <v>989.1918868650463</v>
      </c>
      <c r="F148" s="44" t="s">
        <v>92</v>
      </c>
      <c r="G148" s="128">
        <v>1015.2957032552014</v>
      </c>
      <c r="H148" s="128">
        <v>15.0</v>
      </c>
      <c r="I148" s="128">
        <v>1008.9038566051514</v>
      </c>
      <c r="J148" s="141" t="s">
        <v>47</v>
      </c>
      <c r="K148" s="128">
        <v>1021.5345458292029</v>
      </c>
      <c r="L148" s="128">
        <v>15.0</v>
      </c>
      <c r="M148" s="142">
        <v>1015.1381120001594</v>
      </c>
      <c r="R148" s="148"/>
      <c r="U148" s="149"/>
      <c r="V148" s="44" t="s">
        <v>107</v>
      </c>
      <c r="W148" s="128">
        <v>962.9752253606666</v>
      </c>
      <c r="X148" s="128">
        <v>9.0</v>
      </c>
      <c r="Y148" s="128">
        <v>969.0068451545742</v>
      </c>
      <c r="Z148" s="141" t="s">
        <v>112</v>
      </c>
      <c r="AA148" s="128">
        <v>991.5422566551719</v>
      </c>
      <c r="AB148" s="128">
        <v>21.0</v>
      </c>
      <c r="AC148" s="142">
        <v>997.8817755539392</v>
      </c>
      <c r="AD148" s="44" t="s">
        <v>23</v>
      </c>
      <c r="AE148" s="128">
        <v>1096.2916942846202</v>
      </c>
      <c r="AF148" s="128">
        <v>32.0</v>
      </c>
      <c r="AG148" s="128">
        <v>1102.9205555919452</v>
      </c>
      <c r="AH148" s="148"/>
      <c r="AK148" s="149"/>
      <c r="AP148" s="143">
        <v>12.0</v>
      </c>
      <c r="AQ148" s="128">
        <v>16.0</v>
      </c>
      <c r="AS148" s="44" t="s">
        <v>339</v>
      </c>
      <c r="AT148" s="44">
        <v>147.0</v>
      </c>
      <c r="AU148" s="44"/>
      <c r="AW148" s="93"/>
      <c r="AY148" s="93"/>
      <c r="AZ148" s="93"/>
      <c r="BA148" s="93"/>
      <c r="BB148" s="155"/>
      <c r="BC148" s="93"/>
      <c r="BE148" s="93"/>
      <c r="BG148" s="93"/>
      <c r="BH148" s="93"/>
      <c r="BI148" s="93"/>
      <c r="BJ148" s="155"/>
      <c r="BK148" s="93"/>
    </row>
    <row r="149">
      <c r="A149" s="154">
        <v>44203.00625</v>
      </c>
      <c r="B149" s="141" t="s">
        <v>112</v>
      </c>
      <c r="C149" s="128">
        <v>997.8817755539392</v>
      </c>
      <c r="D149" s="128">
        <v>9.0</v>
      </c>
      <c r="E149" s="142">
        <v>989.7675591627014</v>
      </c>
      <c r="F149" s="44" t="s">
        <v>92</v>
      </c>
      <c r="G149" s="128">
        <v>1008.9038566051514</v>
      </c>
      <c r="H149" s="128">
        <v>15.0</v>
      </c>
      <c r="I149" s="128">
        <v>1001.0180729963892</v>
      </c>
      <c r="J149" s="148"/>
      <c r="M149" s="149"/>
      <c r="R149" s="148"/>
      <c r="U149" s="149"/>
      <c r="V149" s="44" t="s">
        <v>107</v>
      </c>
      <c r="W149" s="128">
        <v>969.0068451545742</v>
      </c>
      <c r="X149" s="128">
        <v>14.0</v>
      </c>
      <c r="Y149" s="128">
        <v>976.8348463961585</v>
      </c>
      <c r="Z149" s="141" t="s">
        <v>23</v>
      </c>
      <c r="AA149" s="128">
        <v>1102.9205555919452</v>
      </c>
      <c r="AB149" s="128">
        <v>26.0</v>
      </c>
      <c r="AC149" s="142">
        <v>1111.0925543503608</v>
      </c>
      <c r="AH149" s="148"/>
      <c r="AK149" s="149"/>
      <c r="AP149" s="143">
        <v>11.0</v>
      </c>
      <c r="AQ149" s="128">
        <v>17.0</v>
      </c>
      <c r="AS149" s="44" t="s">
        <v>280</v>
      </c>
      <c r="AT149" s="44">
        <v>148.0</v>
      </c>
      <c r="AU149" s="44"/>
      <c r="AW149" s="93"/>
      <c r="AY149" s="93"/>
      <c r="AZ149" s="93"/>
      <c r="BA149" s="93"/>
      <c r="BB149" s="155"/>
      <c r="BC149" s="93"/>
      <c r="BE149" s="93"/>
      <c r="BG149" s="93"/>
      <c r="BH149" s="93"/>
      <c r="BI149" s="93"/>
      <c r="BJ149" s="155"/>
      <c r="BK149" s="93"/>
    </row>
    <row r="150">
      <c r="A150" s="154">
        <v>44203.915972222225</v>
      </c>
      <c r="B150" s="141" t="s">
        <v>224</v>
      </c>
      <c r="C150" s="128">
        <v>913.9615843409474</v>
      </c>
      <c r="D150" s="128">
        <v>10.0</v>
      </c>
      <c r="E150" s="142">
        <v>917.4823093758763</v>
      </c>
      <c r="F150" s="44" t="s">
        <v>27</v>
      </c>
      <c r="G150" s="128">
        <v>986.783671496222</v>
      </c>
      <c r="H150" s="128">
        <v>12.0</v>
      </c>
      <c r="I150" s="128">
        <v>990.1897601798908</v>
      </c>
      <c r="J150" s="141" t="s">
        <v>112</v>
      </c>
      <c r="K150" s="128">
        <v>989.7675591627014</v>
      </c>
      <c r="L150" s="128">
        <v>18.0</v>
      </c>
      <c r="M150" s="142">
        <v>993.2777117358465</v>
      </c>
      <c r="N150" s="44" t="s">
        <v>340</v>
      </c>
      <c r="O150" s="128">
        <v>1000.0</v>
      </c>
      <c r="P150" s="128">
        <v>15.0</v>
      </c>
      <c r="Q150" s="128">
        <v>1003.4443566800792</v>
      </c>
      <c r="R150" s="141" t="s">
        <v>23</v>
      </c>
      <c r="S150" s="128">
        <v>1111.0925543503608</v>
      </c>
      <c r="T150" s="128">
        <v>54.0</v>
      </c>
      <c r="U150" s="142">
        <v>1115.211231378539</v>
      </c>
      <c r="V150" s="44" t="s">
        <v>90</v>
      </c>
      <c r="W150" s="128">
        <v>962.8071752988936</v>
      </c>
      <c r="X150" s="128">
        <v>17.0</v>
      </c>
      <c r="Y150" s="128">
        <v>959.2450993774958</v>
      </c>
      <c r="Z150" s="141" t="s">
        <v>296</v>
      </c>
      <c r="AA150" s="128">
        <v>982.0811061981942</v>
      </c>
      <c r="AB150" s="128">
        <v>10.0</v>
      </c>
      <c r="AC150" s="142">
        <v>978.3692763865275</v>
      </c>
      <c r="AD150" s="44" t="s">
        <v>341</v>
      </c>
      <c r="AE150" s="128">
        <v>1000.0</v>
      </c>
      <c r="AF150" s="128">
        <v>5.0</v>
      </c>
      <c r="AG150" s="128">
        <v>996.181967734734</v>
      </c>
      <c r="AH150" s="141" t="s">
        <v>92</v>
      </c>
      <c r="AI150" s="128">
        <v>1001.0180729963892</v>
      </c>
      <c r="AJ150" s="128">
        <v>25.0</v>
      </c>
      <c r="AK150" s="142">
        <v>997.5592947831425</v>
      </c>
      <c r="AL150" s="44" t="s">
        <v>47</v>
      </c>
      <c r="AM150" s="128">
        <v>1015.1381120001594</v>
      </c>
      <c r="AN150" s="128">
        <v>26.0</v>
      </c>
      <c r="AO150" s="128">
        <v>1011.6888282117366</v>
      </c>
      <c r="AP150" s="143">
        <v>17.0</v>
      </c>
      <c r="AQ150" s="128">
        <v>11.0</v>
      </c>
      <c r="AR150" s="44" t="s">
        <v>342</v>
      </c>
      <c r="AS150" s="44" t="s">
        <v>232</v>
      </c>
      <c r="AT150" s="44">
        <v>149.0</v>
      </c>
      <c r="AU150" s="44"/>
      <c r="AW150" s="93"/>
      <c r="AY150" s="93"/>
      <c r="AZ150" s="93"/>
      <c r="BA150" s="93"/>
      <c r="BB150" s="155"/>
      <c r="BC150" s="93"/>
      <c r="BE150" s="93"/>
      <c r="BG150" s="93"/>
      <c r="BH150" s="93"/>
      <c r="BI150" s="93"/>
      <c r="BJ150" s="155"/>
      <c r="BK150" s="93"/>
    </row>
    <row r="151">
      <c r="A151" s="154">
        <v>44204.00277777778</v>
      </c>
      <c r="B151" s="141" t="s">
        <v>332</v>
      </c>
      <c r="C151" s="128">
        <v>989.1918868650463</v>
      </c>
      <c r="D151" s="128">
        <v>37.0</v>
      </c>
      <c r="E151" s="142">
        <v>987.2481442811797</v>
      </c>
      <c r="F151" s="44" t="s">
        <v>340</v>
      </c>
      <c r="G151" s="128">
        <v>1003.4443566800792</v>
      </c>
      <c r="H151" s="128">
        <v>34.0</v>
      </c>
      <c r="I151" s="128">
        <v>1001.4588581811088</v>
      </c>
      <c r="J151" s="141" t="s">
        <v>47</v>
      </c>
      <c r="K151" s="128">
        <v>1011.6888282117366</v>
      </c>
      <c r="L151" s="128">
        <v>33.0</v>
      </c>
      <c r="M151" s="142">
        <v>1009.6881600608114</v>
      </c>
      <c r="N151" s="44" t="s">
        <v>248</v>
      </c>
      <c r="O151" s="128">
        <v>1014.1182245985448</v>
      </c>
      <c r="P151" s="128">
        <v>15.0</v>
      </c>
      <c r="Q151" s="128">
        <v>1011.9362479554644</v>
      </c>
      <c r="R151" s="141" t="s">
        <v>236</v>
      </c>
      <c r="S151" s="128">
        <v>1029.127037670925</v>
      </c>
      <c r="T151" s="128">
        <v>45.0</v>
      </c>
      <c r="U151" s="142">
        <v>1027.2389235477674</v>
      </c>
      <c r="V151" s="44" t="s">
        <v>228</v>
      </c>
      <c r="W151" s="128">
        <v>966.9688808607018</v>
      </c>
      <c r="X151" s="128">
        <v>15.0</v>
      </c>
      <c r="Y151" s="128">
        <v>968.7624746644843</v>
      </c>
      <c r="Z151" s="141" t="s">
        <v>107</v>
      </c>
      <c r="AA151" s="128">
        <v>976.8348463961585</v>
      </c>
      <c r="AB151" s="128">
        <v>31.0</v>
      </c>
      <c r="AC151" s="142">
        <v>978.7730767163843</v>
      </c>
      <c r="AD151" s="44" t="s">
        <v>27</v>
      </c>
      <c r="AE151" s="128">
        <v>990.1897601798908</v>
      </c>
      <c r="AF151" s="128">
        <v>48.0</v>
      </c>
      <c r="AG151" s="128">
        <v>992.2805425945588</v>
      </c>
      <c r="AH151" s="141" t="s">
        <v>92</v>
      </c>
      <c r="AI151" s="128">
        <v>997.5592947831425</v>
      </c>
      <c r="AJ151" s="128">
        <v>43.0</v>
      </c>
      <c r="AK151" s="142">
        <v>999.5921588831762</v>
      </c>
      <c r="AL151" s="44" t="s">
        <v>23</v>
      </c>
      <c r="AM151" s="128">
        <v>1115.211231378539</v>
      </c>
      <c r="AN151" s="128">
        <v>57.0</v>
      </c>
      <c r="AO151" s="128">
        <v>1117.3557607398288</v>
      </c>
      <c r="AP151" s="143">
        <v>25.0</v>
      </c>
      <c r="AQ151" s="128">
        <v>31.0</v>
      </c>
      <c r="AR151" s="44" t="s">
        <v>343</v>
      </c>
      <c r="AS151" s="44" t="s">
        <v>344</v>
      </c>
      <c r="AT151" s="44">
        <v>150.0</v>
      </c>
      <c r="AU151" s="44"/>
      <c r="AW151" s="93"/>
      <c r="AY151" s="93"/>
      <c r="AZ151" s="93"/>
      <c r="BA151" s="93"/>
      <c r="BB151" s="155"/>
      <c r="BC151" s="93"/>
      <c r="BE151" s="93"/>
      <c r="BG151" s="93"/>
      <c r="BH151" s="93"/>
      <c r="BI151" s="93"/>
      <c r="BJ151" s="155"/>
      <c r="BK151" s="93"/>
    </row>
    <row r="152">
      <c r="A152" s="154">
        <v>44204.98402777778</v>
      </c>
      <c r="B152" s="141" t="s">
        <v>296</v>
      </c>
      <c r="C152" s="128">
        <v>978.3692763865275</v>
      </c>
      <c r="D152" s="128">
        <v>12.0</v>
      </c>
      <c r="E152" s="142">
        <v>981.9898225996519</v>
      </c>
      <c r="F152" s="44" t="s">
        <v>107</v>
      </c>
      <c r="G152" s="128">
        <v>978.7730767163843</v>
      </c>
      <c r="H152" s="128">
        <v>17.0</v>
      </c>
      <c r="I152" s="128">
        <v>982.486820468689</v>
      </c>
      <c r="J152" s="141" t="s">
        <v>47</v>
      </c>
      <c r="K152" s="128">
        <v>1009.6881600608114</v>
      </c>
      <c r="L152" s="128">
        <v>15.0</v>
      </c>
      <c r="M152" s="142">
        <v>1013.3325901794493</v>
      </c>
      <c r="N152" s="44" t="s">
        <v>23</v>
      </c>
      <c r="O152" s="128">
        <v>1117.3557607398288</v>
      </c>
      <c r="P152" s="128">
        <v>36.0</v>
      </c>
      <c r="Q152" s="128">
        <v>1121.377040655762</v>
      </c>
      <c r="R152" s="148"/>
      <c r="U152" s="149"/>
      <c r="V152" s="44" t="s">
        <v>112</v>
      </c>
      <c r="W152" s="128">
        <v>993.2777117358465</v>
      </c>
      <c r="X152" s="128">
        <v>20.0</v>
      </c>
      <c r="Y152" s="128">
        <v>989.5521400736437</v>
      </c>
      <c r="Z152" s="141" t="s">
        <v>92</v>
      </c>
      <c r="AA152" s="128">
        <v>999.5921588831762</v>
      </c>
      <c r="AB152" s="128">
        <v>20.0</v>
      </c>
      <c r="AC152" s="142">
        <v>995.8607666719934</v>
      </c>
      <c r="AD152" s="44" t="s">
        <v>345</v>
      </c>
      <c r="AE152" s="128">
        <v>1000.0</v>
      </c>
      <c r="AF152" s="128">
        <v>21.0</v>
      </c>
      <c r="AG152" s="128">
        <v>996.2870098086316</v>
      </c>
      <c r="AH152" s="141" t="s">
        <v>317</v>
      </c>
      <c r="AI152" s="128">
        <v>1005.7554639748608</v>
      </c>
      <c r="AJ152" s="128">
        <v>15.0</v>
      </c>
      <c r="AK152" s="142">
        <v>1001.9254180396149</v>
      </c>
      <c r="AP152" s="143">
        <v>16.0</v>
      </c>
      <c r="AQ152" s="128">
        <v>12.0</v>
      </c>
      <c r="AR152" s="44" t="s">
        <v>346</v>
      </c>
      <c r="AS152" s="44" t="s">
        <v>229</v>
      </c>
      <c r="AT152" s="44">
        <v>151.0</v>
      </c>
      <c r="AU152" s="44"/>
      <c r="AW152" s="93"/>
      <c r="AY152" s="93"/>
      <c r="AZ152" s="93"/>
      <c r="BA152" s="93"/>
      <c r="BB152" s="155"/>
      <c r="BC152" s="93"/>
      <c r="BE152" s="93"/>
      <c r="BG152" s="93"/>
      <c r="BH152" s="93"/>
      <c r="BI152" s="93"/>
      <c r="BJ152" s="155"/>
      <c r="BK152" s="93"/>
    </row>
    <row r="153">
      <c r="A153" s="154">
        <v>44205.02777777778</v>
      </c>
      <c r="B153" s="141" t="s">
        <v>107</v>
      </c>
      <c r="C153" s="128">
        <v>982.486820468689</v>
      </c>
      <c r="D153" s="128">
        <v>15.0</v>
      </c>
      <c r="E153" s="142">
        <v>984.4494577687748</v>
      </c>
      <c r="F153" s="44" t="s">
        <v>98</v>
      </c>
      <c r="G153" s="128">
        <v>988.1930394524145</v>
      </c>
      <c r="H153" s="128">
        <v>20.0</v>
      </c>
      <c r="I153" s="128">
        <v>990.2021109658737</v>
      </c>
      <c r="J153" s="141" t="s">
        <v>112</v>
      </c>
      <c r="K153" s="128">
        <v>989.5521400736437</v>
      </c>
      <c r="L153" s="128">
        <v>21.0</v>
      </c>
      <c r="M153" s="142">
        <v>991.570415440025</v>
      </c>
      <c r="N153" s="44" t="s">
        <v>23</v>
      </c>
      <c r="O153" s="128">
        <v>1121.377040655762</v>
      </c>
      <c r="P153" s="128">
        <v>22.0</v>
      </c>
      <c r="Q153" s="128">
        <v>1123.3870564758356</v>
      </c>
      <c r="R153" s="148"/>
      <c r="U153" s="149"/>
      <c r="V153" s="44" t="s">
        <v>92</v>
      </c>
      <c r="W153" s="128">
        <v>995.8607666719934</v>
      </c>
      <c r="X153" s="128">
        <v>27.0</v>
      </c>
      <c r="Y153" s="128">
        <v>993.945669131622</v>
      </c>
      <c r="Z153" s="141" t="s">
        <v>345</v>
      </c>
      <c r="AA153" s="128">
        <v>996.2870098086316</v>
      </c>
      <c r="AB153" s="128">
        <v>12.0</v>
      </c>
      <c r="AC153" s="142">
        <v>994.2217077285106</v>
      </c>
      <c r="AD153" s="44" t="s">
        <v>340</v>
      </c>
      <c r="AE153" s="128">
        <v>1001.4588581811088</v>
      </c>
      <c r="AF153" s="128">
        <v>13.0</v>
      </c>
      <c r="AG153" s="128">
        <v>999.4012248049959</v>
      </c>
      <c r="AH153" s="141" t="s">
        <v>47</v>
      </c>
      <c r="AI153" s="128">
        <v>1013.3325901794493</v>
      </c>
      <c r="AJ153" s="128">
        <v>23.0</v>
      </c>
      <c r="AK153" s="142">
        <v>1011.3706231760546</v>
      </c>
      <c r="AP153" s="143">
        <v>15.0</v>
      </c>
      <c r="AQ153" s="128">
        <v>13.0</v>
      </c>
      <c r="AS153" s="44" t="s">
        <v>232</v>
      </c>
      <c r="AT153" s="44">
        <v>152.0</v>
      </c>
      <c r="AU153" s="44"/>
      <c r="AW153" s="93"/>
      <c r="AY153" s="93"/>
      <c r="AZ153" s="93"/>
      <c r="BA153" s="93"/>
      <c r="BB153" s="155"/>
      <c r="BC153" s="93"/>
      <c r="BE153" s="93"/>
      <c r="BG153" s="93"/>
      <c r="BH153" s="93"/>
      <c r="BI153" s="93"/>
      <c r="BJ153" s="155"/>
      <c r="BK153" s="93"/>
    </row>
    <row r="154">
      <c r="A154" s="154">
        <v>44205.06875</v>
      </c>
      <c r="B154" s="141" t="s">
        <v>107</v>
      </c>
      <c r="C154" s="128">
        <v>984.4494577687748</v>
      </c>
      <c r="D154" s="128">
        <v>10.0</v>
      </c>
      <c r="E154" s="142">
        <v>975.5518323572352</v>
      </c>
      <c r="F154" s="44" t="s">
        <v>98</v>
      </c>
      <c r="G154" s="128">
        <v>990.2021109658737</v>
      </c>
      <c r="H154" s="128">
        <v>10.0</v>
      </c>
      <c r="I154" s="128">
        <v>981.2923559218175</v>
      </c>
      <c r="J154" s="141" t="s">
        <v>23</v>
      </c>
      <c r="K154" s="128">
        <v>1123.3870564758356</v>
      </c>
      <c r="L154" s="128">
        <v>28.0</v>
      </c>
      <c r="M154" s="142">
        <v>1115.1944369314313</v>
      </c>
      <c r="R154" s="148"/>
      <c r="U154" s="149"/>
      <c r="V154" s="44" t="s">
        <v>112</v>
      </c>
      <c r="W154" s="128">
        <v>991.570415440025</v>
      </c>
      <c r="X154" s="128">
        <v>17.0</v>
      </c>
      <c r="Y154" s="128">
        <v>1000.065167909005</v>
      </c>
      <c r="Z154" s="141" t="s">
        <v>92</v>
      </c>
      <c r="AA154" s="128">
        <v>993.945669131622</v>
      </c>
      <c r="AB154" s="128">
        <v>24.0</v>
      </c>
      <c r="AC154" s="142">
        <v>1002.7377217685189</v>
      </c>
      <c r="AD154" s="44" t="s">
        <v>47</v>
      </c>
      <c r="AE154" s="128">
        <v>1011.3706231760546</v>
      </c>
      <c r="AF154" s="128">
        <v>23.0</v>
      </c>
      <c r="AG154" s="128">
        <v>1020.0838180701777</v>
      </c>
      <c r="AH154" s="148"/>
      <c r="AK154" s="149"/>
      <c r="AP154" s="143">
        <v>10.0</v>
      </c>
      <c r="AQ154" s="128">
        <v>18.0</v>
      </c>
      <c r="AR154" s="44" t="s">
        <v>347</v>
      </c>
      <c r="AS154" s="44" t="s">
        <v>271</v>
      </c>
      <c r="AT154" s="44">
        <v>153.0</v>
      </c>
      <c r="AU154" s="44"/>
      <c r="AW154" s="93"/>
      <c r="AY154" s="93"/>
      <c r="AZ154" s="93"/>
      <c r="BA154" s="93"/>
      <c r="BB154" s="155"/>
      <c r="BC154" s="93"/>
      <c r="BE154" s="93"/>
      <c r="BG154" s="93"/>
      <c r="BH154" s="93"/>
      <c r="BI154" s="93"/>
      <c r="BJ154" s="155"/>
      <c r="BK154" s="93"/>
    </row>
    <row r="155">
      <c r="A155" s="154">
        <v>44205.944444444445</v>
      </c>
      <c r="B155" s="141" t="s">
        <v>228</v>
      </c>
      <c r="C155" s="128">
        <v>968.7624746644843</v>
      </c>
      <c r="D155" s="128">
        <v>23.0</v>
      </c>
      <c r="E155" s="142">
        <v>976.6833990335766</v>
      </c>
      <c r="F155" s="44" t="s">
        <v>27</v>
      </c>
      <c r="G155" s="128">
        <v>992.2805425945588</v>
      </c>
      <c r="H155" s="128">
        <v>23.0</v>
      </c>
      <c r="I155" s="128">
        <v>1000.1100077010104</v>
      </c>
      <c r="J155" s="141" t="s">
        <v>112</v>
      </c>
      <c r="K155" s="128">
        <v>1000.065167909005</v>
      </c>
      <c r="L155" s="128">
        <v>30.0</v>
      </c>
      <c r="M155" s="142">
        <v>1008.1521100963262</v>
      </c>
      <c r="N155" s="44" t="s">
        <v>47</v>
      </c>
      <c r="O155" s="128">
        <v>1020.0838180701777</v>
      </c>
      <c r="P155" s="128">
        <v>39.0</v>
      </c>
      <c r="Q155" s="128">
        <v>1028.4898317563473</v>
      </c>
      <c r="R155" s="141" t="s">
        <v>236</v>
      </c>
      <c r="S155" s="128">
        <v>1027.2389235477674</v>
      </c>
      <c r="T155" s="128">
        <v>23.0</v>
      </c>
      <c r="U155" s="142">
        <v>1034.9955781987328</v>
      </c>
      <c r="V155" s="44" t="s">
        <v>224</v>
      </c>
      <c r="W155" s="128">
        <v>917.4823093758763</v>
      </c>
      <c r="X155" s="128">
        <v>4.0</v>
      </c>
      <c r="Y155" s="128">
        <v>909.2365334203458</v>
      </c>
      <c r="Z155" s="141" t="s">
        <v>296</v>
      </c>
      <c r="AA155" s="128">
        <v>981.9898225996519</v>
      </c>
      <c r="AB155" s="128">
        <v>4.0</v>
      </c>
      <c r="AC155" s="142">
        <v>973.5441010482673</v>
      </c>
      <c r="AD155" s="44" t="s">
        <v>345</v>
      </c>
      <c r="AE155" s="128">
        <v>994.2217077285106</v>
      </c>
      <c r="AF155" s="128">
        <v>10.0</v>
      </c>
      <c r="AG155" s="128">
        <v>985.9920224696584</v>
      </c>
      <c r="AH155" s="141" t="s">
        <v>340</v>
      </c>
      <c r="AI155" s="128">
        <v>999.4012248049959</v>
      </c>
      <c r="AJ155" s="128">
        <v>17.0</v>
      </c>
      <c r="AK155" s="142">
        <v>991.4430559772214</v>
      </c>
      <c r="AL155" s="44" t="s">
        <v>23</v>
      </c>
      <c r="AM155" s="128">
        <v>1115.1944369314313</v>
      </c>
      <c r="AN155" s="128">
        <v>39.0</v>
      </c>
      <c r="AO155" s="128">
        <v>1108.073788524973</v>
      </c>
      <c r="AP155" s="143">
        <v>19.0</v>
      </c>
      <c r="AQ155" s="128">
        <v>9.0</v>
      </c>
      <c r="AS155" s="44" t="s">
        <v>229</v>
      </c>
      <c r="AT155" s="44">
        <v>154.0</v>
      </c>
      <c r="AU155" s="44"/>
      <c r="AW155" s="93"/>
      <c r="AY155" s="93"/>
      <c r="AZ155" s="93"/>
      <c r="BA155" s="93"/>
      <c r="BB155" s="155"/>
      <c r="BC155" s="93"/>
      <c r="BD155" s="44" t="s">
        <v>306</v>
      </c>
      <c r="BE155" s="145">
        <v>958.8899343558635</v>
      </c>
      <c r="BF155" s="44">
        <v>5.0</v>
      </c>
      <c r="BG155" s="145">
        <v>950.869934355864</v>
      </c>
      <c r="BH155" s="145"/>
      <c r="BI155" s="145"/>
      <c r="BJ155" s="146"/>
      <c r="BK155" s="145"/>
    </row>
    <row r="156">
      <c r="A156" s="154">
        <v>44205.99652777778</v>
      </c>
      <c r="B156" s="141" t="s">
        <v>98</v>
      </c>
      <c r="C156" s="128">
        <v>981.2923559218175</v>
      </c>
      <c r="D156" s="128">
        <v>12.0</v>
      </c>
      <c r="E156" s="142">
        <v>981.2923559218175</v>
      </c>
      <c r="F156" s="44" t="s">
        <v>27</v>
      </c>
      <c r="G156" s="128">
        <v>1000.1100077010104</v>
      </c>
      <c r="H156" s="128">
        <v>18.0</v>
      </c>
      <c r="I156" s="128">
        <v>1000.1100077010104</v>
      </c>
      <c r="J156" s="141" t="s">
        <v>92</v>
      </c>
      <c r="K156" s="128">
        <v>1002.7377217685189</v>
      </c>
      <c r="L156" s="128">
        <v>27.0</v>
      </c>
      <c r="M156" s="142">
        <v>1002.7377217685189</v>
      </c>
      <c r="N156" s="44" t="s">
        <v>47</v>
      </c>
      <c r="O156" s="128">
        <v>1028.4898317563473</v>
      </c>
      <c r="P156" s="128">
        <v>22.0</v>
      </c>
      <c r="Q156" s="128">
        <v>1028.4898317563473</v>
      </c>
      <c r="R156" s="148"/>
      <c r="U156" s="149"/>
      <c r="V156" s="44" t="s">
        <v>224</v>
      </c>
      <c r="W156" s="128">
        <v>909.2365334203458</v>
      </c>
      <c r="X156" s="128">
        <v>11.0</v>
      </c>
      <c r="Y156" s="128">
        <v>909.2365334203458</v>
      </c>
      <c r="Z156" s="141" t="s">
        <v>345</v>
      </c>
      <c r="AA156" s="128">
        <v>985.9920224696584</v>
      </c>
      <c r="AB156" s="128">
        <v>19.0</v>
      </c>
      <c r="AC156" s="142">
        <v>985.9920224696584</v>
      </c>
      <c r="AD156" s="44" t="s">
        <v>112</v>
      </c>
      <c r="AE156" s="128">
        <v>1008.1521100963262</v>
      </c>
      <c r="AF156" s="128">
        <v>25.0</v>
      </c>
      <c r="AG156" s="128">
        <v>1008.1521100963262</v>
      </c>
      <c r="AH156" s="141" t="s">
        <v>23</v>
      </c>
      <c r="AI156" s="128">
        <v>1108.073788524973</v>
      </c>
      <c r="AJ156" s="128">
        <v>24.0</v>
      </c>
      <c r="AK156" s="142">
        <v>1108.073788524973</v>
      </c>
      <c r="AP156" s="143">
        <v>14.0</v>
      </c>
      <c r="AQ156" s="128">
        <v>14.0</v>
      </c>
      <c r="AS156" s="44" t="s">
        <v>253</v>
      </c>
      <c r="AT156" s="44">
        <v>155.0</v>
      </c>
      <c r="AU156" s="44"/>
      <c r="AW156" s="93"/>
      <c r="AY156" s="93"/>
      <c r="AZ156" s="93"/>
      <c r="BA156" s="93"/>
      <c r="BB156" s="155"/>
      <c r="BC156" s="93"/>
      <c r="BE156" s="93"/>
      <c r="BG156" s="93"/>
      <c r="BH156" s="93"/>
      <c r="BI156" s="93"/>
      <c r="BJ156" s="155"/>
      <c r="BK156" s="93"/>
    </row>
    <row r="157">
      <c r="A157" s="154">
        <v>44206.03888888889</v>
      </c>
      <c r="B157" s="141" t="s">
        <v>27</v>
      </c>
      <c r="C157" s="128">
        <v>1000.1100077010104</v>
      </c>
      <c r="D157" s="128">
        <v>12.0</v>
      </c>
      <c r="E157" s="142">
        <v>1010.5161981598498</v>
      </c>
      <c r="F157" s="44" t="s">
        <v>92</v>
      </c>
      <c r="G157" s="128">
        <v>1002.7377217685189</v>
      </c>
      <c r="H157" s="128">
        <v>22.0</v>
      </c>
      <c r="I157" s="128">
        <v>1013.686516577758</v>
      </c>
      <c r="J157" s="141" t="s">
        <v>23</v>
      </c>
      <c r="K157" s="128">
        <v>1108.073788524973</v>
      </c>
      <c r="L157" s="128">
        <v>36.0</v>
      </c>
      <c r="M157" s="142">
        <v>1119.7188032568945</v>
      </c>
      <c r="R157" s="148"/>
      <c r="U157" s="149"/>
      <c r="V157" s="44" t="s">
        <v>112</v>
      </c>
      <c r="W157" s="128">
        <v>1008.1521100963262</v>
      </c>
      <c r="X157" s="128">
        <v>15.0</v>
      </c>
      <c r="Y157" s="128">
        <v>997.1616060601019</v>
      </c>
      <c r="Z157" s="141" t="s">
        <v>248</v>
      </c>
      <c r="AA157" s="128">
        <v>1011.9362479554644</v>
      </c>
      <c r="AB157" s="128">
        <v>12.0</v>
      </c>
      <c r="AC157" s="142">
        <v>1000.7752906636653</v>
      </c>
      <c r="AD157" s="44" t="s">
        <v>47</v>
      </c>
      <c r="AE157" s="128">
        <v>1028.4898317563473</v>
      </c>
      <c r="AF157" s="128">
        <v>18.0</v>
      </c>
      <c r="AG157" s="128">
        <v>1017.6412930843707</v>
      </c>
      <c r="AH157" s="148"/>
      <c r="AK157" s="149"/>
      <c r="AP157" s="143">
        <v>22.0</v>
      </c>
      <c r="AQ157" s="128">
        <v>6.0</v>
      </c>
      <c r="AR157" s="44" t="s">
        <v>348</v>
      </c>
      <c r="AS157" s="44" t="s">
        <v>337</v>
      </c>
      <c r="AT157" s="44">
        <v>156.0</v>
      </c>
      <c r="AU157" s="44"/>
      <c r="AW157" s="93"/>
      <c r="AY157" s="93"/>
      <c r="AZ157" s="93"/>
      <c r="BA157" s="93"/>
      <c r="BB157" s="155"/>
      <c r="BC157" s="93"/>
      <c r="BE157" s="93"/>
      <c r="BG157" s="93"/>
      <c r="BH157" s="93"/>
      <c r="BI157" s="93"/>
      <c r="BJ157" s="155"/>
      <c r="BK157" s="93"/>
    </row>
    <row r="158">
      <c r="A158" s="154">
        <v>44206.90416666667</v>
      </c>
      <c r="B158" s="141" t="s">
        <v>349</v>
      </c>
      <c r="C158" s="128">
        <v>1000.0</v>
      </c>
      <c r="D158" s="128">
        <v>12.0</v>
      </c>
      <c r="E158" s="142">
        <v>994.5864680209284</v>
      </c>
      <c r="F158" s="44" t="s">
        <v>47</v>
      </c>
      <c r="G158" s="128">
        <v>1017.6412930843707</v>
      </c>
      <c r="H158" s="128">
        <v>20.0</v>
      </c>
      <c r="I158" s="128">
        <v>1012.428129455483</v>
      </c>
      <c r="J158" s="141" t="s">
        <v>78</v>
      </c>
      <c r="K158" s="128">
        <v>1017.8900382459883</v>
      </c>
      <c r="L158" s="128">
        <v>14.0</v>
      </c>
      <c r="M158" s="142">
        <v>1012.5167338539476</v>
      </c>
      <c r="R158" s="148"/>
      <c r="U158" s="149"/>
      <c r="V158" s="44" t="s">
        <v>340</v>
      </c>
      <c r="W158" s="128">
        <v>991.4430559772214</v>
      </c>
      <c r="X158" s="128">
        <v>10.0</v>
      </c>
      <c r="Y158" s="128">
        <v>996.5102987775387</v>
      </c>
      <c r="Z158" s="141" t="s">
        <v>112</v>
      </c>
      <c r="AA158" s="128">
        <v>997.1616060601019</v>
      </c>
      <c r="AB158" s="128">
        <v>21.0</v>
      </c>
      <c r="AC158" s="142">
        <v>1002.5141685930206</v>
      </c>
      <c r="AD158" s="44" t="s">
        <v>23</v>
      </c>
      <c r="AE158" s="128">
        <v>1119.7188032568945</v>
      </c>
      <c r="AF158" s="128">
        <v>31.0</v>
      </c>
      <c r="AG158" s="128">
        <v>1125.2989979236586</v>
      </c>
      <c r="AH158" s="148"/>
      <c r="AK158" s="149"/>
      <c r="AP158" s="143">
        <v>12.0</v>
      </c>
      <c r="AQ158" s="128">
        <v>16.0</v>
      </c>
      <c r="AR158" s="44" t="s">
        <v>350</v>
      </c>
      <c r="AS158" s="44" t="s">
        <v>229</v>
      </c>
      <c r="AT158" s="44">
        <v>157.0</v>
      </c>
      <c r="AU158" s="44"/>
      <c r="AW158" s="93"/>
      <c r="AY158" s="93"/>
      <c r="AZ158" s="93"/>
      <c r="BA158" s="93"/>
      <c r="BB158" s="155"/>
      <c r="BC158" s="93"/>
      <c r="BE158" s="93"/>
      <c r="BG158" s="93"/>
      <c r="BH158" s="93"/>
      <c r="BI158" s="93"/>
      <c r="BJ158" s="155"/>
      <c r="BK158" s="93"/>
    </row>
    <row r="159">
      <c r="A159" s="154">
        <v>44206.95</v>
      </c>
      <c r="B159" s="141" t="s">
        <v>245</v>
      </c>
      <c r="C159" s="128">
        <v>1011.8573926516078</v>
      </c>
      <c r="D159" s="128">
        <v>22.0</v>
      </c>
      <c r="E159" s="142">
        <v>1017.6225231785089</v>
      </c>
      <c r="F159" s="44" t="s">
        <v>47</v>
      </c>
      <c r="G159" s="128">
        <v>1012.428129455483</v>
      </c>
      <c r="H159" s="128">
        <v>28.0</v>
      </c>
      <c r="I159" s="128">
        <v>1018.3651900944062</v>
      </c>
      <c r="J159" s="141" t="s">
        <v>78</v>
      </c>
      <c r="K159" s="128">
        <v>1012.5167338539476</v>
      </c>
      <c r="L159" s="128">
        <v>17.0</v>
      </c>
      <c r="M159" s="142">
        <v>1018.1374568290997</v>
      </c>
      <c r="N159" s="44" t="s">
        <v>92</v>
      </c>
      <c r="O159" s="128">
        <v>1013.686516577758</v>
      </c>
      <c r="P159" s="128">
        <v>19.0</v>
      </c>
      <c r="Q159" s="128">
        <v>1019.3636024367814</v>
      </c>
      <c r="R159" s="148"/>
      <c r="U159" s="149"/>
      <c r="V159" s="44" t="s">
        <v>296</v>
      </c>
      <c r="W159" s="128">
        <v>973.5441010482673</v>
      </c>
      <c r="X159" s="128">
        <v>5.0</v>
      </c>
      <c r="Y159" s="128">
        <v>967.4784780803367</v>
      </c>
      <c r="Z159" s="141" t="s">
        <v>340</v>
      </c>
      <c r="AA159" s="128">
        <v>996.5102987775387</v>
      </c>
      <c r="AB159" s="128">
        <v>22.0</v>
      </c>
      <c r="AC159" s="142">
        <v>990.899071831971</v>
      </c>
      <c r="AD159" s="44" t="s">
        <v>112</v>
      </c>
      <c r="AE159" s="128">
        <v>1002.5141685930206</v>
      </c>
      <c r="AF159" s="128">
        <v>21.0</v>
      </c>
      <c r="AG159" s="128">
        <v>996.8674165475885</v>
      </c>
      <c r="AH159" s="141" t="s">
        <v>23</v>
      </c>
      <c r="AI159" s="128">
        <v>1125.2989979236586</v>
      </c>
      <c r="AJ159" s="128">
        <v>21.0</v>
      </c>
      <c r="AK159" s="142">
        <v>1119.622599882589</v>
      </c>
      <c r="AP159" s="143">
        <v>17.0</v>
      </c>
      <c r="AQ159" s="128">
        <v>11.0</v>
      </c>
      <c r="AR159" s="44" t="s">
        <v>351</v>
      </c>
      <c r="AS159" s="44" t="s">
        <v>266</v>
      </c>
      <c r="AT159" s="44">
        <v>158.0</v>
      </c>
      <c r="AU159" s="44"/>
      <c r="AW159" s="93"/>
      <c r="AY159" s="93"/>
      <c r="AZ159" s="93"/>
      <c r="BA159" s="93"/>
      <c r="BB159" s="155"/>
      <c r="BC159" s="93"/>
      <c r="BE159" s="93"/>
      <c r="BG159" s="93"/>
      <c r="BH159" s="93"/>
      <c r="BI159" s="93"/>
      <c r="BJ159" s="155"/>
      <c r="BK159" s="93"/>
    </row>
    <row r="160">
      <c r="A160" s="154">
        <v>44207.99375</v>
      </c>
      <c r="B160" s="141" t="s">
        <v>245</v>
      </c>
      <c r="C160" s="128">
        <v>1017.6225231785089</v>
      </c>
      <c r="D160" s="128">
        <v>27.0</v>
      </c>
      <c r="E160" s="142">
        <v>1025.1889178949566</v>
      </c>
      <c r="F160" s="44" t="s">
        <v>47</v>
      </c>
      <c r="G160" s="128">
        <v>1018.3651900944062</v>
      </c>
      <c r="H160" s="128">
        <v>14.0</v>
      </c>
      <c r="I160" s="128">
        <v>1025.4541572287417</v>
      </c>
      <c r="J160" s="141" t="s">
        <v>92</v>
      </c>
      <c r="K160" s="128">
        <v>1019.3636024367814</v>
      </c>
      <c r="L160" s="128">
        <v>21.0</v>
      </c>
      <c r="M160" s="142">
        <v>1026.7082405859985</v>
      </c>
      <c r="R160" s="148"/>
      <c r="U160" s="149"/>
      <c r="V160" s="44" t="s">
        <v>228</v>
      </c>
      <c r="W160" s="128">
        <v>976.6833990335766</v>
      </c>
      <c r="X160" s="128">
        <v>10.0</v>
      </c>
      <c r="Y160" s="128">
        <v>969.2132190511821</v>
      </c>
      <c r="Z160" s="141" t="s">
        <v>112</v>
      </c>
      <c r="AA160" s="128">
        <v>996.8674165475885</v>
      </c>
      <c r="AB160" s="128">
        <v>15.0</v>
      </c>
      <c r="AC160" s="142">
        <v>989.5486783092977</v>
      </c>
      <c r="AD160" s="44" t="s">
        <v>23</v>
      </c>
      <c r="AE160" s="128">
        <v>1119.622599882589</v>
      </c>
      <c r="AF160" s="128">
        <v>19.0</v>
      </c>
      <c r="AG160" s="128">
        <v>1112.4115181032744</v>
      </c>
      <c r="AH160" s="148"/>
      <c r="AK160" s="149"/>
      <c r="AP160" s="143">
        <v>18.0</v>
      </c>
      <c r="AQ160" s="128">
        <v>10.0</v>
      </c>
      <c r="AR160" s="44" t="s">
        <v>352</v>
      </c>
      <c r="AS160" s="44" t="s">
        <v>229</v>
      </c>
      <c r="AT160" s="44">
        <v>159.0</v>
      </c>
      <c r="AU160" s="44"/>
      <c r="AW160" s="93"/>
      <c r="AY160" s="93"/>
      <c r="AZ160" s="93"/>
      <c r="BA160" s="93"/>
      <c r="BB160" s="155"/>
      <c r="BC160" s="93"/>
      <c r="BE160" s="93"/>
      <c r="BG160" s="93"/>
      <c r="BH160" s="93"/>
      <c r="BI160" s="93"/>
      <c r="BJ160" s="155"/>
      <c r="BK160" s="93"/>
    </row>
    <row r="161">
      <c r="A161" s="154">
        <v>44207.02569444444</v>
      </c>
      <c r="B161" s="141" t="s">
        <v>245</v>
      </c>
      <c r="C161" s="128">
        <v>1025.1889178949566</v>
      </c>
      <c r="D161" s="128">
        <v>27.0</v>
      </c>
      <c r="E161" s="142">
        <v>1043.594201075728</v>
      </c>
      <c r="F161" s="44" t="s">
        <v>47</v>
      </c>
      <c r="G161" s="128">
        <v>1025.4541572287417</v>
      </c>
      <c r="H161" s="128">
        <v>18.0</v>
      </c>
      <c r="I161" s="128">
        <v>1043.0488740479702</v>
      </c>
      <c r="J161" s="148"/>
      <c r="M161" s="149"/>
      <c r="R161" s="148"/>
      <c r="U161" s="149"/>
      <c r="V161" s="44" t="s">
        <v>112</v>
      </c>
      <c r="W161" s="128">
        <v>989.5486783092977</v>
      </c>
      <c r="X161" s="128">
        <v>14.0</v>
      </c>
      <c r="Y161" s="128">
        <v>971.7225528048159</v>
      </c>
      <c r="Z161" s="141" t="s">
        <v>92</v>
      </c>
      <c r="AA161" s="128">
        <v>1026.7082405859985</v>
      </c>
      <c r="AB161" s="128">
        <v>11.0</v>
      </c>
      <c r="AC161" s="142">
        <v>1008.5343660904803</v>
      </c>
      <c r="AH161" s="148"/>
      <c r="AK161" s="149"/>
      <c r="AP161" s="143">
        <v>19.0</v>
      </c>
      <c r="AQ161" s="128">
        <v>9.0</v>
      </c>
      <c r="AS161" s="44" t="s">
        <v>229</v>
      </c>
      <c r="AT161" s="44">
        <v>160.0</v>
      </c>
      <c r="AU161" s="44"/>
      <c r="AW161" s="93"/>
      <c r="AY161" s="93"/>
      <c r="AZ161" s="93"/>
      <c r="BA161" s="93"/>
      <c r="BB161" s="155"/>
      <c r="BC161" s="93"/>
      <c r="BE161" s="93"/>
      <c r="BG161" s="93"/>
      <c r="BH161" s="93"/>
      <c r="BI161" s="93"/>
      <c r="BJ161" s="155"/>
      <c r="BK161" s="93"/>
    </row>
    <row r="162">
      <c r="A162" s="154">
        <v>44207.90138888889</v>
      </c>
      <c r="B162" s="141" t="s">
        <v>224</v>
      </c>
      <c r="C162" s="128">
        <v>909.2365334203458</v>
      </c>
      <c r="D162" s="128">
        <v>12.0</v>
      </c>
      <c r="E162" s="142">
        <v>902.5652102949888</v>
      </c>
      <c r="F162" s="44" t="s">
        <v>27</v>
      </c>
      <c r="G162" s="128">
        <v>1010.5161981598498</v>
      </c>
      <c r="H162" s="128">
        <v>25.0</v>
      </c>
      <c r="I162" s="128">
        <v>1004.0296535365974</v>
      </c>
      <c r="J162" s="141" t="s">
        <v>47</v>
      </c>
      <c r="K162" s="128">
        <v>1043.0488740479702</v>
      </c>
      <c r="L162" s="128">
        <v>15.0</v>
      </c>
      <c r="M162" s="142">
        <v>1036.2067417965798</v>
      </c>
      <c r="R162" s="148"/>
      <c r="U162" s="149"/>
      <c r="V162" s="44" t="s">
        <v>112</v>
      </c>
      <c r="W162" s="128">
        <v>971.7225528048159</v>
      </c>
      <c r="X162" s="128">
        <v>21.0</v>
      </c>
      <c r="Y162" s="128">
        <v>978.458496735163</v>
      </c>
      <c r="Z162" s="141" t="s">
        <v>115</v>
      </c>
      <c r="AA162" s="128">
        <v>997.2895238496776</v>
      </c>
      <c r="AB162" s="128">
        <v>15.0</v>
      </c>
      <c r="AC162" s="142">
        <v>1003.7742110690809</v>
      </c>
      <c r="AD162" s="44" t="s">
        <v>248</v>
      </c>
      <c r="AE162" s="128">
        <v>1000.7752906636653</v>
      </c>
      <c r="AF162" s="128">
        <v>24.0</v>
      </c>
      <c r="AG162" s="128">
        <v>1007.5546595139149</v>
      </c>
      <c r="AH162" s="148"/>
      <c r="AK162" s="149"/>
      <c r="AP162" s="143">
        <v>11.0</v>
      </c>
      <c r="AQ162" s="128">
        <v>17.0</v>
      </c>
      <c r="AS162" s="44" t="s">
        <v>229</v>
      </c>
      <c r="AT162" s="44">
        <v>161.0</v>
      </c>
      <c r="AU162" s="44"/>
      <c r="AW162" s="93"/>
      <c r="AY162" s="93"/>
      <c r="AZ162" s="93"/>
      <c r="BA162" s="93"/>
      <c r="BB162" s="155"/>
      <c r="BC162" s="93"/>
      <c r="BE162" s="93"/>
      <c r="BG162" s="93"/>
      <c r="BH162" s="93"/>
      <c r="BI162" s="93"/>
      <c r="BJ162" s="155"/>
      <c r="BK162" s="93"/>
    </row>
    <row r="163">
      <c r="A163" s="154">
        <v>44207.941666666666</v>
      </c>
      <c r="B163" s="141" t="s">
        <v>224</v>
      </c>
      <c r="C163" s="128">
        <v>902.5652102949888</v>
      </c>
      <c r="D163" s="128">
        <v>7.0</v>
      </c>
      <c r="E163" s="142">
        <v>897.4475836307656</v>
      </c>
      <c r="F163" s="44" t="s">
        <v>340</v>
      </c>
      <c r="G163" s="128">
        <v>990.899071831971</v>
      </c>
      <c r="H163" s="128">
        <v>19.0</v>
      </c>
      <c r="I163" s="128">
        <v>985.8965920142708</v>
      </c>
      <c r="J163" s="141" t="s">
        <v>27</v>
      </c>
      <c r="K163" s="128">
        <v>1004.0296535365974</v>
      </c>
      <c r="L163" s="128">
        <v>30.0</v>
      </c>
      <c r="M163" s="142">
        <v>999.2875100585243</v>
      </c>
      <c r="N163" s="44" t="s">
        <v>47</v>
      </c>
      <c r="O163" s="128">
        <v>1036.2067417965798</v>
      </c>
      <c r="P163" s="128">
        <v>15.0</v>
      </c>
      <c r="Q163" s="128">
        <v>1031.0689917565762</v>
      </c>
      <c r="R163" s="148"/>
      <c r="U163" s="149"/>
      <c r="V163" s="44" t="s">
        <v>296</v>
      </c>
      <c r="W163" s="128">
        <v>967.4784780803367</v>
      </c>
      <c r="X163" s="128">
        <v>13.0</v>
      </c>
      <c r="Y163" s="128">
        <v>972.3327357862046</v>
      </c>
      <c r="Z163" s="141" t="s">
        <v>107</v>
      </c>
      <c r="AA163" s="128">
        <v>975.5518323572352</v>
      </c>
      <c r="AB163" s="128">
        <v>17.0</v>
      </c>
      <c r="AC163" s="142">
        <v>980.4913328691055</v>
      </c>
      <c r="AD163" s="44" t="s">
        <v>112</v>
      </c>
      <c r="AE163" s="128">
        <v>978.458496735163</v>
      </c>
      <c r="AF163" s="128">
        <v>26.0</v>
      </c>
      <c r="AG163" s="128">
        <v>983.618063067966</v>
      </c>
      <c r="AH163" s="141" t="s">
        <v>248</v>
      </c>
      <c r="AI163" s="128">
        <v>1007.5546595139149</v>
      </c>
      <c r="AJ163" s="128">
        <v>23.0</v>
      </c>
      <c r="AK163" s="142">
        <v>1012.6013349633738</v>
      </c>
      <c r="AP163" s="143">
        <v>12.0</v>
      </c>
      <c r="AQ163" s="128">
        <v>16.0</v>
      </c>
      <c r="AS163" s="44" t="s">
        <v>266</v>
      </c>
      <c r="AT163" s="44">
        <v>162.0</v>
      </c>
      <c r="AU163" s="44"/>
      <c r="AW163" s="93"/>
      <c r="AY163" s="93"/>
      <c r="AZ163" s="93"/>
      <c r="BA163" s="93"/>
      <c r="BB163" s="155"/>
      <c r="BC163" s="93"/>
      <c r="BE163" s="93"/>
      <c r="BG163" s="93"/>
      <c r="BH163" s="93"/>
      <c r="BI163" s="93"/>
      <c r="BJ163" s="155"/>
      <c r="BK163" s="93"/>
    </row>
    <row r="164">
      <c r="A164" s="154">
        <v>44209.98263888889</v>
      </c>
      <c r="B164" s="141" t="s">
        <v>47</v>
      </c>
      <c r="C164" s="142">
        <v>1000.0</v>
      </c>
      <c r="D164" s="128">
        <v>18.0</v>
      </c>
      <c r="E164" s="142">
        <v>1000.0</v>
      </c>
      <c r="F164" s="141" t="s">
        <v>92</v>
      </c>
      <c r="G164" s="142">
        <v>1000.0</v>
      </c>
      <c r="H164" s="128">
        <v>29.0</v>
      </c>
      <c r="I164" s="142">
        <v>1000.0</v>
      </c>
      <c r="J164" s="141" t="s">
        <v>248</v>
      </c>
      <c r="K164" s="128">
        <v>1000.0</v>
      </c>
      <c r="L164" s="128">
        <v>32.0</v>
      </c>
      <c r="M164" s="142">
        <v>1000.0</v>
      </c>
      <c r="N164" s="44" t="s">
        <v>306</v>
      </c>
      <c r="O164" s="128">
        <v>1000.0</v>
      </c>
      <c r="P164" s="128">
        <v>1.0</v>
      </c>
      <c r="Q164" s="128">
        <v>1000.0</v>
      </c>
      <c r="R164" s="141" t="s">
        <v>123</v>
      </c>
      <c r="S164" s="128">
        <v>1000.0</v>
      </c>
      <c r="T164" s="128">
        <v>14.0</v>
      </c>
      <c r="U164" s="142">
        <v>1000.0</v>
      </c>
      <c r="V164" s="44" t="s">
        <v>23</v>
      </c>
      <c r="W164" s="128">
        <v>1000.0</v>
      </c>
      <c r="X164" s="128">
        <v>21.0</v>
      </c>
      <c r="Y164" s="128">
        <v>1000.0</v>
      </c>
      <c r="Z164" s="141" t="s">
        <v>27</v>
      </c>
      <c r="AA164" s="128">
        <v>1000.0</v>
      </c>
      <c r="AB164" s="128">
        <v>29.0</v>
      </c>
      <c r="AC164" s="142">
        <v>1000.0</v>
      </c>
      <c r="AD164" s="44" t="s">
        <v>340</v>
      </c>
      <c r="AE164" s="128">
        <v>1000.0</v>
      </c>
      <c r="AF164" s="128">
        <v>22.0</v>
      </c>
      <c r="AG164" s="128">
        <v>1000.0</v>
      </c>
      <c r="AH164" s="141" t="s">
        <v>296</v>
      </c>
      <c r="AI164" s="128">
        <v>1000.0</v>
      </c>
      <c r="AJ164" s="128">
        <v>9.0</v>
      </c>
      <c r="AK164" s="142">
        <v>1000.0</v>
      </c>
      <c r="AL164" s="44" t="s">
        <v>112</v>
      </c>
      <c r="AM164" s="128">
        <v>1000.0</v>
      </c>
      <c r="AN164" s="128">
        <v>21.0</v>
      </c>
      <c r="AO164" s="128">
        <v>1000.0</v>
      </c>
      <c r="AP164" s="141">
        <v>14.0</v>
      </c>
      <c r="AQ164" s="128">
        <v>14.0</v>
      </c>
      <c r="AS164" s="44" t="s">
        <v>266</v>
      </c>
      <c r="AT164" s="44">
        <v>163.0</v>
      </c>
      <c r="AU164" s="44"/>
      <c r="AW164" s="93"/>
      <c r="AY164" s="93"/>
      <c r="AZ164" s="93"/>
      <c r="BA164" s="93"/>
      <c r="BB164" s="155"/>
      <c r="BC164" s="93"/>
      <c r="BE164" s="93"/>
      <c r="BG164" s="93"/>
      <c r="BH164" s="93"/>
      <c r="BI164" s="93"/>
      <c r="BJ164" s="155"/>
      <c r="BK164" s="93"/>
    </row>
    <row r="165">
      <c r="A165" s="154">
        <v>44210.04722222222</v>
      </c>
      <c r="B165" s="141" t="s">
        <v>47</v>
      </c>
      <c r="C165" s="128">
        <v>1000.0</v>
      </c>
      <c r="D165" s="128">
        <v>17.0</v>
      </c>
      <c r="E165" s="142">
        <v>995.2777777777778</v>
      </c>
      <c r="F165" s="44" t="s">
        <v>107</v>
      </c>
      <c r="G165" s="128">
        <v>1000.0</v>
      </c>
      <c r="H165" s="128">
        <v>24.0</v>
      </c>
      <c r="I165" s="128">
        <v>997.2222222222222</v>
      </c>
      <c r="J165" s="141" t="s">
        <v>27</v>
      </c>
      <c r="K165" s="128">
        <v>1000.0</v>
      </c>
      <c r="L165" s="128">
        <v>20.0</v>
      </c>
      <c r="M165" s="142">
        <v>996.1111111111111</v>
      </c>
      <c r="N165" s="44" t="s">
        <v>224</v>
      </c>
      <c r="O165" s="128">
        <v>1000.0</v>
      </c>
      <c r="P165" s="128">
        <v>3.0</v>
      </c>
      <c r="Q165" s="128">
        <v>991.3888888888889</v>
      </c>
      <c r="R165" s="148"/>
      <c r="U165" s="149"/>
      <c r="V165" s="44" t="s">
        <v>112</v>
      </c>
      <c r="W165" s="128">
        <v>1000.0</v>
      </c>
      <c r="X165" s="128">
        <v>15.0</v>
      </c>
      <c r="Y165" s="128">
        <v>1004.2361111111111</v>
      </c>
      <c r="Z165" s="141" t="s">
        <v>23</v>
      </c>
      <c r="AA165" s="128">
        <v>1000.0</v>
      </c>
      <c r="AB165" s="128">
        <v>28.0</v>
      </c>
      <c r="AC165" s="142">
        <v>1007.8472222222222</v>
      </c>
      <c r="AD165" s="44" t="s">
        <v>92</v>
      </c>
      <c r="AE165" s="128">
        <v>1000.0</v>
      </c>
      <c r="AF165" s="128">
        <v>19.0</v>
      </c>
      <c r="AG165" s="128">
        <v>1005.3472222222222</v>
      </c>
      <c r="AH165" s="141" t="s">
        <v>123</v>
      </c>
      <c r="AI165" s="128">
        <v>1000.0</v>
      </c>
      <c r="AJ165" s="128">
        <v>9.0</v>
      </c>
      <c r="AK165" s="142">
        <v>1002.5694444444445</v>
      </c>
      <c r="AP165" s="143">
        <v>12.0</v>
      </c>
      <c r="AQ165" s="128">
        <v>16.0</v>
      </c>
      <c r="AR165" s="44" t="s">
        <v>353</v>
      </c>
      <c r="AS165" s="44" t="s">
        <v>229</v>
      </c>
      <c r="AT165" s="44">
        <v>164.0</v>
      </c>
      <c r="AU165" s="44"/>
      <c r="AW165" s="93"/>
      <c r="AY165" s="93"/>
      <c r="AZ165" s="93"/>
      <c r="BA165" s="93"/>
      <c r="BB165" s="155"/>
      <c r="BC165" s="93"/>
      <c r="BE165" s="93"/>
      <c r="BG165" s="93"/>
      <c r="BH165" s="93"/>
      <c r="BI165" s="93"/>
      <c r="BJ165" s="155"/>
      <c r="BK165" s="93"/>
    </row>
    <row r="166">
      <c r="A166" s="154">
        <v>44210.06180555555</v>
      </c>
      <c r="B166" s="141" t="s">
        <v>47</v>
      </c>
      <c r="C166" s="128">
        <v>995.2777777777778</v>
      </c>
      <c r="D166" s="128">
        <v>25.0</v>
      </c>
      <c r="E166" s="142">
        <v>995.2777777777778</v>
      </c>
      <c r="F166" s="44" t="s">
        <v>123</v>
      </c>
      <c r="G166" s="128">
        <v>1002.5694444444445</v>
      </c>
      <c r="H166" s="128">
        <v>18.0</v>
      </c>
      <c r="I166" s="128">
        <v>1002.5694444444445</v>
      </c>
      <c r="J166" s="141" t="s">
        <v>23</v>
      </c>
      <c r="K166" s="128">
        <v>1007.8472222222222</v>
      </c>
      <c r="L166" s="128">
        <v>25.0</v>
      </c>
      <c r="M166" s="142">
        <v>1007.8472222222222</v>
      </c>
      <c r="R166" s="148"/>
      <c r="U166" s="149"/>
      <c r="V166" s="44" t="s">
        <v>107</v>
      </c>
      <c r="W166" s="128">
        <v>997.2222222222222</v>
      </c>
      <c r="X166" s="128">
        <v>18.0</v>
      </c>
      <c r="Y166" s="128">
        <v>997.2222222222222</v>
      </c>
      <c r="Z166" s="141" t="s">
        <v>112</v>
      </c>
      <c r="AA166" s="128">
        <v>1004.2361111111111</v>
      </c>
      <c r="AB166" s="128">
        <v>20.0</v>
      </c>
      <c r="AC166" s="142">
        <v>1004.2361111111111</v>
      </c>
      <c r="AD166" s="44" t="s">
        <v>92</v>
      </c>
      <c r="AE166" s="128">
        <v>1005.3472222222222</v>
      </c>
      <c r="AF166" s="128">
        <v>16.0</v>
      </c>
      <c r="AG166" s="128">
        <v>1005.3472222222222</v>
      </c>
      <c r="AH166" s="148"/>
      <c r="AK166" s="149"/>
      <c r="AP166" s="143">
        <v>14.0</v>
      </c>
      <c r="AQ166" s="128">
        <v>14.0</v>
      </c>
      <c r="AR166" s="44" t="s">
        <v>354</v>
      </c>
      <c r="AS166" s="44" t="s">
        <v>284</v>
      </c>
      <c r="AT166" s="44">
        <v>165.0</v>
      </c>
      <c r="AU166" s="44"/>
      <c r="AW166" s="93"/>
      <c r="AY166" s="93"/>
      <c r="AZ166" s="93"/>
      <c r="BA166" s="93"/>
      <c r="BB166" s="155"/>
      <c r="BC166" s="93"/>
      <c r="BE166" s="93"/>
      <c r="BG166" s="93"/>
      <c r="BH166" s="93"/>
      <c r="BI166" s="93"/>
      <c r="BJ166" s="155"/>
      <c r="BK166" s="93"/>
    </row>
    <row r="167">
      <c r="A167" s="154">
        <v>44211.96041666667</v>
      </c>
      <c r="B167" s="141" t="s">
        <v>345</v>
      </c>
      <c r="C167" s="128">
        <v>1000.0</v>
      </c>
      <c r="D167" s="128">
        <v>21.0</v>
      </c>
      <c r="E167" s="142">
        <v>998.485792868603</v>
      </c>
      <c r="F167" s="44" t="s">
        <v>58</v>
      </c>
      <c r="G167" s="128">
        <v>1000.0</v>
      </c>
      <c r="H167" s="128">
        <v>13.0</v>
      </c>
      <c r="I167" s="128">
        <v>997.1524595352696</v>
      </c>
      <c r="J167" s="141" t="s">
        <v>228</v>
      </c>
      <c r="K167" s="128">
        <v>1000.0</v>
      </c>
      <c r="L167" s="128">
        <v>13.0</v>
      </c>
      <c r="M167" s="142">
        <v>997.1524595352696</v>
      </c>
      <c r="N167" s="44" t="s">
        <v>296</v>
      </c>
      <c r="O167" s="128">
        <v>1000.0</v>
      </c>
      <c r="P167" s="128">
        <v>12.0</v>
      </c>
      <c r="Q167" s="128">
        <v>996.985792868603</v>
      </c>
      <c r="R167" s="141" t="s">
        <v>23</v>
      </c>
      <c r="S167" s="128">
        <v>1007.8472222222222</v>
      </c>
      <c r="T167" s="128">
        <v>32.0</v>
      </c>
      <c r="U167" s="142">
        <v>1008.070717414477</v>
      </c>
      <c r="V167" s="44" t="s">
        <v>224</v>
      </c>
      <c r="W167" s="128">
        <v>991.3888888888889</v>
      </c>
      <c r="X167" s="128">
        <v>8.0</v>
      </c>
      <c r="Y167" s="128">
        <v>991.9061039259418</v>
      </c>
      <c r="Z167" s="141" t="s">
        <v>47</v>
      </c>
      <c r="AA167" s="128">
        <v>995.2777777777778</v>
      </c>
      <c r="AB167" s="128">
        <v>28.0</v>
      </c>
      <c r="AC167" s="142">
        <v>998.7007737763184</v>
      </c>
      <c r="AD167" s="44" t="s">
        <v>248</v>
      </c>
      <c r="AE167" s="128">
        <v>1000.0</v>
      </c>
      <c r="AF167" s="128">
        <v>22.0</v>
      </c>
      <c r="AG167" s="128">
        <v>1002.1083689632316</v>
      </c>
      <c r="AH167" s="141" t="s">
        <v>98</v>
      </c>
      <c r="AI167" s="128">
        <v>1000.0</v>
      </c>
      <c r="AJ167" s="128">
        <v>14.0</v>
      </c>
      <c r="AK167" s="142">
        <v>1000.7750356298982</v>
      </c>
      <c r="AL167" s="44" t="s">
        <v>112</v>
      </c>
      <c r="AM167" s="128">
        <v>1004.2361111111111</v>
      </c>
      <c r="AN167" s="128">
        <v>29.0</v>
      </c>
      <c r="AO167" s="128">
        <v>1007.4124954823878</v>
      </c>
      <c r="AP167" s="143">
        <v>13.0</v>
      </c>
      <c r="AQ167" s="128">
        <v>15.0</v>
      </c>
      <c r="AR167" s="44" t="s">
        <v>355</v>
      </c>
      <c r="AS167" s="44" t="s">
        <v>229</v>
      </c>
      <c r="AT167" s="44">
        <v>166.0</v>
      </c>
      <c r="AU167" s="44"/>
      <c r="AW167" s="93"/>
      <c r="AY167" s="93"/>
      <c r="AZ167" s="93"/>
      <c r="BA167" s="93"/>
      <c r="BB167" s="155"/>
      <c r="BC167" s="93"/>
      <c r="BE167" s="93"/>
      <c r="BG167" s="93"/>
      <c r="BH167" s="93"/>
      <c r="BI167" s="93"/>
      <c r="BJ167" s="155"/>
      <c r="BK167" s="93"/>
    </row>
    <row r="168">
      <c r="A168" s="154">
        <v>44211.964583333334</v>
      </c>
      <c r="B168" s="141" t="s">
        <v>27</v>
      </c>
      <c r="C168" s="128">
        <v>996.1111111111111</v>
      </c>
      <c r="D168" s="128">
        <v>19.0</v>
      </c>
      <c r="E168" s="142">
        <v>1002.60433389646</v>
      </c>
      <c r="F168" s="44" t="s">
        <v>107</v>
      </c>
      <c r="G168" s="128">
        <v>997.2222222222222</v>
      </c>
      <c r="H168" s="128">
        <v>19.0</v>
      </c>
      <c r="I168" s="128">
        <v>1003.4529186743384</v>
      </c>
      <c r="J168" s="141" t="s">
        <v>47</v>
      </c>
      <c r="K168" s="128">
        <v>998.7007737763184</v>
      </c>
      <c r="L168" s="128">
        <v>23.0</v>
      </c>
      <c r="M168" s="142">
        <v>1006.9768545388532</v>
      </c>
      <c r="R168" s="148"/>
      <c r="U168" s="149"/>
      <c r="V168" s="44" t="s">
        <v>296</v>
      </c>
      <c r="W168" s="128">
        <v>996.985792868603</v>
      </c>
      <c r="X168" s="128">
        <v>6.0</v>
      </c>
      <c r="Y168" s="128">
        <v>984.9795619019685</v>
      </c>
      <c r="Z168" s="141" t="s">
        <v>92</v>
      </c>
      <c r="AA168" s="128">
        <v>1005.3472222222222</v>
      </c>
      <c r="AB168" s="128">
        <v>14.0</v>
      </c>
      <c r="AC168" s="142">
        <v>997.3609423721124</v>
      </c>
      <c r="AD168" s="44" t="s">
        <v>23</v>
      </c>
      <c r="AE168" s="128">
        <v>1008.070717414477</v>
      </c>
      <c r="AF168" s="128">
        <v>26.0</v>
      </c>
      <c r="AG168" s="128">
        <v>1007.0632282312213</v>
      </c>
      <c r="AH168" s="148"/>
      <c r="AK168" s="149"/>
      <c r="AP168" s="143">
        <v>17.0</v>
      </c>
      <c r="AQ168" s="128">
        <v>11.0</v>
      </c>
      <c r="AR168" s="44" t="s">
        <v>356</v>
      </c>
      <c r="AS168" s="44" t="s">
        <v>290</v>
      </c>
      <c r="AT168" s="44">
        <v>167.0</v>
      </c>
      <c r="AU168" s="44"/>
      <c r="AW168" s="93"/>
      <c r="AY168" s="93"/>
      <c r="AZ168" s="93"/>
      <c r="BA168" s="93"/>
      <c r="BB168" s="155"/>
      <c r="BC168" s="93"/>
      <c r="BE168" s="93"/>
      <c r="BG168" s="93"/>
      <c r="BH168" s="93"/>
      <c r="BI168" s="93"/>
      <c r="BJ168" s="155"/>
      <c r="BK168" s="93"/>
    </row>
    <row r="169">
      <c r="A169" s="154">
        <v>44212.020833333336</v>
      </c>
      <c r="B169" s="141" t="s">
        <v>345</v>
      </c>
      <c r="C169" s="128">
        <v>998.485792868603</v>
      </c>
      <c r="D169" s="128">
        <v>11.0</v>
      </c>
      <c r="E169" s="142">
        <v>993.2585943371024</v>
      </c>
      <c r="F169" s="44" t="s">
        <v>47</v>
      </c>
      <c r="G169" s="128">
        <v>1006.9768545388532</v>
      </c>
      <c r="H169" s="128">
        <v>24.0</v>
      </c>
      <c r="I169" s="128">
        <v>1005.147380455784</v>
      </c>
      <c r="J169" s="141" t="s">
        <v>112</v>
      </c>
      <c r="K169" s="128">
        <v>1007.4124954823878</v>
      </c>
      <c r="L169" s="128">
        <v>20.0</v>
      </c>
      <c r="M169" s="142">
        <v>1004.4691680969578</v>
      </c>
      <c r="R169" s="148"/>
      <c r="U169" s="149"/>
      <c r="V169" s="44" t="s">
        <v>98</v>
      </c>
      <c r="W169" s="128">
        <v>1000.7750356298982</v>
      </c>
      <c r="X169" s="128">
        <v>18.0</v>
      </c>
      <c r="Y169" s="128">
        <v>1003.339989158855</v>
      </c>
      <c r="Z169" s="141" t="s">
        <v>27</v>
      </c>
      <c r="AA169" s="128">
        <v>1002.60433389646</v>
      </c>
      <c r="AB169" s="128">
        <v>20.0</v>
      </c>
      <c r="AC169" s="142">
        <v>1005.6636070268779</v>
      </c>
      <c r="AD169" s="44" t="s">
        <v>23</v>
      </c>
      <c r="AE169" s="128">
        <v>1007.0632282312213</v>
      </c>
      <c r="AF169" s="128">
        <v>25.0</v>
      </c>
      <c r="AG169" s="128">
        <v>1011.4390015718466</v>
      </c>
      <c r="AH169" s="148"/>
      <c r="AK169" s="149"/>
      <c r="AP169" s="143">
        <v>13.0</v>
      </c>
      <c r="AQ169" s="128">
        <v>15.0</v>
      </c>
      <c r="AR169" s="44" t="s">
        <v>357</v>
      </c>
      <c r="AS169" s="44" t="s">
        <v>266</v>
      </c>
      <c r="AT169" s="44">
        <v>168.0</v>
      </c>
      <c r="AU169" s="44"/>
      <c r="AW169" s="93"/>
      <c r="AY169" s="93"/>
      <c r="AZ169" s="93"/>
      <c r="BA169" s="93"/>
      <c r="BB169" s="155"/>
      <c r="BC169" s="93"/>
      <c r="BE169" s="93"/>
      <c r="BG169" s="93"/>
      <c r="BH169" s="93"/>
      <c r="BI169" s="93"/>
      <c r="BJ169" s="155"/>
      <c r="BK169" s="93"/>
    </row>
    <row r="170">
      <c r="A170" s="154">
        <v>44212.05347222222</v>
      </c>
      <c r="B170" s="141" t="s">
        <v>224</v>
      </c>
      <c r="C170" s="128">
        <v>991.9061039259418</v>
      </c>
      <c r="D170" s="128">
        <v>9.0</v>
      </c>
      <c r="E170" s="142">
        <v>993.0616762263007</v>
      </c>
      <c r="F170" s="44" t="s">
        <v>112</v>
      </c>
      <c r="G170" s="128">
        <v>1004.4691680969578</v>
      </c>
      <c r="H170" s="128">
        <v>23.0</v>
      </c>
      <c r="I170" s="128">
        <v>1008.8963230664189</v>
      </c>
      <c r="J170" s="141" t="s">
        <v>47</v>
      </c>
      <c r="K170" s="128">
        <v>1005.147380455784</v>
      </c>
      <c r="L170" s="128">
        <v>23.0</v>
      </c>
      <c r="M170" s="142">
        <v>1009.5646531859641</v>
      </c>
      <c r="R170" s="148"/>
      <c r="U170" s="149"/>
      <c r="V170" s="44" t="s">
        <v>58</v>
      </c>
      <c r="W170" s="128">
        <v>997.1524595352696</v>
      </c>
      <c r="X170" s="128">
        <v>14.0</v>
      </c>
      <c r="Y170" s="128">
        <v>992.9634356462118</v>
      </c>
      <c r="Z170" s="141" t="s">
        <v>98</v>
      </c>
      <c r="AA170" s="128">
        <v>1003.339989158855</v>
      </c>
      <c r="AB170" s="128">
        <v>17.0</v>
      </c>
      <c r="AC170" s="142">
        <v>999.771791662886</v>
      </c>
      <c r="AD170" s="44" t="s">
        <v>23</v>
      </c>
      <c r="AE170" s="128">
        <v>1011.4390015718466</v>
      </c>
      <c r="AF170" s="128">
        <v>22.0</v>
      </c>
      <c r="AG170" s="128">
        <v>1009.1962229568734</v>
      </c>
      <c r="AH170" s="148"/>
      <c r="AK170" s="149"/>
      <c r="AP170" s="143">
        <v>15.0</v>
      </c>
      <c r="AQ170" s="128">
        <v>13.0</v>
      </c>
      <c r="AR170" s="44" t="s">
        <v>358</v>
      </c>
      <c r="AS170" s="44" t="s">
        <v>243</v>
      </c>
      <c r="AT170" s="44">
        <v>169.0</v>
      </c>
      <c r="AU170" s="44"/>
      <c r="AW170" s="93"/>
      <c r="AY170" s="93"/>
      <c r="AZ170" s="93"/>
      <c r="BA170" s="93"/>
      <c r="BB170" s="155"/>
      <c r="BC170" s="93"/>
      <c r="BE170" s="93"/>
      <c r="BG170" s="93"/>
      <c r="BH170" s="93"/>
      <c r="BI170" s="93"/>
      <c r="BJ170" s="155"/>
      <c r="BK170" s="93"/>
    </row>
    <row r="171">
      <c r="A171" s="154">
        <v>44212.08472222222</v>
      </c>
      <c r="B171" s="141" t="s">
        <v>224</v>
      </c>
      <c r="C171" s="128">
        <v>993.0616762263007</v>
      </c>
      <c r="D171" s="128">
        <v>16.0</v>
      </c>
      <c r="E171" s="142">
        <v>998.1612356411549</v>
      </c>
      <c r="F171" s="44" t="s">
        <v>112</v>
      </c>
      <c r="G171" s="128">
        <v>1008.8963230664189</v>
      </c>
      <c r="H171" s="128">
        <v>14.0</v>
      </c>
      <c r="I171" s="128">
        <v>1011.8895926213974</v>
      </c>
      <c r="J171" s="141" t="s">
        <v>23</v>
      </c>
      <c r="K171" s="128">
        <v>1009.1962229568734</v>
      </c>
      <c r="L171" s="128">
        <v>29.0</v>
      </c>
      <c r="M171" s="142">
        <v>1020.1033939870407</v>
      </c>
      <c r="R171" s="148"/>
      <c r="U171" s="149"/>
      <c r="V171" s="44" t="s">
        <v>58</v>
      </c>
      <c r="W171" s="128">
        <v>992.9634356462118</v>
      </c>
      <c r="X171" s="128">
        <v>14.0</v>
      </c>
      <c r="Y171" s="128">
        <v>985.9052851617258</v>
      </c>
      <c r="Z171" s="141" t="s">
        <v>98</v>
      </c>
      <c r="AA171" s="128">
        <v>999.771791662886</v>
      </c>
      <c r="AB171" s="128">
        <v>17.0</v>
      </c>
      <c r="AC171" s="142">
        <v>993.6759608097866</v>
      </c>
      <c r="AD171" s="44" t="s">
        <v>47</v>
      </c>
      <c r="AE171" s="128">
        <v>1009.5646531859641</v>
      </c>
      <c r="AF171" s="128">
        <v>18.0</v>
      </c>
      <c r="AG171" s="128">
        <v>1003.7186345235494</v>
      </c>
      <c r="AH171" s="148"/>
      <c r="AK171" s="149"/>
      <c r="AP171" s="143">
        <v>17.0</v>
      </c>
      <c r="AQ171" s="128">
        <v>11.0</v>
      </c>
      <c r="AR171" s="44" t="s">
        <v>359</v>
      </c>
      <c r="AS171" s="44" t="s">
        <v>360</v>
      </c>
      <c r="AT171" s="44">
        <v>170.0</v>
      </c>
      <c r="AU171" s="44"/>
      <c r="AW171" s="93"/>
      <c r="AY171" s="93"/>
      <c r="AZ171" s="93"/>
      <c r="BA171" s="93"/>
      <c r="BB171" s="155"/>
      <c r="BC171" s="93"/>
      <c r="BE171" s="93"/>
      <c r="BG171" s="93"/>
      <c r="BH171" s="93"/>
      <c r="BI171" s="93"/>
      <c r="BJ171" s="155"/>
      <c r="BK171" s="93"/>
    </row>
    <row r="172">
      <c r="A172" s="154">
        <v>44212.10486111111</v>
      </c>
      <c r="B172" s="141" t="s">
        <v>107</v>
      </c>
      <c r="C172" s="128">
        <v>1003.4529186743384</v>
      </c>
      <c r="D172" s="128">
        <v>17.0</v>
      </c>
      <c r="E172" s="142">
        <v>1004.7076033070633</v>
      </c>
      <c r="F172" s="44" t="s">
        <v>47</v>
      </c>
      <c r="G172" s="128">
        <v>1003.7186345235494</v>
      </c>
      <c r="H172" s="128">
        <v>35.0</v>
      </c>
      <c r="I172" s="128">
        <v>1012.4639498908246</v>
      </c>
      <c r="J172" s="148"/>
      <c r="M172" s="149"/>
      <c r="R172" s="148"/>
      <c r="U172" s="149"/>
      <c r="V172" s="44" t="s">
        <v>92</v>
      </c>
      <c r="W172" s="128">
        <v>997.3609423721124</v>
      </c>
      <c r="X172" s="128">
        <v>21.0</v>
      </c>
      <c r="Y172" s="128">
        <v>991.9067134936403</v>
      </c>
      <c r="Z172" s="141" t="s">
        <v>27</v>
      </c>
      <c r="AA172" s="128">
        <v>1005.6636070268779</v>
      </c>
      <c r="AB172" s="128">
        <v>24.0</v>
      </c>
      <c r="AC172" s="142">
        <v>1001.11783590535</v>
      </c>
      <c r="AH172" s="148"/>
      <c r="AK172" s="149"/>
      <c r="AP172" s="143">
        <v>22.0</v>
      </c>
      <c r="AQ172" s="128">
        <v>20.0</v>
      </c>
      <c r="AR172" s="44" t="s">
        <v>361</v>
      </c>
      <c r="AS172" s="44" t="s">
        <v>362</v>
      </c>
      <c r="AT172" s="44">
        <v>171.0</v>
      </c>
      <c r="AU172" s="44"/>
      <c r="AW172" s="93"/>
      <c r="AY172" s="93"/>
      <c r="AZ172" s="93"/>
      <c r="BA172" s="93"/>
      <c r="BB172" s="155"/>
      <c r="BC172" s="93"/>
      <c r="BE172" s="93"/>
      <c r="BG172" s="93"/>
      <c r="BH172" s="93"/>
      <c r="BI172" s="93"/>
      <c r="BJ172" s="155"/>
      <c r="BK172" s="93"/>
    </row>
    <row r="173">
      <c r="A173" s="154">
        <v>44212.90138888889</v>
      </c>
      <c r="B173" s="141" t="s">
        <v>227</v>
      </c>
      <c r="C173" s="128">
        <v>980.9061827879834</v>
      </c>
      <c r="D173" s="128">
        <v>26.0</v>
      </c>
      <c r="E173" s="142">
        <v>978.8822192523584</v>
      </c>
      <c r="F173" s="44" t="s">
        <v>224</v>
      </c>
      <c r="G173" s="128">
        <v>998.1612356411549</v>
      </c>
      <c r="H173" s="128">
        <v>16.0</v>
      </c>
      <c r="I173" s="128">
        <v>993.0849417417043</v>
      </c>
      <c r="J173" s="141" t="s">
        <v>112</v>
      </c>
      <c r="K173" s="128">
        <v>1011.8895926213974</v>
      </c>
      <c r="L173" s="128">
        <v>37.0</v>
      </c>
      <c r="M173" s="142">
        <v>1010.9618740679697</v>
      </c>
      <c r="N173" s="44" t="s">
        <v>47</v>
      </c>
      <c r="O173" s="128">
        <v>1012.4639498908246</v>
      </c>
      <c r="P173" s="128">
        <v>32.0</v>
      </c>
      <c r="Q173" s="128">
        <v>1010.491925879328</v>
      </c>
      <c r="R173" s="148"/>
      <c r="U173" s="149"/>
      <c r="V173" s="44" t="s">
        <v>296</v>
      </c>
      <c r="W173" s="128">
        <v>984.9795619019685</v>
      </c>
      <c r="X173" s="128">
        <v>20.0</v>
      </c>
      <c r="Y173" s="128">
        <v>986.4041929006698</v>
      </c>
      <c r="Z173" s="141" t="s">
        <v>363</v>
      </c>
      <c r="AA173" s="128">
        <v>1000.0</v>
      </c>
      <c r="AB173" s="128">
        <v>18.0</v>
      </c>
      <c r="AC173" s="142">
        <v>1000.2827153035222</v>
      </c>
      <c r="AD173" s="44" t="s">
        <v>364</v>
      </c>
      <c r="AE173" s="128">
        <v>1000.0</v>
      </c>
      <c r="AF173" s="128">
        <v>20.0</v>
      </c>
      <c r="AG173" s="128">
        <v>1000.6993819701888</v>
      </c>
      <c r="AH173" s="141" t="s">
        <v>23</v>
      </c>
      <c r="AI173" s="128">
        <v>1020.1033939870407</v>
      </c>
      <c r="AJ173" s="128">
        <v>54.0</v>
      </c>
      <c r="AK173" s="142">
        <v>1027.6966657146284</v>
      </c>
      <c r="AP173" s="143">
        <v>20.0</v>
      </c>
      <c r="AQ173" s="128">
        <v>22.0</v>
      </c>
      <c r="AR173" s="44" t="s">
        <v>365</v>
      </c>
      <c r="AS173" s="44" t="s">
        <v>362</v>
      </c>
      <c r="AT173" s="44">
        <v>172.0</v>
      </c>
      <c r="AU173" s="44"/>
      <c r="AW173" s="93"/>
      <c r="AY173" s="93"/>
      <c r="AZ173" s="93"/>
      <c r="BA173" s="93"/>
      <c r="BB173" s="155"/>
      <c r="BC173" s="93"/>
      <c r="BE173" s="93"/>
      <c r="BG173" s="93"/>
      <c r="BH173" s="93"/>
      <c r="BI173" s="93"/>
      <c r="BJ173" s="155"/>
      <c r="BK173" s="93"/>
    </row>
    <row r="174">
      <c r="A174" s="154">
        <v>44212.97638888889</v>
      </c>
      <c r="B174" s="141" t="s">
        <v>363</v>
      </c>
      <c r="C174" s="128">
        <v>1000.2827153035222</v>
      </c>
      <c r="D174" s="128">
        <v>16.0</v>
      </c>
      <c r="E174" s="142">
        <v>995.8101339262736</v>
      </c>
      <c r="F174" s="44" t="s">
        <v>364</v>
      </c>
      <c r="G174" s="128">
        <v>1000.6993819701888</v>
      </c>
      <c r="H174" s="128">
        <v>8.0</v>
      </c>
      <c r="I174" s="128">
        <v>994.884992216463</v>
      </c>
      <c r="J174" s="141" t="s">
        <v>248</v>
      </c>
      <c r="K174" s="128">
        <v>1002.1083689632316</v>
      </c>
      <c r="L174" s="128">
        <v>31.0</v>
      </c>
      <c r="M174" s="142">
        <v>1000.1009524243788</v>
      </c>
      <c r="N174" s="44" t="s">
        <v>47</v>
      </c>
      <c r="O174" s="128">
        <v>1010.491925879328</v>
      </c>
      <c r="P174" s="128">
        <v>55.0</v>
      </c>
      <c r="Q174" s="128">
        <v>1012.3904818786548</v>
      </c>
      <c r="R174" s="141" t="s">
        <v>112</v>
      </c>
      <c r="S174" s="128">
        <v>1010.9618740679697</v>
      </c>
      <c r="T174" s="128">
        <v>46.0</v>
      </c>
      <c r="U174" s="142">
        <v>1011.3577057384701</v>
      </c>
      <c r="V174" s="44" t="s">
        <v>296</v>
      </c>
      <c r="W174" s="128">
        <v>986.4041929006698</v>
      </c>
      <c r="X174" s="128">
        <v>12.0</v>
      </c>
      <c r="Y174" s="128">
        <v>985.5097373560723</v>
      </c>
      <c r="Z174" s="141" t="s">
        <v>224</v>
      </c>
      <c r="AA174" s="128">
        <v>993.0849417417043</v>
      </c>
      <c r="AB174" s="128">
        <v>13.0</v>
      </c>
      <c r="AC174" s="142">
        <v>992.0664470258035</v>
      </c>
      <c r="AD174" s="44" t="s">
        <v>90</v>
      </c>
      <c r="AE174" s="128">
        <v>1000.0</v>
      </c>
      <c r="AF174" s="128">
        <v>24.0</v>
      </c>
      <c r="AG174" s="128">
        <v>1000.6121546152182</v>
      </c>
      <c r="AH174" s="141" t="s">
        <v>107</v>
      </c>
      <c r="AI174" s="128">
        <v>1004.7076033070633</v>
      </c>
      <c r="AJ174" s="128">
        <v>39.0</v>
      </c>
      <c r="AK174" s="142">
        <v>1007.735167065316</v>
      </c>
      <c r="AL174" s="44" t="s">
        <v>23</v>
      </c>
      <c r="AM174" s="128">
        <v>1027.6966657146284</v>
      </c>
      <c r="AN174" s="128">
        <v>71.0</v>
      </c>
      <c r="AO174" s="128">
        <v>1035.969897601656</v>
      </c>
      <c r="AP174" s="143">
        <v>19.0</v>
      </c>
      <c r="AQ174" s="128">
        <v>23.0</v>
      </c>
      <c r="AR174" s="44" t="s">
        <v>366</v>
      </c>
      <c r="AS174" s="44" t="s">
        <v>367</v>
      </c>
      <c r="AT174" s="44">
        <v>173.0</v>
      </c>
      <c r="AU174" s="44"/>
      <c r="AW174" s="93"/>
      <c r="AY174" s="93"/>
      <c r="AZ174" s="93"/>
      <c r="BA174" s="93"/>
      <c r="BB174" s="155"/>
      <c r="BC174" s="93"/>
      <c r="BE174" s="93"/>
      <c r="BG174" s="93"/>
      <c r="BH174" s="93"/>
      <c r="BI174" s="93"/>
      <c r="BJ174" s="155"/>
      <c r="BK174" s="93"/>
    </row>
    <row r="175">
      <c r="A175" s="154">
        <v>44213.03055555555</v>
      </c>
      <c r="B175" s="141" t="s">
        <v>345</v>
      </c>
      <c r="C175" s="128">
        <v>993.2585943371024</v>
      </c>
      <c r="D175" s="128">
        <v>13.0</v>
      </c>
      <c r="E175" s="142">
        <v>987.0368103603837</v>
      </c>
      <c r="F175" s="44" t="s">
        <v>98</v>
      </c>
      <c r="G175" s="128">
        <v>993.6759608097866</v>
      </c>
      <c r="H175" s="128">
        <v>21.0</v>
      </c>
      <c r="I175" s="128">
        <v>990.1054951032489</v>
      </c>
      <c r="J175" s="141" t="s">
        <v>90</v>
      </c>
      <c r="K175" s="128">
        <v>1000.6121546152182</v>
      </c>
      <c r="L175" s="128">
        <v>17.0</v>
      </c>
      <c r="M175" s="142">
        <v>995.5029052840218</v>
      </c>
      <c r="N175" s="44" t="s">
        <v>27</v>
      </c>
      <c r="O175" s="128">
        <v>1001.11783590535</v>
      </c>
      <c r="P175" s="128">
        <v>23.0</v>
      </c>
      <c r="Q175" s="128">
        <v>997.9971321700256</v>
      </c>
      <c r="R175" s="141" t="s">
        <v>23</v>
      </c>
      <c r="S175" s="128">
        <v>1035.969897601656</v>
      </c>
      <c r="T175" s="128">
        <v>27.0</v>
      </c>
      <c r="U175" s="142">
        <v>1033.9921003514332</v>
      </c>
      <c r="V175" s="44" t="s">
        <v>224</v>
      </c>
      <c r="W175" s="128">
        <v>992.0664470258035</v>
      </c>
      <c r="X175" s="128">
        <v>3.0</v>
      </c>
      <c r="Y175" s="128">
        <v>990.6295869318287</v>
      </c>
      <c r="Z175" s="141" t="s">
        <v>248</v>
      </c>
      <c r="AA175" s="128">
        <v>1000.1009524243788</v>
      </c>
      <c r="AB175" s="128">
        <v>24.0</v>
      </c>
      <c r="AC175" s="142">
        <v>1005.4124257271661</v>
      </c>
      <c r="AD175" s="44" t="s">
        <v>107</v>
      </c>
      <c r="AE175" s="128">
        <v>1007.735167065316</v>
      </c>
      <c r="AF175" s="128">
        <v>24.0</v>
      </c>
      <c r="AG175" s="128">
        <v>1012.9135410485062</v>
      </c>
      <c r="AH175" s="141" t="s">
        <v>112</v>
      </c>
      <c r="AI175" s="128">
        <v>1011.3577057384701</v>
      </c>
      <c r="AJ175" s="128">
        <v>21.0</v>
      </c>
      <c r="AK175" s="142">
        <v>1015.5015082330879</v>
      </c>
      <c r="AL175" s="44" t="s">
        <v>47</v>
      </c>
      <c r="AM175" s="128">
        <v>1012.3904818786548</v>
      </c>
      <c r="AN175" s="128">
        <v>29.0</v>
      </c>
      <c r="AO175" s="128">
        <v>1019.1936921920344</v>
      </c>
      <c r="AP175" s="143">
        <v>11.0</v>
      </c>
      <c r="AQ175" s="128">
        <v>17.0</v>
      </c>
      <c r="AR175" s="44" t="s">
        <v>368</v>
      </c>
      <c r="AS175" s="44" t="s">
        <v>288</v>
      </c>
      <c r="AT175" s="44">
        <v>174.0</v>
      </c>
      <c r="AU175" s="44"/>
      <c r="AW175" s="93"/>
      <c r="AY175" s="93"/>
      <c r="AZ175" s="93"/>
      <c r="BA175" s="93"/>
      <c r="BB175" s="155"/>
      <c r="BC175" s="93"/>
      <c r="BE175" s="93"/>
      <c r="BG175" s="93"/>
      <c r="BH175" s="93"/>
      <c r="BI175" s="93"/>
      <c r="BJ175" s="155"/>
      <c r="BK175" s="93"/>
    </row>
    <row r="176">
      <c r="A176" s="154">
        <v>44213.06458333333</v>
      </c>
      <c r="B176" s="141" t="s">
        <v>345</v>
      </c>
      <c r="C176" s="128">
        <v>987.0368103603837</v>
      </c>
      <c r="D176" s="128">
        <v>11.0</v>
      </c>
      <c r="E176" s="142">
        <v>980.300720570869</v>
      </c>
      <c r="F176" s="44" t="s">
        <v>224</v>
      </c>
      <c r="G176" s="128">
        <v>990.6295869318287</v>
      </c>
      <c r="H176" s="128">
        <v>4.0</v>
      </c>
      <c r="I176" s="128">
        <v>980.8327821507789</v>
      </c>
      <c r="J176" s="141" t="s">
        <v>112</v>
      </c>
      <c r="K176" s="128">
        <v>1015.5015082330879</v>
      </c>
      <c r="L176" s="128">
        <v>18.0</v>
      </c>
      <c r="M176" s="142">
        <v>1011.072801460329</v>
      </c>
      <c r="N176" s="44" t="s">
        <v>23</v>
      </c>
      <c r="O176" s="128">
        <v>1033.9921003514332</v>
      </c>
      <c r="P176" s="128">
        <v>31.0</v>
      </c>
      <c r="Q176" s="128">
        <v>1034.9537016947568</v>
      </c>
      <c r="R176" s="148"/>
      <c r="U176" s="149"/>
      <c r="V176" s="44" t="s">
        <v>98</v>
      </c>
      <c r="W176" s="128">
        <v>990.1054951032489</v>
      </c>
      <c r="X176" s="128">
        <v>17.0</v>
      </c>
      <c r="Y176" s="128">
        <v>993.8782098153494</v>
      </c>
      <c r="Z176" s="141" t="s">
        <v>248</v>
      </c>
      <c r="AA176" s="128">
        <v>1005.4124257271661</v>
      </c>
      <c r="AB176" s="128">
        <v>26.0</v>
      </c>
      <c r="AC176" s="142">
        <v>1012.4269512997989</v>
      </c>
      <c r="AD176" s="44" t="s">
        <v>107</v>
      </c>
      <c r="AE176" s="128">
        <v>1012.9135410485062</v>
      </c>
      <c r="AF176" s="128">
        <v>20.0</v>
      </c>
      <c r="AG176" s="128">
        <v>1017.3293834398323</v>
      </c>
      <c r="AH176" s="141" t="s">
        <v>47</v>
      </c>
      <c r="AI176" s="128">
        <v>1019.1936921920344</v>
      </c>
      <c r="AJ176" s="128">
        <v>21.0</v>
      </c>
      <c r="AK176" s="142">
        <v>1023.990609515975</v>
      </c>
      <c r="AP176" s="143">
        <v>11.0</v>
      </c>
      <c r="AQ176" s="128">
        <v>17.0</v>
      </c>
      <c r="AR176" s="44" t="s">
        <v>369</v>
      </c>
      <c r="AS176" s="44" t="s">
        <v>370</v>
      </c>
      <c r="AT176" s="44">
        <v>175.0</v>
      </c>
      <c r="AU176" s="44"/>
      <c r="AW176" s="93"/>
      <c r="AY176" s="93"/>
      <c r="AZ176" s="93"/>
      <c r="BA176" s="93"/>
      <c r="BB176" s="155"/>
      <c r="BC176" s="93"/>
      <c r="BE176" s="93"/>
      <c r="BG176" s="93"/>
      <c r="BH176" s="93"/>
      <c r="BI176" s="93"/>
      <c r="BJ176" s="155"/>
      <c r="BK176" s="93"/>
    </row>
    <row r="177">
      <c r="A177" s="154">
        <v>44213.916666666664</v>
      </c>
      <c r="B177" s="141" t="s">
        <v>58</v>
      </c>
      <c r="C177" s="128">
        <v>985.9052851617258</v>
      </c>
      <c r="D177" s="128">
        <v>16.0</v>
      </c>
      <c r="E177" s="142">
        <v>989.1132369164569</v>
      </c>
      <c r="F177" s="44" t="s">
        <v>27</v>
      </c>
      <c r="G177" s="128">
        <v>997.9971321700256</v>
      </c>
      <c r="H177" s="128">
        <v>25.0</v>
      </c>
      <c r="I177" s="128">
        <v>1004.4834874144118</v>
      </c>
      <c r="J177" s="141" t="s">
        <v>112</v>
      </c>
      <c r="K177" s="128">
        <v>1011.072801460329</v>
      </c>
      <c r="L177" s="128">
        <v>24.0</v>
      </c>
      <c r="M177" s="142">
        <v>1016.8888228114894</v>
      </c>
      <c r="N177" s="44" t="s">
        <v>47</v>
      </c>
      <c r="O177" s="128">
        <v>1023.990609515975</v>
      </c>
      <c r="P177" s="128">
        <v>21.0</v>
      </c>
      <c r="Q177" s="128">
        <v>1028.4802811656973</v>
      </c>
      <c r="R177" s="148"/>
      <c r="U177" s="149"/>
      <c r="V177" s="44" t="s">
        <v>227</v>
      </c>
      <c r="W177" s="128">
        <v>978.88</v>
      </c>
      <c r="X177" s="128">
        <v>8.0</v>
      </c>
      <c r="Y177" s="128">
        <v>971.3951269149097</v>
      </c>
      <c r="Z177" s="141" t="s">
        <v>92</v>
      </c>
      <c r="AA177" s="128">
        <v>991.9067134936403</v>
      </c>
      <c r="AB177" s="128">
        <v>11.0</v>
      </c>
      <c r="AC177" s="142">
        <v>985.2028497860744</v>
      </c>
      <c r="AD177" s="44" t="s">
        <v>248</v>
      </c>
      <c r="AE177" s="128">
        <v>1012.4269512997989</v>
      </c>
      <c r="AF177" s="128">
        <v>15.0</v>
      </c>
      <c r="AG177" s="128">
        <v>1007.0477756338348</v>
      </c>
      <c r="AH177" s="141" t="s">
        <v>23</v>
      </c>
      <c r="AI177" s="128">
        <v>1034.9537016947568</v>
      </c>
      <c r="AJ177" s="128">
        <v>27.0</v>
      </c>
      <c r="AK177" s="142">
        <v>1034.521614153377</v>
      </c>
      <c r="AP177" s="143">
        <v>18.0</v>
      </c>
      <c r="AQ177" s="128">
        <v>10.0</v>
      </c>
      <c r="AR177" s="44" t="s">
        <v>371</v>
      </c>
      <c r="AS177" s="44" t="s">
        <v>255</v>
      </c>
      <c r="AT177" s="44">
        <v>176.0</v>
      </c>
      <c r="AU177" s="44"/>
      <c r="AW177" s="93"/>
      <c r="AY177" s="93"/>
      <c r="AZ177" s="93"/>
      <c r="BA177" s="93"/>
      <c r="BB177" s="155"/>
      <c r="BC177" s="93"/>
      <c r="BE177" s="93"/>
      <c r="BG177" s="93"/>
      <c r="BH177" s="93"/>
      <c r="BI177" s="93"/>
      <c r="BJ177" s="155"/>
      <c r="BK177" s="93"/>
    </row>
    <row r="178">
      <c r="A178" s="154">
        <v>44213.979166666664</v>
      </c>
      <c r="B178" s="141" t="s">
        <v>92</v>
      </c>
      <c r="C178" s="128">
        <v>985.2028497860744</v>
      </c>
      <c r="D178" s="128">
        <v>26.0</v>
      </c>
      <c r="E178" s="142">
        <v>990.5266235044008</v>
      </c>
      <c r="F178" s="44" t="s">
        <v>47</v>
      </c>
      <c r="G178" s="128">
        <v>1028.4802811656973</v>
      </c>
      <c r="H178" s="128">
        <v>14.0</v>
      </c>
      <c r="I178" s="128">
        <v>1029.9867655578055</v>
      </c>
      <c r="J178" s="141" t="s">
        <v>23</v>
      </c>
      <c r="K178" s="128">
        <v>1034.521614153377</v>
      </c>
      <c r="L178" s="128">
        <v>20.0</v>
      </c>
      <c r="M178" s="142">
        <v>1037.691356042942</v>
      </c>
      <c r="R178" s="148"/>
      <c r="U178" s="149"/>
      <c r="V178" s="44" t="s">
        <v>248</v>
      </c>
      <c r="W178" s="128">
        <v>1007.0477756338348</v>
      </c>
      <c r="X178" s="128">
        <v>19.0</v>
      </c>
      <c r="Y178" s="128">
        <v>1004.1218773747852</v>
      </c>
      <c r="Z178" s="141" t="s">
        <v>112</v>
      </c>
      <c r="AA178" s="128">
        <v>1016.8888228114894</v>
      </c>
      <c r="AB178" s="128">
        <v>20.0</v>
      </c>
      <c r="AC178" s="142">
        <v>1014.1858419271682</v>
      </c>
      <c r="AD178" s="44" t="s">
        <v>107</v>
      </c>
      <c r="AE178" s="128">
        <v>1017.3293834398323</v>
      </c>
      <c r="AF178" s="128">
        <v>14.0</v>
      </c>
      <c r="AG178" s="128">
        <v>1012.9582625832031</v>
      </c>
      <c r="AH178" s="148"/>
      <c r="AK178" s="149"/>
      <c r="AP178" s="143">
        <v>15.0</v>
      </c>
      <c r="AQ178" s="128">
        <v>13.0</v>
      </c>
      <c r="AR178" s="44" t="s">
        <v>372</v>
      </c>
      <c r="AS178" s="44" t="s">
        <v>253</v>
      </c>
      <c r="AT178" s="44">
        <v>177.0</v>
      </c>
      <c r="AU178" s="44"/>
      <c r="AW178" s="93"/>
      <c r="AY178" s="93"/>
      <c r="AZ178" s="93"/>
      <c r="BA178" s="93"/>
      <c r="BB178" s="155"/>
      <c r="BC178" s="93"/>
      <c r="BE178" s="93"/>
      <c r="BG178" s="93"/>
      <c r="BH178" s="93"/>
      <c r="BI178" s="93"/>
      <c r="BJ178" s="155"/>
      <c r="BK178" s="93"/>
    </row>
    <row r="179">
      <c r="A179" s="154">
        <v>44214.93402777778</v>
      </c>
      <c r="B179" s="141" t="s">
        <v>92</v>
      </c>
      <c r="C179" s="128">
        <v>990.5266235044008</v>
      </c>
      <c r="D179" s="128">
        <v>25.0</v>
      </c>
      <c r="E179" s="142">
        <v>989.6033303825725</v>
      </c>
      <c r="F179" s="44" t="s">
        <v>112</v>
      </c>
      <c r="G179" s="128">
        <v>1014.1858419271682</v>
      </c>
      <c r="H179" s="128">
        <v>11.0</v>
      </c>
      <c r="I179" s="128">
        <v>1009.1080371275528</v>
      </c>
      <c r="J179" s="141" t="s">
        <v>47</v>
      </c>
      <c r="K179" s="128">
        <v>1029.9867655578055</v>
      </c>
      <c r="L179" s="128">
        <v>15.0</v>
      </c>
      <c r="M179" s="142">
        <v>1025.9878634792492</v>
      </c>
      <c r="R179" s="148"/>
      <c r="U179" s="149"/>
      <c r="V179" s="44" t="s">
        <v>90</v>
      </c>
      <c r="W179" s="128">
        <v>995.5029052840218</v>
      </c>
      <c r="X179" s="128">
        <v>11.0</v>
      </c>
      <c r="Y179" s="128">
        <v>996.8986077551469</v>
      </c>
      <c r="Z179" s="141" t="s">
        <v>236</v>
      </c>
      <c r="AA179" s="128">
        <v>1000.0</v>
      </c>
      <c r="AB179" s="128">
        <v>18.0</v>
      </c>
      <c r="AC179" s="142">
        <v>1003.2717094091306</v>
      </c>
      <c r="AD179" s="44" t="s">
        <v>23</v>
      </c>
      <c r="AE179" s="128">
        <v>1037.691356042942</v>
      </c>
      <c r="AF179" s="128">
        <v>26.0</v>
      </c>
      <c r="AG179" s="128">
        <v>1043.0239441626863</v>
      </c>
      <c r="AH179" s="148"/>
      <c r="AK179" s="149"/>
      <c r="AP179" s="143">
        <v>13.0</v>
      </c>
      <c r="AQ179" s="128">
        <v>15.0</v>
      </c>
      <c r="AR179" s="44" t="s">
        <v>373</v>
      </c>
      <c r="AS179" s="44" t="s">
        <v>339</v>
      </c>
      <c r="AT179" s="44">
        <v>178.0</v>
      </c>
      <c r="AU179" s="44"/>
      <c r="AW179" s="93"/>
      <c r="AY179" s="93"/>
      <c r="AZ179" s="93"/>
      <c r="BA179" s="93"/>
      <c r="BB179" s="155"/>
      <c r="BC179" s="93"/>
      <c r="BE179" s="93"/>
      <c r="BG179" s="93"/>
      <c r="BH179" s="93"/>
      <c r="BI179" s="93"/>
      <c r="BJ179" s="155"/>
      <c r="BK179" s="93"/>
    </row>
    <row r="180">
      <c r="A180" s="154">
        <v>44215.00555555556</v>
      </c>
      <c r="B180" s="141" t="s">
        <v>92</v>
      </c>
      <c r="C180" s="128">
        <v>989.6033303825725</v>
      </c>
      <c r="D180" s="128">
        <v>12.0</v>
      </c>
      <c r="E180" s="142">
        <v>984.037705068274</v>
      </c>
      <c r="F180" s="44" t="s">
        <v>245</v>
      </c>
      <c r="G180" s="128">
        <v>1000.0</v>
      </c>
      <c r="H180" s="128">
        <v>14.0</v>
      </c>
      <c r="I180" s="128">
        <v>994.89035060693</v>
      </c>
      <c r="J180" s="141" t="s">
        <v>123</v>
      </c>
      <c r="K180" s="128">
        <v>1002.5694444444445</v>
      </c>
      <c r="L180" s="128">
        <v>13.0</v>
      </c>
      <c r="M180" s="142">
        <v>997.0894558490706</v>
      </c>
      <c r="N180" s="44" t="s">
        <v>112</v>
      </c>
      <c r="O180" s="128">
        <v>1009.1080371275528</v>
      </c>
      <c r="P180" s="128">
        <v>19.0</v>
      </c>
      <c r="Q180" s="128">
        <v>1005.557643347197</v>
      </c>
      <c r="R180" s="141" t="s">
        <v>23</v>
      </c>
      <c r="S180" s="128">
        <v>1043.0239441626863</v>
      </c>
      <c r="T180" s="128">
        <v>29.0</v>
      </c>
      <c r="U180" s="142">
        <v>1042.7296012457846</v>
      </c>
      <c r="V180" s="44" t="s">
        <v>90</v>
      </c>
      <c r="W180" s="128">
        <v>996.8986077551469</v>
      </c>
      <c r="X180" s="128">
        <v>17.0</v>
      </c>
      <c r="Y180" s="128">
        <v>999.8487167133381</v>
      </c>
      <c r="Z180" s="141" t="s">
        <v>248</v>
      </c>
      <c r="AA180" s="128">
        <v>1004.1218773747852</v>
      </c>
      <c r="AB180" s="128">
        <v>18.0</v>
      </c>
      <c r="AC180" s="142">
        <v>1007.2773409198107</v>
      </c>
      <c r="AD180" s="44" t="s">
        <v>27</v>
      </c>
      <c r="AE180" s="128">
        <v>1004.4834874144118</v>
      </c>
      <c r="AF180" s="128">
        <v>18.0</v>
      </c>
      <c r="AG180" s="128">
        <v>1007.6338959257519</v>
      </c>
      <c r="AH180" s="141" t="s">
        <v>107</v>
      </c>
      <c r="AI180" s="128">
        <v>1012.9582625832031</v>
      </c>
      <c r="AJ180" s="128">
        <v>26.0</v>
      </c>
      <c r="AK180" s="142">
        <v>1018.6884808446868</v>
      </c>
      <c r="AL180" s="44" t="s">
        <v>47</v>
      </c>
      <c r="AM180" s="128">
        <v>1025.9878634792492</v>
      </c>
      <c r="AN180" s="128">
        <v>24.0</v>
      </c>
      <c r="AO180" s="128">
        <v>1031.0016642032087</v>
      </c>
      <c r="AP180" s="143">
        <v>11.0</v>
      </c>
      <c r="AQ180" s="128">
        <v>17.0</v>
      </c>
      <c r="AR180" s="44" t="s">
        <v>374</v>
      </c>
      <c r="AS180" s="44" t="s">
        <v>244</v>
      </c>
      <c r="AT180" s="44">
        <v>179.0</v>
      </c>
      <c r="AU180" s="44"/>
      <c r="AW180" s="93"/>
      <c r="AY180" s="93"/>
      <c r="AZ180" s="93"/>
      <c r="BA180" s="93"/>
      <c r="BB180" s="155"/>
      <c r="BC180" s="93"/>
      <c r="BE180" s="93"/>
      <c r="BG180" s="93"/>
      <c r="BH180" s="93"/>
      <c r="BI180" s="93"/>
      <c r="BJ180" s="155"/>
      <c r="BK180" s="93"/>
    </row>
    <row r="181">
      <c r="A181" s="154">
        <v>44215.041666666664</v>
      </c>
      <c r="B181" s="141" t="s">
        <v>92</v>
      </c>
      <c r="C181" s="128">
        <v>984.037705068274</v>
      </c>
      <c r="D181" s="128">
        <v>23.0</v>
      </c>
      <c r="E181" s="142">
        <v>993.276723076663</v>
      </c>
      <c r="F181" s="44" t="s">
        <v>61</v>
      </c>
      <c r="G181" s="128">
        <v>1000.0</v>
      </c>
      <c r="H181" s="128">
        <v>6.0</v>
      </c>
      <c r="I181" s="128">
        <v>999.161138035626</v>
      </c>
      <c r="J181" s="141" t="s">
        <v>47</v>
      </c>
      <c r="K181" s="128">
        <v>1031.0016642032087</v>
      </c>
      <c r="L181" s="128">
        <v>29.0</v>
      </c>
      <c r="M181" s="142">
        <v>1042.6015081591938</v>
      </c>
      <c r="R181" s="148"/>
      <c r="U181" s="149"/>
      <c r="V181" s="44" t="s">
        <v>245</v>
      </c>
      <c r="W181" s="128">
        <v>994.89035060693</v>
      </c>
      <c r="X181" s="128">
        <v>17.0</v>
      </c>
      <c r="Y181" s="128">
        <v>989.1622560958737</v>
      </c>
      <c r="Z181" s="141" t="s">
        <v>112</v>
      </c>
      <c r="AA181" s="128">
        <v>1005.557643347197</v>
      </c>
      <c r="AB181" s="128">
        <v>18.0</v>
      </c>
      <c r="AC181" s="142">
        <v>1000.1540351110765</v>
      </c>
      <c r="AD181" s="44" t="s">
        <v>107</v>
      </c>
      <c r="AE181" s="128">
        <v>1018.6884808446868</v>
      </c>
      <c r="AF181" s="128">
        <v>12.0</v>
      </c>
      <c r="AG181" s="128">
        <v>1009.8201835918636</v>
      </c>
      <c r="AH181" s="148"/>
      <c r="AK181" s="149"/>
      <c r="AP181" s="143">
        <v>18.0</v>
      </c>
      <c r="AQ181" s="128">
        <v>10.0</v>
      </c>
      <c r="AR181" s="44" t="s">
        <v>375</v>
      </c>
      <c r="AS181" s="44" t="s">
        <v>231</v>
      </c>
      <c r="AT181" s="44">
        <v>180.0</v>
      </c>
      <c r="AU181" s="44"/>
      <c r="AW181" s="93"/>
      <c r="AY181" s="93"/>
      <c r="AZ181" s="93"/>
      <c r="BA181" s="93"/>
      <c r="BB181" s="155"/>
      <c r="BC181" s="93"/>
      <c r="BE181" s="93"/>
      <c r="BG181" s="93"/>
      <c r="BH181" s="93"/>
      <c r="BI181" s="93"/>
      <c r="BJ181" s="155"/>
      <c r="BK181" s="93"/>
    </row>
    <row r="182">
      <c r="A182" s="154">
        <v>44215.95694444444</v>
      </c>
      <c r="B182" s="141" t="s">
        <v>92</v>
      </c>
      <c r="C182" s="128">
        <v>993.276723076663</v>
      </c>
      <c r="D182" s="128">
        <v>20.0</v>
      </c>
      <c r="E182" s="142">
        <v>1000.9874864752779</v>
      </c>
      <c r="F182" s="44" t="s">
        <v>107</v>
      </c>
      <c r="G182" s="128">
        <v>1009.8201835918636</v>
      </c>
      <c r="H182" s="128">
        <v>21.0</v>
      </c>
      <c r="I182" s="128">
        <v>1017.7014099370339</v>
      </c>
      <c r="J182" s="141" t="s">
        <v>47</v>
      </c>
      <c r="K182" s="128">
        <v>1042.6015081591938</v>
      </c>
      <c r="L182" s="128">
        <v>15.0</v>
      </c>
      <c r="M182" s="142">
        <v>1047.0095184154086</v>
      </c>
      <c r="R182" s="148"/>
      <c r="U182" s="149"/>
      <c r="V182" s="44" t="s">
        <v>61</v>
      </c>
      <c r="W182" s="128">
        <v>999.161138035626</v>
      </c>
      <c r="X182" s="128">
        <v>13.0</v>
      </c>
      <c r="Y182" s="128">
        <v>990.0175626061645</v>
      </c>
      <c r="Z182" s="141" t="s">
        <v>90</v>
      </c>
      <c r="AA182" s="128">
        <v>999.8487167133381</v>
      </c>
      <c r="AB182" s="128">
        <v>15.0</v>
      </c>
      <c r="AC182" s="142">
        <v>991.7995939883881</v>
      </c>
      <c r="AD182" s="44" t="s">
        <v>23</v>
      </c>
      <c r="AE182" s="128">
        <v>1042.7296012457846</v>
      </c>
      <c r="AF182" s="128">
        <v>25.0</v>
      </c>
      <c r="AG182" s="128">
        <v>1039.9222994001962</v>
      </c>
      <c r="AH182" s="148"/>
      <c r="AK182" s="149"/>
      <c r="AP182" s="143">
        <v>16.0</v>
      </c>
      <c r="AQ182" s="128">
        <v>12.0</v>
      </c>
      <c r="AR182" s="44" t="s">
        <v>376</v>
      </c>
      <c r="AS182" s="44" t="s">
        <v>229</v>
      </c>
      <c r="AT182" s="44">
        <v>181.0</v>
      </c>
      <c r="AU182" s="44"/>
      <c r="AW182" s="93"/>
      <c r="AY182" s="93"/>
      <c r="AZ182" s="93"/>
      <c r="BA182" s="93"/>
      <c r="BB182" s="155"/>
      <c r="BC182" s="93"/>
      <c r="BE182" s="93"/>
      <c r="BG182" s="93"/>
      <c r="BH182" s="93"/>
      <c r="BI182" s="93"/>
      <c r="BJ182" s="155"/>
      <c r="BK182" s="93"/>
    </row>
    <row r="183">
      <c r="A183" s="154">
        <v>44215.99444444444</v>
      </c>
      <c r="B183" s="141" t="s">
        <v>61</v>
      </c>
      <c r="C183" s="128">
        <v>990.0175626061645</v>
      </c>
      <c r="D183" s="128">
        <v>13.0</v>
      </c>
      <c r="E183" s="142">
        <v>983.8701933046774</v>
      </c>
      <c r="F183" s="44" t="s">
        <v>112</v>
      </c>
      <c r="G183" s="128">
        <v>1000.1540351110765</v>
      </c>
      <c r="H183" s="128">
        <v>17.0</v>
      </c>
      <c r="I183" s="128">
        <v>995.4730746937162</v>
      </c>
      <c r="J183" s="141" t="s">
        <v>92</v>
      </c>
      <c r="K183" s="128">
        <v>1000.9874864752779</v>
      </c>
      <c r="L183" s="128">
        <v>12.0</v>
      </c>
      <c r="M183" s="142">
        <v>994.2103973785505</v>
      </c>
      <c r="N183" s="44" t="s">
        <v>47</v>
      </c>
      <c r="O183" s="128">
        <v>1047.0095184154086</v>
      </c>
      <c r="P183" s="128">
        <v>23.0</v>
      </c>
      <c r="Q183" s="128">
        <v>1044.6149372309835</v>
      </c>
      <c r="R183" s="148"/>
      <c r="U183" s="149"/>
      <c r="V183" s="44" t="s">
        <v>245</v>
      </c>
      <c r="W183" s="128">
        <v>989.1622560958737</v>
      </c>
      <c r="X183" s="128">
        <v>21.0</v>
      </c>
      <c r="Y183" s="128">
        <v>994.6507884514252</v>
      </c>
      <c r="Z183" s="141" t="s">
        <v>90</v>
      </c>
      <c r="AA183" s="128">
        <v>991.7995939883881</v>
      </c>
      <c r="AB183" s="128">
        <v>15.0</v>
      </c>
      <c r="AC183" s="142">
        <v>994.7096367545497</v>
      </c>
      <c r="AD183" s="44" t="s">
        <v>107</v>
      </c>
      <c r="AE183" s="128">
        <v>1017.7014099370339</v>
      </c>
      <c r="AF183" s="128">
        <v>20.0</v>
      </c>
      <c r="AG183" s="128">
        <v>1022.2782559692675</v>
      </c>
      <c r="AH183" s="141" t="s">
        <v>23</v>
      </c>
      <c r="AI183" s="128">
        <v>1039.9222994001962</v>
      </c>
      <c r="AJ183" s="128">
        <v>26.0</v>
      </c>
      <c r="AK183" s="142">
        <v>1046.9468782462493</v>
      </c>
      <c r="AP183" s="143">
        <v>11.0</v>
      </c>
      <c r="AQ183" s="128">
        <v>17.0</v>
      </c>
      <c r="AR183" s="44" t="s">
        <v>377</v>
      </c>
      <c r="AS183" s="44" t="s">
        <v>232</v>
      </c>
      <c r="AT183" s="44">
        <v>182.0</v>
      </c>
      <c r="AU183" s="44"/>
      <c r="AW183" s="93"/>
      <c r="AY183" s="93"/>
      <c r="AZ183" s="93"/>
      <c r="BA183" s="93"/>
      <c r="BB183" s="155"/>
      <c r="BC183" s="93"/>
      <c r="BE183" s="93"/>
      <c r="BG183" s="93"/>
      <c r="BH183" s="93"/>
      <c r="BI183" s="93"/>
      <c r="BJ183" s="155"/>
      <c r="BK183" s="93"/>
    </row>
    <row r="184">
      <c r="A184" s="154">
        <v>44216.04305555556</v>
      </c>
      <c r="B184" s="141" t="s">
        <v>61</v>
      </c>
      <c r="C184" s="128">
        <v>983.8701933046774</v>
      </c>
      <c r="D184" s="128">
        <v>20.0</v>
      </c>
      <c r="E184" s="142">
        <v>986.8713096767129</v>
      </c>
      <c r="F184" s="44" t="s">
        <v>92</v>
      </c>
      <c r="G184" s="128">
        <v>994.2103973785505</v>
      </c>
      <c r="H184" s="128">
        <v>18.0</v>
      </c>
      <c r="I184" s="128">
        <v>996.6578688107445</v>
      </c>
      <c r="J184" s="141" t="s">
        <v>107</v>
      </c>
      <c r="K184" s="128">
        <v>1022.2782559692675</v>
      </c>
      <c r="L184" s="128">
        <v>23.0</v>
      </c>
      <c r="M184" s="142">
        <v>1025.6034518077176</v>
      </c>
      <c r="N184" s="44" t="s">
        <v>47</v>
      </c>
      <c r="O184" s="128">
        <v>1044.6149372309835</v>
      </c>
      <c r="P184" s="128">
        <v>13.0</v>
      </c>
      <c r="Q184" s="128">
        <v>1045.8411535883038</v>
      </c>
      <c r="R184" s="148"/>
      <c r="U184" s="149"/>
      <c r="V184" s="44" t="s">
        <v>245</v>
      </c>
      <c r="W184" s="128">
        <v>994.6507884514252</v>
      </c>
      <c r="X184" s="128">
        <v>25.0</v>
      </c>
      <c r="Y184" s="128">
        <v>993.2702994628715</v>
      </c>
      <c r="Z184" s="141" t="s">
        <v>112</v>
      </c>
      <c r="AA184" s="128">
        <v>995.4730746937162</v>
      </c>
      <c r="AB184" s="128">
        <v>18.0</v>
      </c>
      <c r="AC184" s="142">
        <v>992.6248609879194</v>
      </c>
      <c r="AD184" s="44" t="s">
        <v>27</v>
      </c>
      <c r="AE184" s="128">
        <v>1007.6338959257519</v>
      </c>
      <c r="AF184" s="128">
        <v>7.0</v>
      </c>
      <c r="AG184" s="128">
        <v>1002.3893463793864</v>
      </c>
      <c r="AH184" s="141" t="s">
        <v>23</v>
      </c>
      <c r="AI184" s="128">
        <v>1046.9468782462493</v>
      </c>
      <c r="AJ184" s="128">
        <v>30.0</v>
      </c>
      <c r="AK184" s="142">
        <v>1046.420130486965</v>
      </c>
      <c r="AP184" s="143">
        <v>15.0</v>
      </c>
      <c r="AQ184" s="128">
        <v>13.0</v>
      </c>
      <c r="AR184" s="44" t="s">
        <v>378</v>
      </c>
      <c r="AS184" s="44" t="s">
        <v>232</v>
      </c>
      <c r="AT184" s="44">
        <v>183.0</v>
      </c>
      <c r="AU184" s="44"/>
      <c r="AW184" s="93"/>
      <c r="AY184" s="93"/>
      <c r="AZ184" s="93"/>
      <c r="BA184" s="93"/>
      <c r="BB184" s="155"/>
      <c r="BC184" s="93"/>
      <c r="BE184" s="93"/>
      <c r="BG184" s="93"/>
      <c r="BH184" s="93"/>
      <c r="BI184" s="93"/>
      <c r="BJ184" s="155"/>
      <c r="BK184" s="93"/>
    </row>
    <row r="185">
      <c r="A185" s="154">
        <v>44216.97708333333</v>
      </c>
      <c r="B185" s="141" t="s">
        <v>61</v>
      </c>
      <c r="C185" s="128">
        <v>986.8713096767129</v>
      </c>
      <c r="D185" s="128">
        <v>10.0</v>
      </c>
      <c r="E185" s="142">
        <v>977.865165317598</v>
      </c>
      <c r="F185" s="44" t="s">
        <v>112</v>
      </c>
      <c r="G185" s="128">
        <v>992.6248609879194</v>
      </c>
      <c r="H185" s="128">
        <v>19.0</v>
      </c>
      <c r="I185" s="128">
        <v>987.4247974316229</v>
      </c>
      <c r="J185" s="141" t="s">
        <v>107</v>
      </c>
      <c r="K185" s="128">
        <v>1025.6034518077176</v>
      </c>
      <c r="L185" s="128">
        <v>21.0</v>
      </c>
      <c r="M185" s="142">
        <v>1020.9109284025919</v>
      </c>
      <c r="N185" s="44" t="s">
        <v>47</v>
      </c>
      <c r="O185" s="128">
        <v>1045.8411535883038</v>
      </c>
      <c r="P185" s="128">
        <v>27.0</v>
      </c>
      <c r="Q185" s="128">
        <v>1043.739884908841</v>
      </c>
      <c r="R185" s="148"/>
      <c r="U185" s="149"/>
      <c r="V185" s="44" t="s">
        <v>90</v>
      </c>
      <c r="W185" s="128">
        <v>994.7096367545497</v>
      </c>
      <c r="X185" s="128">
        <v>18.0</v>
      </c>
      <c r="Y185" s="128">
        <v>998.682684885461</v>
      </c>
      <c r="Z185" s="141" t="s">
        <v>92</v>
      </c>
      <c r="AA185" s="128">
        <v>996.6578688107445</v>
      </c>
      <c r="AB185" s="128">
        <v>17.0</v>
      </c>
      <c r="AC185" s="142">
        <v>1000.1530688690042</v>
      </c>
      <c r="AD185" s="44" t="s">
        <v>27</v>
      </c>
      <c r="AE185" s="128">
        <v>1002.3893463793864</v>
      </c>
      <c r="AF185" s="128">
        <v>18.0</v>
      </c>
      <c r="AG185" s="128">
        <v>1006.2191819707639</v>
      </c>
      <c r="AH185" s="141" t="s">
        <v>23</v>
      </c>
      <c r="AI185" s="128">
        <v>1046.420130486965</v>
      </c>
      <c r="AJ185" s="128">
        <v>32.0</v>
      </c>
      <c r="AK185" s="142">
        <v>1056.1220467064165</v>
      </c>
      <c r="AP185" s="143">
        <v>12.0</v>
      </c>
      <c r="AQ185" s="128">
        <v>16.0</v>
      </c>
      <c r="AR185" s="44" t="s">
        <v>379</v>
      </c>
      <c r="AS185" s="44" t="s">
        <v>253</v>
      </c>
      <c r="AT185" s="44">
        <v>184.0</v>
      </c>
      <c r="AU185" s="44"/>
      <c r="AW185" s="93"/>
      <c r="AY185" s="93"/>
      <c r="AZ185" s="93"/>
      <c r="BA185" s="93"/>
      <c r="BB185" s="155"/>
      <c r="BC185" s="93"/>
      <c r="BE185" s="93"/>
      <c r="BG185" s="93"/>
      <c r="BH185" s="93"/>
      <c r="BI185" s="93"/>
      <c r="BJ185" s="155"/>
      <c r="BK185" s="93"/>
    </row>
    <row r="186">
      <c r="A186" s="154">
        <v>44217.0125</v>
      </c>
      <c r="B186" s="141" t="s">
        <v>61</v>
      </c>
      <c r="C186" s="128">
        <v>977.865165317598</v>
      </c>
      <c r="D186" s="128">
        <v>13.0</v>
      </c>
      <c r="E186" s="142">
        <v>981.5368591442772</v>
      </c>
      <c r="F186" s="44" t="s">
        <v>92</v>
      </c>
      <c r="G186" s="128">
        <v>1000.1530688690042</v>
      </c>
      <c r="H186" s="128">
        <v>28.0</v>
      </c>
      <c r="I186" s="128">
        <v>1011.5406144054579</v>
      </c>
      <c r="J186" s="141" t="s">
        <v>47</v>
      </c>
      <c r="K186" s="128">
        <v>1043.739884908841</v>
      </c>
      <c r="L186" s="128">
        <v>17.0</v>
      </c>
      <c r="M186" s="142">
        <v>1048.6806455457083</v>
      </c>
      <c r="R186" s="148"/>
      <c r="U186" s="149"/>
      <c r="V186" s="44" t="s">
        <v>245</v>
      </c>
      <c r="W186" s="128">
        <v>993.2702994628715</v>
      </c>
      <c r="X186" s="128">
        <v>16.0</v>
      </c>
      <c r="Y186" s="128">
        <v>986.2394815998003</v>
      </c>
      <c r="Z186" s="141" t="s">
        <v>27</v>
      </c>
      <c r="AA186" s="128">
        <v>1006.2191819707639</v>
      </c>
      <c r="AB186" s="128">
        <v>14.0</v>
      </c>
      <c r="AC186" s="142">
        <v>997.8580111334416</v>
      </c>
      <c r="AD186" s="44" t="s">
        <v>107</v>
      </c>
      <c r="AE186" s="128">
        <v>1020.9109284025919</v>
      </c>
      <c r="AF186" s="128">
        <v>21.0</v>
      </c>
      <c r="AG186" s="128">
        <v>1016.3029171029854</v>
      </c>
      <c r="AH186" s="148"/>
      <c r="AK186" s="149"/>
      <c r="AP186" s="143">
        <v>16.0</v>
      </c>
      <c r="AQ186" s="128">
        <v>12.0</v>
      </c>
      <c r="AR186" s="44" t="s">
        <v>380</v>
      </c>
      <c r="AS186" s="44" t="s">
        <v>253</v>
      </c>
      <c r="AT186" s="44">
        <v>185.0</v>
      </c>
      <c r="AU186" s="44"/>
      <c r="AW186" s="93"/>
      <c r="AY186" s="93"/>
      <c r="AZ186" s="93"/>
      <c r="BA186" s="93"/>
      <c r="BB186" s="155"/>
      <c r="BC186" s="93"/>
      <c r="BE186" s="93"/>
      <c r="BG186" s="93"/>
      <c r="BH186" s="93"/>
      <c r="BI186" s="93"/>
      <c r="BJ186" s="155"/>
      <c r="BK186" s="93"/>
    </row>
    <row r="187">
      <c r="A187" s="154">
        <v>44217.04236111111</v>
      </c>
      <c r="B187" s="141" t="s">
        <v>61</v>
      </c>
      <c r="C187" s="128">
        <v>981.5368591442772</v>
      </c>
      <c r="D187" s="128">
        <v>12.0</v>
      </c>
      <c r="E187" s="142">
        <v>972.0157312902301</v>
      </c>
      <c r="F187" s="44" t="s">
        <v>245</v>
      </c>
      <c r="G187" s="128">
        <v>986.2394815998003</v>
      </c>
      <c r="H187" s="128">
        <v>28.0</v>
      </c>
      <c r="I187" s="128">
        <v>985.4744989701159</v>
      </c>
      <c r="J187" s="141" t="s">
        <v>47</v>
      </c>
      <c r="K187" s="128">
        <v>1048.6806455457083</v>
      </c>
      <c r="L187" s="128">
        <v>13.0</v>
      </c>
      <c r="M187" s="142">
        <v>1038.96675602944</v>
      </c>
      <c r="R187" s="148"/>
      <c r="U187" s="149"/>
      <c r="V187" s="44" t="s">
        <v>112</v>
      </c>
      <c r="W187" s="128">
        <v>987.4247974316229</v>
      </c>
      <c r="X187" s="128">
        <v>10.0</v>
      </c>
      <c r="Y187" s="128">
        <v>989.7699265753473</v>
      </c>
      <c r="Z187" s="141" t="s">
        <v>92</v>
      </c>
      <c r="AA187" s="128">
        <v>1011.5406144054579</v>
      </c>
      <c r="AB187" s="128">
        <v>19.0</v>
      </c>
      <c r="AC187" s="142">
        <v>1018.4465616179391</v>
      </c>
      <c r="AD187" s="44" t="s">
        <v>107</v>
      </c>
      <c r="AE187" s="128">
        <v>1016.3029171029854</v>
      </c>
      <c r="AF187" s="128">
        <v>26.0</v>
      </c>
      <c r="AG187" s="128">
        <v>1027.0518407467798</v>
      </c>
      <c r="AH187" s="148"/>
      <c r="AK187" s="149"/>
      <c r="AP187" s="143">
        <v>12.0</v>
      </c>
      <c r="AQ187" s="128">
        <v>16.0</v>
      </c>
      <c r="AR187" s="44"/>
      <c r="AS187" s="44" t="s">
        <v>243</v>
      </c>
      <c r="AT187" s="44">
        <v>186.0</v>
      </c>
      <c r="AU187" s="44"/>
      <c r="AW187" s="93"/>
      <c r="AY187" s="93"/>
      <c r="AZ187" s="93"/>
      <c r="BA187" s="93"/>
      <c r="BB187" s="155"/>
      <c r="BC187" s="93"/>
      <c r="BE187" s="93"/>
      <c r="BG187" s="93"/>
      <c r="BH187" s="93"/>
      <c r="BI187" s="93"/>
      <c r="BJ187" s="155"/>
      <c r="BK187" s="93"/>
    </row>
    <row r="188">
      <c r="A188" s="154">
        <v>44217.94583333333</v>
      </c>
      <c r="B188" s="141" t="s">
        <v>61</v>
      </c>
      <c r="C188" s="128">
        <v>972.0157312902301</v>
      </c>
      <c r="D188" s="128">
        <v>16.0</v>
      </c>
      <c r="E188" s="142">
        <v>969.5696795222424</v>
      </c>
      <c r="F188" s="44" t="s">
        <v>123</v>
      </c>
      <c r="G188" s="128">
        <v>997.0894558490706</v>
      </c>
      <c r="H188" s="128">
        <v>22.0</v>
      </c>
      <c r="I188" s="128">
        <v>995.4125210687116</v>
      </c>
      <c r="J188" s="141" t="s">
        <v>228</v>
      </c>
      <c r="K188" s="128">
        <v>997.1524595352696</v>
      </c>
      <c r="L188" s="128">
        <v>9.0</v>
      </c>
      <c r="M188" s="142">
        <v>993.3084553391195</v>
      </c>
      <c r="N188" s="44" t="s">
        <v>248</v>
      </c>
      <c r="O188" s="128">
        <v>1007.2773409198107</v>
      </c>
      <c r="P188" s="128">
        <v>16.0</v>
      </c>
      <c r="Q188" s="128">
        <v>1004.5459645790548</v>
      </c>
      <c r="R188" s="141" t="s">
        <v>23</v>
      </c>
      <c r="S188" s="128">
        <v>1056.1220467064165</v>
      </c>
      <c r="T188" s="128">
        <v>37.0</v>
      </c>
      <c r="U188" s="142">
        <v>1056.8204137916694</v>
      </c>
      <c r="V188" s="44" t="s">
        <v>58</v>
      </c>
      <c r="W188" s="128">
        <v>989.1132369164569</v>
      </c>
      <c r="X188" s="128">
        <v>17.0</v>
      </c>
      <c r="Y188" s="128">
        <v>990.5888557299971</v>
      </c>
      <c r="Z188" s="141" t="s">
        <v>112</v>
      </c>
      <c r="AA188" s="128">
        <v>989.7699265753473</v>
      </c>
      <c r="AB188" s="128">
        <v>24.0</v>
      </c>
      <c r="AC188" s="142">
        <v>992.4067809575333</v>
      </c>
      <c r="AD188" s="44" t="s">
        <v>98</v>
      </c>
      <c r="AE188" s="128">
        <v>993.8782098153494</v>
      </c>
      <c r="AF188" s="128">
        <v>20.0</v>
      </c>
      <c r="AG188" s="128">
        <v>995.8166668700427</v>
      </c>
      <c r="AH188" s="141" t="s">
        <v>92</v>
      </c>
      <c r="AI188" s="128">
        <v>1018.4465616179391</v>
      </c>
      <c r="AJ188" s="128">
        <v>14.0</v>
      </c>
      <c r="AK188" s="142">
        <v>1019.2687647043184</v>
      </c>
      <c r="AL188" s="44" t="s">
        <v>47</v>
      </c>
      <c r="AM188" s="128">
        <v>1038.96675602944</v>
      </c>
      <c r="AN188" s="128">
        <v>28.0</v>
      </c>
      <c r="AO188" s="128">
        <v>1042.093622692641</v>
      </c>
      <c r="AP188" s="143">
        <v>13.0</v>
      </c>
      <c r="AQ188" s="128">
        <v>15.0</v>
      </c>
      <c r="AR188" s="44" t="s">
        <v>381</v>
      </c>
      <c r="AS188" s="44" t="s">
        <v>255</v>
      </c>
      <c r="AT188" s="44">
        <v>187.0</v>
      </c>
      <c r="AU188" s="44"/>
      <c r="AW188" s="93"/>
      <c r="AY188" s="93"/>
      <c r="AZ188" s="93"/>
      <c r="BA188" s="93"/>
      <c r="BB188" s="155"/>
      <c r="BC188" s="93"/>
      <c r="BE188" s="93"/>
      <c r="BG188" s="93"/>
      <c r="BH188" s="93"/>
      <c r="BI188" s="93"/>
      <c r="BJ188" s="155"/>
      <c r="BK188" s="93"/>
    </row>
    <row r="189">
      <c r="A189" s="154">
        <v>44217.98472222222</v>
      </c>
      <c r="B189" s="141" t="s">
        <v>61</v>
      </c>
      <c r="C189" s="128">
        <v>969.5696795222424</v>
      </c>
      <c r="D189" s="128">
        <v>20.0</v>
      </c>
      <c r="E189" s="142">
        <v>966.8819130273573</v>
      </c>
      <c r="F189" s="44" t="s">
        <v>58</v>
      </c>
      <c r="G189" s="128">
        <v>990.5888557299971</v>
      </c>
      <c r="H189" s="128">
        <v>10.0</v>
      </c>
      <c r="I189" s="128">
        <v>984.2081097331079</v>
      </c>
      <c r="J189" s="141" t="s">
        <v>92</v>
      </c>
      <c r="K189" s="128">
        <v>1019.2687647043184</v>
      </c>
      <c r="L189" s="128">
        <v>11.0</v>
      </c>
      <c r="M189" s="142">
        <v>1012.9831286525742</v>
      </c>
      <c r="N189" s="44" t="s">
        <v>107</v>
      </c>
      <c r="O189" s="128">
        <v>1027.0518407467798</v>
      </c>
      <c r="P189" s="128">
        <v>25.0</v>
      </c>
      <c r="Q189" s="128">
        <v>1025.4071626942566</v>
      </c>
      <c r="R189" s="141" t="s">
        <v>47</v>
      </c>
      <c r="S189" s="128">
        <v>1042.093622692641</v>
      </c>
      <c r="T189" s="128">
        <v>21.0</v>
      </c>
      <c r="U189" s="142">
        <v>1039.0924492886827</v>
      </c>
      <c r="V189" s="44" t="s">
        <v>112</v>
      </c>
      <c r="W189" s="128">
        <v>992.4067809575333</v>
      </c>
      <c r="X189" s="128">
        <v>21.0</v>
      </c>
      <c r="Y189" s="128">
        <v>996.6582874205516</v>
      </c>
      <c r="Z189" s="141" t="s">
        <v>123</v>
      </c>
      <c r="AA189" s="128">
        <v>995.4125210687116</v>
      </c>
      <c r="AB189" s="128">
        <v>23.0</v>
      </c>
      <c r="AC189" s="142">
        <v>1000.288447744372</v>
      </c>
      <c r="AD189" s="44" t="s">
        <v>90</v>
      </c>
      <c r="AE189" s="128">
        <v>998.682684885461</v>
      </c>
      <c r="AF189" s="128">
        <v>15.0</v>
      </c>
      <c r="AG189" s="128">
        <v>1000.8503302471903</v>
      </c>
      <c r="AH189" s="141" t="s">
        <v>248</v>
      </c>
      <c r="AI189" s="128">
        <v>1004.5459645790548</v>
      </c>
      <c r="AJ189" s="128">
        <v>16.0</v>
      </c>
      <c r="AK189" s="142">
        <v>1006.9832428375962</v>
      </c>
      <c r="AL189" s="44" t="s">
        <v>23</v>
      </c>
      <c r="AM189" s="128">
        <v>1056.8204137916694</v>
      </c>
      <c r="AN189" s="128">
        <v>28.0</v>
      </c>
      <c r="AO189" s="128">
        <v>1063.0880570327201</v>
      </c>
      <c r="AP189" s="143">
        <v>11.0</v>
      </c>
      <c r="AQ189" s="128">
        <v>17.0</v>
      </c>
      <c r="AR189" s="44" t="s">
        <v>382</v>
      </c>
      <c r="AS189" s="44" t="s">
        <v>232</v>
      </c>
      <c r="AT189" s="44">
        <v>188.0</v>
      </c>
      <c r="AU189" s="44"/>
      <c r="AW189" s="93"/>
      <c r="AY189" s="93"/>
      <c r="AZ189" s="93"/>
      <c r="BA189" s="93"/>
      <c r="BB189" s="155"/>
      <c r="BC189" s="93"/>
      <c r="BE189" s="93"/>
      <c r="BG189" s="93"/>
      <c r="BH189" s="93"/>
      <c r="BI189" s="93"/>
      <c r="BJ189" s="155"/>
      <c r="BK189" s="93"/>
    </row>
    <row r="190">
      <c r="A190" s="154">
        <v>44218.02013888889</v>
      </c>
      <c r="B190" s="141" t="s">
        <v>61</v>
      </c>
      <c r="C190" s="128">
        <v>966.8819130273573</v>
      </c>
      <c r="D190" s="128">
        <v>14.0</v>
      </c>
      <c r="E190" s="142">
        <v>969.4181287867575</v>
      </c>
      <c r="F190" s="44" t="s">
        <v>112</v>
      </c>
      <c r="G190" s="128">
        <v>996.6582874205516</v>
      </c>
      <c r="H190" s="128">
        <v>28.0</v>
      </c>
      <c r="I190" s="128">
        <v>1005.9137324813919</v>
      </c>
      <c r="J190" s="141" t="s">
        <v>23</v>
      </c>
      <c r="K190" s="128">
        <v>1063.0880570327201</v>
      </c>
      <c r="L190" s="128">
        <v>27.0</v>
      </c>
      <c r="M190" s="142">
        <v>1071.2963962124797</v>
      </c>
      <c r="R190" s="148"/>
      <c r="U190" s="149"/>
      <c r="V190" s="44" t="s">
        <v>27</v>
      </c>
      <c r="W190" s="128">
        <v>997.8580111334416</v>
      </c>
      <c r="X190" s="128">
        <v>22.0</v>
      </c>
      <c r="Y190" s="128">
        <v>993.524252937635</v>
      </c>
      <c r="Z190" s="141" t="s">
        <v>123</v>
      </c>
      <c r="AA190" s="128">
        <v>1000.288447744372</v>
      </c>
      <c r="AB190" s="128">
        <v>10.0</v>
      </c>
      <c r="AC190" s="142">
        <v>989.2472893881018</v>
      </c>
      <c r="AD190" s="44" t="s">
        <v>107</v>
      </c>
      <c r="AE190" s="128">
        <v>1025.4071626942566</v>
      </c>
      <c r="AF190" s="128">
        <v>22.0</v>
      </c>
      <c r="AG190" s="128">
        <v>1020.7820792463334</v>
      </c>
      <c r="AH190" s="148"/>
      <c r="AK190" s="149"/>
      <c r="AP190" s="143">
        <v>18.0</v>
      </c>
      <c r="AQ190" s="128">
        <v>10.0</v>
      </c>
      <c r="AR190" s="44" t="s">
        <v>383</v>
      </c>
      <c r="AS190" s="44" t="s">
        <v>384</v>
      </c>
      <c r="AT190" s="44">
        <v>189.0</v>
      </c>
      <c r="AU190" s="44"/>
      <c r="AW190" s="93"/>
      <c r="AY190" s="93"/>
      <c r="AZ190" s="93"/>
      <c r="BA190" s="93"/>
      <c r="BB190" s="155"/>
      <c r="BC190" s="93"/>
      <c r="BE190" s="93"/>
      <c r="BG190" s="93"/>
      <c r="BH190" s="93"/>
      <c r="BI190" s="93"/>
      <c r="BJ190" s="155"/>
      <c r="BK190" s="93"/>
    </row>
    <row r="191">
      <c r="A191" s="154">
        <v>44218.03402777778</v>
      </c>
      <c r="B191" s="141" t="s">
        <v>23</v>
      </c>
      <c r="C191" s="128">
        <v>1071.2963962124797</v>
      </c>
      <c r="D191" s="128">
        <v>14.0</v>
      </c>
      <c r="E191" s="142">
        <v>1070.2963962124797</v>
      </c>
      <c r="J191" s="148"/>
      <c r="M191" s="149"/>
      <c r="R191" s="148"/>
      <c r="U191" s="149"/>
      <c r="V191" s="44" t="s">
        <v>107</v>
      </c>
      <c r="W191" s="128">
        <v>1020.7820792463334</v>
      </c>
      <c r="X191" s="128">
        <v>14.0</v>
      </c>
      <c r="Y191" s="128">
        <v>1021.7820792463334</v>
      </c>
      <c r="Z191" s="148"/>
      <c r="AC191" s="149"/>
      <c r="AH191" s="148"/>
      <c r="AK191" s="149"/>
      <c r="AP191" s="143">
        <v>14.0</v>
      </c>
      <c r="AQ191" s="128">
        <v>14.0</v>
      </c>
      <c r="AR191" s="44" t="s">
        <v>385</v>
      </c>
      <c r="AS191" s="44" t="s">
        <v>386</v>
      </c>
      <c r="AT191" s="44">
        <v>190.0</v>
      </c>
      <c r="AU191" s="44"/>
      <c r="AW191" s="93"/>
      <c r="AY191" s="93"/>
      <c r="AZ191" s="93"/>
      <c r="BA191" s="93"/>
      <c r="BB191" s="155"/>
      <c r="BC191" s="93"/>
      <c r="BE191" s="93"/>
      <c r="BG191" s="93"/>
      <c r="BH191" s="93"/>
      <c r="BI191" s="93"/>
      <c r="BJ191" s="155"/>
      <c r="BK191" s="93"/>
    </row>
    <row r="192">
      <c r="A192" s="154">
        <v>44218.93194444444</v>
      </c>
      <c r="B192" s="141" t="s">
        <v>363</v>
      </c>
      <c r="C192" s="128">
        <v>995.8101339262736</v>
      </c>
      <c r="D192" s="128">
        <v>17.0</v>
      </c>
      <c r="E192" s="142">
        <v>997.7804633127602</v>
      </c>
      <c r="F192" s="44" t="s">
        <v>98</v>
      </c>
      <c r="G192" s="128">
        <v>995.8166668700427</v>
      </c>
      <c r="H192" s="128">
        <v>23.0</v>
      </c>
      <c r="I192" s="128">
        <v>1001.7867798228779</v>
      </c>
      <c r="J192" s="141" t="s">
        <v>236</v>
      </c>
      <c r="K192" s="128">
        <v>1003.2717094091306</v>
      </c>
      <c r="L192" s="128">
        <v>35.0</v>
      </c>
      <c r="M192" s="142">
        <v>1017.0231143627982</v>
      </c>
      <c r="N192" s="44" t="s">
        <v>248</v>
      </c>
      <c r="O192" s="128">
        <v>1006.9832428375962</v>
      </c>
      <c r="P192" s="128">
        <v>22.0</v>
      </c>
      <c r="Q192" s="128">
        <v>1011.9792743168229</v>
      </c>
      <c r="R192" s="141" t="s">
        <v>47</v>
      </c>
      <c r="S192" s="128">
        <v>1039.0924492886827</v>
      </c>
      <c r="T192" s="128">
        <v>35.0</v>
      </c>
      <c r="U192" s="142">
        <v>1052.4045705164665</v>
      </c>
      <c r="V192" s="44" t="s">
        <v>61</v>
      </c>
      <c r="W192" s="128">
        <v>969.4181287867575</v>
      </c>
      <c r="X192" s="128">
        <v>11.0</v>
      </c>
      <c r="Y192" s="128">
        <v>956.5999374484309</v>
      </c>
      <c r="Z192" s="141" t="s">
        <v>364</v>
      </c>
      <c r="AA192" s="128">
        <v>994.884992216463</v>
      </c>
      <c r="AB192" s="128">
        <v>6.0</v>
      </c>
      <c r="AC192" s="142">
        <v>977.8149464283296</v>
      </c>
      <c r="AD192" s="44" t="s">
        <v>324</v>
      </c>
      <c r="AE192" s="128">
        <v>1000.0</v>
      </c>
      <c r="AF192" s="128">
        <v>20.0</v>
      </c>
      <c r="AG192" s="128">
        <v>992.1419526615333</v>
      </c>
      <c r="AH192" s="141" t="s">
        <v>112</v>
      </c>
      <c r="AI192" s="128">
        <v>1005.9137324813919</v>
      </c>
      <c r="AJ192" s="128">
        <v>25.0</v>
      </c>
      <c r="AK192" s="142">
        <v>1001.2732015986186</v>
      </c>
      <c r="AL192" s="44" t="s">
        <v>23</v>
      </c>
      <c r="AM192" s="128">
        <v>1070.2963962124797</v>
      </c>
      <c r="AN192" s="128">
        <v>36.0</v>
      </c>
      <c r="AO192" s="128">
        <v>1072.68321156018</v>
      </c>
      <c r="AP192" s="143">
        <v>22.0</v>
      </c>
      <c r="AQ192" s="128">
        <v>6.0</v>
      </c>
      <c r="AR192" s="44" t="s">
        <v>387</v>
      </c>
      <c r="AS192" s="44" t="s">
        <v>232</v>
      </c>
      <c r="AT192" s="44">
        <v>191.0</v>
      </c>
      <c r="AU192" s="44"/>
      <c r="AV192" s="163" t="s">
        <v>228</v>
      </c>
      <c r="AW192" s="45">
        <v>993.31</v>
      </c>
      <c r="AX192" s="164" t="s">
        <v>388</v>
      </c>
      <c r="AY192" s="45">
        <v>994.81</v>
      </c>
      <c r="AZ192" s="146" t="s">
        <v>92</v>
      </c>
      <c r="BA192" s="142">
        <f>1012.98312865257</f>
        <v>1012.983129</v>
      </c>
      <c r="BB192" s="44">
        <v>25.0</v>
      </c>
      <c r="BC192" s="142">
        <f>1012.98312865257+7</f>
        <v>1019.983129</v>
      </c>
      <c r="BD192" s="44" t="s">
        <v>224</v>
      </c>
      <c r="BE192" s="145">
        <v>980.83</v>
      </c>
      <c r="BF192" s="44">
        <v>15.0</v>
      </c>
      <c r="BG192" s="145">
        <v>970.83</v>
      </c>
      <c r="BH192" s="145" t="s">
        <v>389</v>
      </c>
      <c r="BI192" s="44">
        <f>1019.983129-19.983129</f>
        <v>1000</v>
      </c>
      <c r="BJ192" s="146" t="s">
        <v>390</v>
      </c>
      <c r="BK192" s="145">
        <f>1000-18</f>
        <v>982</v>
      </c>
    </row>
    <row r="193">
      <c r="A193" s="154">
        <v>44218.993055555555</v>
      </c>
      <c r="B193" s="141" t="s">
        <v>61</v>
      </c>
      <c r="C193" s="128">
        <v>956.5999374484309</v>
      </c>
      <c r="D193" s="128">
        <v>20.0</v>
      </c>
      <c r="E193" s="142">
        <v>965.0876657152287</v>
      </c>
      <c r="F193" s="44" t="s">
        <v>245</v>
      </c>
      <c r="G193" s="128">
        <v>985.4744989701159</v>
      </c>
      <c r="H193" s="128">
        <v>28.0</v>
      </c>
      <c r="I193" s="128">
        <v>999.2800378843507</v>
      </c>
      <c r="J193" s="141" t="s">
        <v>27</v>
      </c>
      <c r="K193" s="128">
        <v>993.524252937635</v>
      </c>
      <c r="L193" s="128">
        <v>27.0</v>
      </c>
      <c r="M193" s="142">
        <v>1006.1300459556377</v>
      </c>
      <c r="N193" s="44" t="s">
        <v>112</v>
      </c>
      <c r="O193" s="128">
        <v>1001.2732015986186</v>
      </c>
      <c r="P193" s="128">
        <v>21.0</v>
      </c>
      <c r="Q193" s="128">
        <v>1008.3741413995831</v>
      </c>
      <c r="R193" s="148"/>
      <c r="U193" s="149"/>
      <c r="V193" s="44" t="s">
        <v>364</v>
      </c>
      <c r="W193" s="128">
        <v>977.8149464283296</v>
      </c>
      <c r="X193" s="128">
        <v>12.0</v>
      </c>
      <c r="Y193" s="128">
        <v>963.0764249725148</v>
      </c>
      <c r="Z193" s="141" t="s">
        <v>123</v>
      </c>
      <c r="AA193" s="128">
        <v>989.2472893881018</v>
      </c>
      <c r="AB193" s="128">
        <v>16.0</v>
      </c>
      <c r="AC193" s="142">
        <v>977.6353808339657</v>
      </c>
      <c r="AD193" s="44" t="s">
        <v>324</v>
      </c>
      <c r="AE193" s="128">
        <v>992.1419526615333</v>
      </c>
      <c r="AF193" s="128">
        <v>28.0</v>
      </c>
      <c r="AG193" s="128">
        <v>990.9497788755073</v>
      </c>
      <c r="AH193" s="141" t="s">
        <v>363</v>
      </c>
      <c r="AI193" s="128">
        <v>997.7804633127602</v>
      </c>
      <c r="AJ193" s="128">
        <v>13.0</v>
      </c>
      <c r="AK193" s="142">
        <v>983.3230671087371</v>
      </c>
      <c r="AP193" s="143">
        <v>19.0</v>
      </c>
      <c r="AQ193" s="128">
        <v>9.0</v>
      </c>
      <c r="AR193" s="44" t="s">
        <v>391</v>
      </c>
      <c r="AS193" s="44" t="s">
        <v>232</v>
      </c>
      <c r="AT193" s="44">
        <v>192.0</v>
      </c>
      <c r="AU193" s="44"/>
      <c r="AW193" s="93"/>
      <c r="AY193" s="93"/>
      <c r="BE193" s="93"/>
      <c r="BG193" s="93"/>
      <c r="BH193" s="93"/>
      <c r="BI193" s="93"/>
      <c r="BJ193" s="155"/>
      <c r="BK193" s="93"/>
    </row>
    <row r="194">
      <c r="A194" s="154">
        <v>44219.00208333333</v>
      </c>
      <c r="B194" s="141" t="s">
        <v>90</v>
      </c>
      <c r="C194" s="128">
        <v>1000.8503302471903</v>
      </c>
      <c r="D194" s="128">
        <v>15.0</v>
      </c>
      <c r="E194" s="142">
        <v>1000.8503302471903</v>
      </c>
      <c r="F194" s="44" t="s">
        <v>98</v>
      </c>
      <c r="G194" s="128">
        <v>1001.7867798228779</v>
      </c>
      <c r="H194" s="128">
        <v>22.0</v>
      </c>
      <c r="I194" s="128">
        <v>1001.7867798228779</v>
      </c>
      <c r="J194" s="141" t="s">
        <v>23</v>
      </c>
      <c r="K194" s="128">
        <v>1072.68321156018</v>
      </c>
      <c r="L194" s="128">
        <v>43.0</v>
      </c>
      <c r="M194" s="142">
        <v>1072.68321156018</v>
      </c>
      <c r="R194" s="148"/>
      <c r="U194" s="149"/>
      <c r="V194" s="44" t="s">
        <v>248</v>
      </c>
      <c r="W194" s="128">
        <v>1011.9792743168229</v>
      </c>
      <c r="X194" s="128">
        <v>28.0</v>
      </c>
      <c r="Y194" s="128">
        <v>1011.9792743168229</v>
      </c>
      <c r="Z194" s="141" t="s">
        <v>92</v>
      </c>
      <c r="AA194" s="128">
        <v>1019.98312865257</v>
      </c>
      <c r="AB194" s="128">
        <v>30.0</v>
      </c>
      <c r="AC194" s="142">
        <v>1019.98312865257</v>
      </c>
      <c r="AD194" s="44" t="s">
        <v>47</v>
      </c>
      <c r="AE194" s="128">
        <v>1052.4045705164665</v>
      </c>
      <c r="AF194" s="128">
        <v>30.0</v>
      </c>
      <c r="AG194" s="128">
        <v>1052.4045705164665</v>
      </c>
      <c r="AH194" s="148"/>
      <c r="AK194" s="149"/>
      <c r="AP194" s="143">
        <v>21.0</v>
      </c>
      <c r="AQ194" s="128">
        <v>21.0</v>
      </c>
      <c r="AS194" s="44" t="s">
        <v>290</v>
      </c>
      <c r="AT194" s="44">
        <v>193.0</v>
      </c>
      <c r="AU194" s="44"/>
      <c r="AW194" s="93"/>
      <c r="AY194" s="93"/>
      <c r="AZ194" s="93"/>
      <c r="BA194" s="93"/>
      <c r="BB194" s="155"/>
      <c r="BC194" s="93"/>
      <c r="BE194" s="93"/>
      <c r="BG194" s="93"/>
      <c r="BH194" s="93"/>
      <c r="BI194" s="93"/>
      <c r="BJ194" s="155"/>
      <c r="BK194" s="93"/>
    </row>
    <row r="195">
      <c r="A195" s="154">
        <v>44219.05694444444</v>
      </c>
      <c r="B195" s="141" t="s">
        <v>61</v>
      </c>
      <c r="C195" s="128">
        <v>965.0876657152287</v>
      </c>
      <c r="D195" s="128">
        <v>8.0</v>
      </c>
      <c r="E195" s="142">
        <v>958.1212221529512</v>
      </c>
      <c r="F195" s="44" t="s">
        <v>98</v>
      </c>
      <c r="G195" s="128">
        <v>1001.7867798228779</v>
      </c>
      <c r="H195" s="128">
        <v>16.0</v>
      </c>
      <c r="I195" s="128">
        <v>997.0270437879118</v>
      </c>
      <c r="J195" s="141" t="s">
        <v>112</v>
      </c>
      <c r="K195" s="128">
        <v>1008.3741413995831</v>
      </c>
      <c r="L195" s="128">
        <v>18.0</v>
      </c>
      <c r="M195" s="142">
        <v>1004.2340114379043</v>
      </c>
      <c r="N195" s="44" t="s">
        <v>92</v>
      </c>
      <c r="O195" s="128">
        <v>1019.98312865257</v>
      </c>
      <c r="P195" s="128">
        <v>25.0</v>
      </c>
      <c r="Q195" s="128">
        <v>1018.115678313308</v>
      </c>
      <c r="R195" s="141" t="s">
        <v>47</v>
      </c>
      <c r="S195" s="128">
        <v>1052.4045705164665</v>
      </c>
      <c r="T195" s="128">
        <v>24.0</v>
      </c>
      <c r="U195" s="142">
        <v>1050.138330414651</v>
      </c>
      <c r="V195" s="44" t="s">
        <v>123</v>
      </c>
      <c r="W195" s="128">
        <v>977.6353808339657</v>
      </c>
      <c r="X195" s="128">
        <v>5.0</v>
      </c>
      <c r="Y195" s="128">
        <v>975.7359767786115</v>
      </c>
      <c r="Z195" s="141" t="s">
        <v>324</v>
      </c>
      <c r="AA195" s="128">
        <v>990.9497788755073</v>
      </c>
      <c r="AB195" s="128">
        <v>31.0</v>
      </c>
      <c r="AC195" s="142">
        <v>997.5046542646153</v>
      </c>
      <c r="AD195" s="44" t="s">
        <v>90</v>
      </c>
      <c r="AE195" s="128">
        <v>1000.8503302471903</v>
      </c>
      <c r="AF195" s="128">
        <v>15.0</v>
      </c>
      <c r="AG195" s="128">
        <v>1001.9519814888203</v>
      </c>
      <c r="AH195" s="141" t="s">
        <v>27</v>
      </c>
      <c r="AI195" s="128">
        <v>1006.1300459556377</v>
      </c>
      <c r="AJ195" s="128">
        <v>22.0</v>
      </c>
      <c r="AK195" s="142">
        <v>1009.5135962714112</v>
      </c>
      <c r="AL195" s="44" t="s">
        <v>23</v>
      </c>
      <c r="AM195" s="128">
        <v>1072.68321156018</v>
      </c>
      <c r="AN195" s="128">
        <v>45.0</v>
      </c>
      <c r="AO195" s="128">
        <v>1083.5425386690226</v>
      </c>
      <c r="AP195" s="143">
        <v>10.0</v>
      </c>
      <c r="AQ195" s="128">
        <v>18.0</v>
      </c>
      <c r="AR195" s="44" t="s">
        <v>392</v>
      </c>
      <c r="AS195" s="44" t="s">
        <v>393</v>
      </c>
      <c r="AT195" s="44">
        <v>194.0</v>
      </c>
      <c r="AU195" s="44"/>
      <c r="AW195" s="93"/>
      <c r="AY195" s="93"/>
      <c r="AZ195" s="93"/>
      <c r="BA195" s="93"/>
      <c r="BB195" s="155"/>
      <c r="BC195" s="93"/>
      <c r="BE195" s="93"/>
      <c r="BG195" s="93"/>
      <c r="BH195" s="93"/>
      <c r="BI195" s="93"/>
      <c r="BJ195" s="155"/>
      <c r="BK195" s="93"/>
    </row>
    <row r="196">
      <c r="A196" s="154">
        <v>44219.09444444445</v>
      </c>
      <c r="B196" s="141" t="s">
        <v>61</v>
      </c>
      <c r="C196" s="128">
        <v>958.1212221529512</v>
      </c>
      <c r="D196" s="128">
        <v>5.0</v>
      </c>
      <c r="E196" s="142">
        <v>957.9631695775773</v>
      </c>
      <c r="F196" s="44" t="s">
        <v>92</v>
      </c>
      <c r="G196" s="128">
        <v>1018.115678313308</v>
      </c>
      <c r="H196" s="128">
        <v>21.0</v>
      </c>
      <c r="I196" s="128">
        <v>1021.8430452216794</v>
      </c>
      <c r="J196" s="141" t="s">
        <v>23</v>
      </c>
      <c r="K196" s="128">
        <v>1083.5425386690226</v>
      </c>
      <c r="L196" s="128">
        <v>31.0</v>
      </c>
      <c r="M196" s="142">
        <v>1089.973224336025</v>
      </c>
      <c r="R196" s="148"/>
      <c r="U196" s="149"/>
      <c r="V196" s="44" t="s">
        <v>324</v>
      </c>
      <c r="W196" s="128">
        <v>997.5046542646153</v>
      </c>
      <c r="X196" s="128">
        <v>17.0</v>
      </c>
      <c r="Y196" s="128">
        <v>993.5976385976094</v>
      </c>
      <c r="Z196" s="141" t="s">
        <v>112</v>
      </c>
      <c r="AA196" s="128">
        <v>1004.2340114379043</v>
      </c>
      <c r="AB196" s="128">
        <v>23.0</v>
      </c>
      <c r="AC196" s="142">
        <v>1001.9485862221549</v>
      </c>
      <c r="AD196" s="44" t="s">
        <v>47</v>
      </c>
      <c r="AE196" s="128">
        <v>1050.138330414651</v>
      </c>
      <c r="AF196" s="128">
        <v>18.0</v>
      </c>
      <c r="AG196" s="128">
        <v>1046.3307712974063</v>
      </c>
      <c r="AH196" s="148"/>
      <c r="AK196" s="149"/>
      <c r="AP196" s="143">
        <v>15.0</v>
      </c>
      <c r="AQ196" s="128">
        <v>13.0</v>
      </c>
      <c r="AR196" s="44" t="s">
        <v>394</v>
      </c>
      <c r="AS196" s="44" t="s">
        <v>287</v>
      </c>
      <c r="AT196" s="44">
        <v>195.0</v>
      </c>
      <c r="AU196" s="44"/>
      <c r="AW196" s="93"/>
      <c r="AY196" s="93"/>
      <c r="AZ196" s="93"/>
      <c r="BA196" s="93"/>
      <c r="BB196" s="155"/>
      <c r="BC196" s="93"/>
      <c r="BE196" s="93"/>
      <c r="BG196" s="93"/>
      <c r="BH196" s="93"/>
      <c r="BI196" s="93"/>
      <c r="BJ196" s="155"/>
      <c r="BK196" s="93"/>
    </row>
    <row r="197">
      <c r="A197" s="154">
        <v>44219.99652777778</v>
      </c>
      <c r="B197" s="141" t="s">
        <v>61</v>
      </c>
      <c r="C197" s="128">
        <v>958.96</v>
      </c>
      <c r="D197" s="128">
        <v>27.0</v>
      </c>
      <c r="E197" s="142">
        <v>973.5344817544258</v>
      </c>
      <c r="F197" s="44" t="s">
        <v>27</v>
      </c>
      <c r="G197" s="128">
        <v>1009.51</v>
      </c>
      <c r="H197" s="128">
        <v>22.0</v>
      </c>
      <c r="I197" s="128">
        <v>1018.1396969615835</v>
      </c>
      <c r="J197" s="141" t="s">
        <v>248</v>
      </c>
      <c r="K197" s="128">
        <v>1011.98</v>
      </c>
      <c r="L197" s="128">
        <v>17.0</v>
      </c>
      <c r="M197" s="142">
        <v>1016.398883535719</v>
      </c>
      <c r="N197" s="44" t="s">
        <v>23</v>
      </c>
      <c r="O197" s="128">
        <v>1089.97</v>
      </c>
      <c r="P197" s="128">
        <v>27.0</v>
      </c>
      <c r="Q197" s="128">
        <v>1102.3469377482718</v>
      </c>
      <c r="R197" s="148"/>
      <c r="U197" s="149"/>
      <c r="V197" s="44" t="s">
        <v>98</v>
      </c>
      <c r="W197" s="128">
        <v>997.03</v>
      </c>
      <c r="X197" s="128">
        <v>20.0</v>
      </c>
      <c r="Y197" s="128">
        <v>990.3670872924814</v>
      </c>
      <c r="Z197" s="141" t="s">
        <v>90</v>
      </c>
      <c r="AA197" s="128">
        <v>1001.95</v>
      </c>
      <c r="AB197" s="128">
        <v>10.0</v>
      </c>
      <c r="AC197" s="142">
        <v>986.8702796018107</v>
      </c>
      <c r="AD197" s="44" t="s">
        <v>92</v>
      </c>
      <c r="AE197" s="128">
        <v>1021.84</v>
      </c>
      <c r="AF197" s="128">
        <v>17.0</v>
      </c>
      <c r="AG197" s="128">
        <v>1012.3567043024588</v>
      </c>
      <c r="AH197" s="141" t="s">
        <v>47</v>
      </c>
      <c r="AI197" s="128">
        <v>1046.33</v>
      </c>
      <c r="AJ197" s="128">
        <v>18.0</v>
      </c>
      <c r="AK197" s="142">
        <v>1037.5559288032491</v>
      </c>
      <c r="AP197" s="143">
        <v>20.0</v>
      </c>
      <c r="AQ197" s="128">
        <v>8.0</v>
      </c>
      <c r="AR197" s="44" t="s">
        <v>395</v>
      </c>
      <c r="AS197" s="44" t="s">
        <v>229</v>
      </c>
      <c r="AT197" s="44">
        <v>196.0</v>
      </c>
      <c r="AU197" s="44"/>
      <c r="AW197" s="93"/>
      <c r="AY197" s="93"/>
      <c r="AZ197" s="93"/>
      <c r="BA197" s="93"/>
      <c r="BB197" s="155"/>
      <c r="BC197" s="93"/>
      <c r="BE197" s="93"/>
      <c r="BG197" s="93"/>
      <c r="BH197" s="93"/>
      <c r="BI197" s="93"/>
      <c r="BJ197" s="155"/>
      <c r="BK197" s="93"/>
    </row>
    <row r="198">
      <c r="A198" s="154">
        <v>44220.05069444444</v>
      </c>
      <c r="B198" s="141" t="s">
        <v>61</v>
      </c>
      <c r="C198" s="128">
        <v>973.5344817544258</v>
      </c>
      <c r="D198" s="128">
        <v>21.0</v>
      </c>
      <c r="E198" s="142">
        <v>969.2871205380674</v>
      </c>
      <c r="F198" s="44" t="s">
        <v>90</v>
      </c>
      <c r="G198" s="128">
        <v>986.8702796018107</v>
      </c>
      <c r="H198" s="128">
        <v>9.0</v>
      </c>
      <c r="I198" s="128">
        <v>977.1589390758326</v>
      </c>
      <c r="J198" s="141" t="s">
        <v>27</v>
      </c>
      <c r="K198" s="128">
        <v>1018.1396969615835</v>
      </c>
      <c r="L198" s="128">
        <v>15.0</v>
      </c>
      <c r="M198" s="142">
        <v>1010.7444655191425</v>
      </c>
      <c r="N198" s="44" t="s">
        <v>23</v>
      </c>
      <c r="O198" s="128">
        <v>1102.3469377482718</v>
      </c>
      <c r="P198" s="128">
        <v>33.0</v>
      </c>
      <c r="Q198" s="128">
        <v>1102.7008709330494</v>
      </c>
      <c r="R198" s="148"/>
      <c r="U198" s="149"/>
      <c r="V198" s="44" t="s">
        <v>98</v>
      </c>
      <c r="W198" s="128">
        <v>990.3670872924814</v>
      </c>
      <c r="X198" s="128">
        <v>18.0</v>
      </c>
      <c r="Y198" s="128">
        <v>994.6282410080636</v>
      </c>
      <c r="Z198" s="141" t="s">
        <v>92</v>
      </c>
      <c r="AA198" s="128">
        <v>1012.3567043024588</v>
      </c>
      <c r="AB198" s="128">
        <v>20.0</v>
      </c>
      <c r="AC198" s="142">
        <v>1017.25917628155</v>
      </c>
      <c r="AD198" s="44" t="s">
        <v>248</v>
      </c>
      <c r="AE198" s="128">
        <v>1016.398883535719</v>
      </c>
      <c r="AF198" s="128">
        <v>26.0</v>
      </c>
      <c r="AG198" s="128">
        <v>1023.8971955641665</v>
      </c>
      <c r="AH198" s="141" t="s">
        <v>47</v>
      </c>
      <c r="AI198" s="128">
        <v>1037.5559288032491</v>
      </c>
      <c r="AJ198" s="128">
        <v>19.0</v>
      </c>
      <c r="AK198" s="142">
        <v>1041.8939910801282</v>
      </c>
      <c r="AP198" s="143">
        <v>12.0</v>
      </c>
      <c r="AQ198" s="128">
        <v>16.0</v>
      </c>
      <c r="AR198" s="44" t="s">
        <v>396</v>
      </c>
      <c r="AS198" s="44" t="s">
        <v>232</v>
      </c>
      <c r="AT198" s="44">
        <v>197.0</v>
      </c>
      <c r="AU198" s="44"/>
      <c r="AW198" s="93"/>
      <c r="AY198" s="93"/>
      <c r="AZ198" s="93"/>
      <c r="BA198" s="93"/>
      <c r="BB198" s="155"/>
      <c r="BC198" s="93"/>
      <c r="BE198" s="93"/>
      <c r="BG198" s="93"/>
      <c r="BH198" s="93"/>
      <c r="BI198" s="93"/>
      <c r="BJ198" s="155"/>
      <c r="BK198" s="93"/>
    </row>
    <row r="199">
      <c r="A199" s="154">
        <v>44220.91111111111</v>
      </c>
      <c r="B199" s="141" t="s">
        <v>61</v>
      </c>
      <c r="C199" s="128">
        <v>969.2871205380674</v>
      </c>
      <c r="D199" s="128">
        <v>17.0</v>
      </c>
      <c r="E199" s="142">
        <v>977.2082856638716</v>
      </c>
      <c r="F199" s="44" t="s">
        <v>31</v>
      </c>
      <c r="G199" s="128">
        <v>1000.0</v>
      </c>
      <c r="H199" s="128">
        <v>28.0</v>
      </c>
      <c r="I199" s="128">
        <v>1016.3552026460931</v>
      </c>
      <c r="J199" s="141" t="s">
        <v>112</v>
      </c>
      <c r="K199" s="128">
        <v>1001.9485862221549</v>
      </c>
      <c r="L199" s="128">
        <v>18.0</v>
      </c>
      <c r="M199" s="142">
        <v>1009.7202710972525</v>
      </c>
      <c r="N199" s="44" t="s">
        <v>23</v>
      </c>
      <c r="O199" s="128">
        <v>1102.7008709330494</v>
      </c>
      <c r="P199" s="128">
        <v>20.0</v>
      </c>
      <c r="Q199" s="128">
        <v>1111.6528182860545</v>
      </c>
      <c r="R199" s="148"/>
      <c r="U199" s="149"/>
      <c r="V199" s="44" t="s">
        <v>78</v>
      </c>
      <c r="W199" s="128">
        <v>1000.0</v>
      </c>
      <c r="X199" s="128">
        <v>22.0</v>
      </c>
      <c r="Y199" s="128">
        <v>994.8876838994687</v>
      </c>
      <c r="Z199" s="141" t="s">
        <v>92</v>
      </c>
      <c r="AA199" s="128">
        <v>1017.25917628155</v>
      </c>
      <c r="AB199" s="128">
        <v>20.0</v>
      </c>
      <c r="AC199" s="142">
        <v>1010.2086207132987</v>
      </c>
      <c r="AD199" s="44" t="s">
        <v>248</v>
      </c>
      <c r="AE199" s="128">
        <v>1023.8971955641665</v>
      </c>
      <c r="AF199" s="128">
        <v>11.0</v>
      </c>
      <c r="AG199" s="128">
        <v>1009.1001940151672</v>
      </c>
      <c r="AH199" s="141" t="s">
        <v>47</v>
      </c>
      <c r="AI199" s="128">
        <v>1041.8939910801282</v>
      </c>
      <c r="AJ199" s="128">
        <v>12.0</v>
      </c>
      <c r="AK199" s="142">
        <v>1027.8538642979101</v>
      </c>
      <c r="AP199" s="143">
        <v>19.0</v>
      </c>
      <c r="AQ199" s="128">
        <v>9.0</v>
      </c>
      <c r="AR199" s="44" t="s">
        <v>397</v>
      </c>
      <c r="AS199" s="44" t="s">
        <v>339</v>
      </c>
      <c r="AT199" s="44">
        <v>198.0</v>
      </c>
      <c r="AU199" s="44"/>
      <c r="AW199" s="93"/>
      <c r="AY199" s="93"/>
      <c r="AZ199" s="93"/>
      <c r="BA199" s="93"/>
      <c r="BB199" s="155"/>
      <c r="BC199" s="93"/>
      <c r="BE199" s="93"/>
      <c r="BG199" s="93"/>
      <c r="BH199" s="93"/>
      <c r="BI199" s="93"/>
      <c r="BJ199" s="155"/>
      <c r="BK199" s="93"/>
    </row>
    <row r="200">
      <c r="A200" s="154">
        <v>44220.96805555555</v>
      </c>
      <c r="B200" s="141" t="s">
        <v>61</v>
      </c>
      <c r="C200" s="128">
        <v>977.2082856638716</v>
      </c>
      <c r="D200" s="128">
        <v>11.0</v>
      </c>
      <c r="E200" s="142">
        <v>977.3317763547354</v>
      </c>
      <c r="F200" s="44" t="s">
        <v>112</v>
      </c>
      <c r="G200" s="128">
        <v>1009.7202710972525</v>
      </c>
      <c r="H200" s="128">
        <v>29.0</v>
      </c>
      <c r="I200" s="128">
        <v>1021.0985625528115</v>
      </c>
      <c r="J200" s="141" t="s">
        <v>27</v>
      </c>
      <c r="K200" s="128">
        <v>1010.7444655191425</v>
      </c>
      <c r="L200" s="128">
        <v>28.0</v>
      </c>
      <c r="M200" s="142">
        <v>1021.4411943604202</v>
      </c>
      <c r="N200" s="44" t="s">
        <v>31</v>
      </c>
      <c r="O200" s="128">
        <v>1016.3552026460931</v>
      </c>
      <c r="P200" s="128">
        <v>33.0</v>
      </c>
      <c r="Q200" s="128">
        <v>1030.3117924818555</v>
      </c>
      <c r="R200" s="141" t="s">
        <v>47</v>
      </c>
      <c r="S200" s="128">
        <v>1027.8538642979101</v>
      </c>
      <c r="T200" s="128">
        <v>18.0</v>
      </c>
      <c r="U200" s="142">
        <v>1031.698763474447</v>
      </c>
      <c r="V200" s="44" t="s">
        <v>123</v>
      </c>
      <c r="W200" s="128">
        <v>975.7359767786115</v>
      </c>
      <c r="X200" s="128">
        <v>17.0</v>
      </c>
      <c r="Y200" s="128">
        <v>967.3706141778097</v>
      </c>
      <c r="Z200" s="141" t="s">
        <v>90</v>
      </c>
      <c r="AA200" s="128">
        <v>977.1589390758326</v>
      </c>
      <c r="AB200" s="128">
        <v>16.0</v>
      </c>
      <c r="AC200" s="142">
        <v>968.091770706178</v>
      </c>
      <c r="AD200" s="44" t="s">
        <v>58</v>
      </c>
      <c r="AE200" s="128">
        <v>984.2081097331079</v>
      </c>
      <c r="AF200" s="128">
        <v>13.0</v>
      </c>
      <c r="AG200" s="128">
        <v>972.979501624598</v>
      </c>
      <c r="AH200" s="141" t="s">
        <v>78</v>
      </c>
      <c r="AI200" s="128">
        <v>994.8876838994687</v>
      </c>
      <c r="AJ200" s="128">
        <v>15.0</v>
      </c>
      <c r="AK200" s="142">
        <v>984.7874089907796</v>
      </c>
      <c r="AL200" s="44" t="s">
        <v>23</v>
      </c>
      <c r="AM200" s="128">
        <v>1111.6528182860545</v>
      </c>
      <c r="AN200" s="128">
        <v>29.0</v>
      </c>
      <c r="AO200" s="128">
        <v>1110.41423227371</v>
      </c>
      <c r="AP200" s="143">
        <v>19.0</v>
      </c>
      <c r="AQ200" s="128">
        <v>9.0</v>
      </c>
      <c r="AR200" s="44" t="s">
        <v>398</v>
      </c>
      <c r="AS200" s="44" t="s">
        <v>231</v>
      </c>
      <c r="AT200" s="44">
        <v>199.0</v>
      </c>
      <c r="AU200" s="44"/>
      <c r="AW200" s="93"/>
      <c r="AY200" s="93"/>
      <c r="AZ200" s="93"/>
      <c r="BA200" s="93"/>
      <c r="BB200" s="155"/>
      <c r="BC200" s="93"/>
      <c r="BE200" s="93"/>
      <c r="BG200" s="93"/>
      <c r="BH200" s="93"/>
      <c r="BI200" s="93"/>
      <c r="BJ200" s="155"/>
      <c r="BK200" s="93"/>
    </row>
    <row r="201">
      <c r="A201" s="154">
        <v>44221.00833333333</v>
      </c>
      <c r="B201" s="141" t="s">
        <v>123</v>
      </c>
      <c r="C201" s="128">
        <v>967.3706141778097</v>
      </c>
      <c r="D201" s="128">
        <v>5.0</v>
      </c>
      <c r="E201" s="142">
        <v>967.3706141778097</v>
      </c>
      <c r="F201" s="44" t="s">
        <v>61</v>
      </c>
      <c r="G201" s="128">
        <v>977.3317763547354</v>
      </c>
      <c r="H201" s="128">
        <v>19.0</v>
      </c>
      <c r="I201" s="128">
        <v>977.3317763547354</v>
      </c>
      <c r="J201" s="141" t="s">
        <v>31</v>
      </c>
      <c r="K201" s="128">
        <v>1030.3117924818555</v>
      </c>
      <c r="L201" s="128">
        <v>34.0</v>
      </c>
      <c r="M201" s="142">
        <v>1030.3117924818555</v>
      </c>
      <c r="N201" s="44" t="s">
        <v>23</v>
      </c>
      <c r="O201" s="128">
        <v>1110.41423227371</v>
      </c>
      <c r="P201" s="128">
        <v>27.0</v>
      </c>
      <c r="Q201" s="128">
        <v>1110.41423227371</v>
      </c>
      <c r="R201" s="148"/>
      <c r="U201" s="149"/>
      <c r="V201" s="44" t="s">
        <v>92</v>
      </c>
      <c r="W201" s="128">
        <v>1010.2086207132987</v>
      </c>
      <c r="X201" s="128">
        <v>27.0</v>
      </c>
      <c r="Y201" s="128">
        <v>1010.2086207132987</v>
      </c>
      <c r="Z201" s="141" t="s">
        <v>112</v>
      </c>
      <c r="AA201" s="128">
        <v>1021.0985625528115</v>
      </c>
      <c r="AB201" s="128">
        <v>14.0</v>
      </c>
      <c r="AC201" s="142">
        <v>1021.0985625528115</v>
      </c>
      <c r="AD201" s="44" t="s">
        <v>27</v>
      </c>
      <c r="AE201" s="128">
        <v>1021.4411943604202</v>
      </c>
      <c r="AF201" s="128">
        <v>18.0</v>
      </c>
      <c r="AG201" s="128">
        <v>1021.4411943604202</v>
      </c>
      <c r="AH201" s="141" t="s">
        <v>47</v>
      </c>
      <c r="AI201" s="128">
        <v>1031.698763474447</v>
      </c>
      <c r="AJ201" s="128">
        <v>22.0</v>
      </c>
      <c r="AK201" s="142">
        <v>1031.698763474447</v>
      </c>
      <c r="AP201" s="143">
        <v>14.0</v>
      </c>
      <c r="AQ201" s="128">
        <v>14.0</v>
      </c>
      <c r="AR201" s="44" t="s">
        <v>399</v>
      </c>
      <c r="AS201" s="44" t="s">
        <v>400</v>
      </c>
      <c r="AT201" s="44">
        <v>200.0</v>
      </c>
      <c r="AU201" s="44"/>
      <c r="AW201" s="93"/>
      <c r="AY201" s="93"/>
      <c r="AZ201" s="93"/>
      <c r="BA201" s="93"/>
      <c r="BB201" s="155"/>
      <c r="BC201" s="93"/>
      <c r="BE201" s="93"/>
      <c r="BG201" s="93"/>
      <c r="BH201" s="93"/>
      <c r="BI201" s="93"/>
      <c r="BJ201" s="155"/>
      <c r="BK201" s="93"/>
    </row>
    <row r="202">
      <c r="A202" s="154">
        <v>44221.04652777778</v>
      </c>
      <c r="B202" s="141" t="s">
        <v>61</v>
      </c>
      <c r="C202" s="128">
        <v>977.3317763547354</v>
      </c>
      <c r="D202" s="128">
        <v>8.0</v>
      </c>
      <c r="E202" s="142">
        <v>949.3818090483</v>
      </c>
      <c r="F202" s="44" t="s">
        <v>92</v>
      </c>
      <c r="G202" s="128">
        <v>1010.2086207132987</v>
      </c>
      <c r="H202" s="128">
        <v>19.0</v>
      </c>
      <c r="I202" s="128">
        <v>999.1585880197341</v>
      </c>
      <c r="J202" s="148"/>
      <c r="M202" s="149"/>
      <c r="R202" s="148"/>
      <c r="U202" s="149"/>
      <c r="V202" s="44" t="s">
        <v>123</v>
      </c>
      <c r="W202" s="128">
        <v>967.3706141778097</v>
      </c>
      <c r="X202" s="128">
        <v>12.0</v>
      </c>
      <c r="Y202" s="128">
        <v>974.3542276739803</v>
      </c>
      <c r="Z202" s="141" t="s">
        <v>31</v>
      </c>
      <c r="AA202" s="128">
        <v>1030.3117924818555</v>
      </c>
      <c r="AB202" s="128">
        <v>29.0</v>
      </c>
      <c r="AC202" s="142">
        <v>1062.3281789856849</v>
      </c>
      <c r="AH202" s="148"/>
      <c r="AK202" s="149"/>
      <c r="AP202" s="143">
        <v>9.0</v>
      </c>
      <c r="AQ202" s="128">
        <v>19.0</v>
      </c>
      <c r="AS202" s="44" t="s">
        <v>337</v>
      </c>
      <c r="AT202" s="44">
        <v>201.0</v>
      </c>
      <c r="AU202" s="44"/>
      <c r="AW202" s="93"/>
      <c r="AY202" s="93"/>
      <c r="AZ202" s="93"/>
      <c r="BA202" s="93"/>
      <c r="BB202" s="155"/>
      <c r="BC202" s="93"/>
      <c r="BE202" s="93"/>
      <c r="BG202" s="93"/>
      <c r="BH202" s="93"/>
      <c r="BI202" s="93"/>
      <c r="BJ202" s="155"/>
      <c r="BK202" s="93"/>
    </row>
    <row r="203">
      <c r="A203" s="154">
        <v>44221.92152777778</v>
      </c>
      <c r="B203" s="141" t="s">
        <v>61</v>
      </c>
      <c r="C203" s="128">
        <v>949.3818090483</v>
      </c>
      <c r="D203" s="128">
        <v>15.0</v>
      </c>
      <c r="E203" s="142">
        <v>944.2639771684178</v>
      </c>
      <c r="F203" s="44" t="s">
        <v>296</v>
      </c>
      <c r="G203" s="128">
        <v>985.5097373560723</v>
      </c>
      <c r="H203" s="128">
        <v>8.0</v>
      </c>
      <c r="I203" s="128">
        <v>977.005256487527</v>
      </c>
      <c r="J203" s="141" t="s">
        <v>47</v>
      </c>
      <c r="K203" s="128">
        <v>1031.698763474447</v>
      </c>
      <c r="L203" s="128">
        <v>21.0</v>
      </c>
      <c r="M203" s="142">
        <v>1028.3276779377263</v>
      </c>
      <c r="N203" s="44" t="s">
        <v>31</v>
      </c>
      <c r="O203" s="128">
        <v>1062.3281789856849</v>
      </c>
      <c r="P203" s="128">
        <v>22.0</v>
      </c>
      <c r="Q203" s="128">
        <v>1059.3215772708331</v>
      </c>
      <c r="R203" s="148"/>
      <c r="U203" s="149"/>
      <c r="V203" s="44" t="s">
        <v>90</v>
      </c>
      <c r="W203" s="128">
        <v>968.091770706178</v>
      </c>
      <c r="X203" s="128">
        <v>17.0</v>
      </c>
      <c r="Y203" s="128">
        <v>971.6393629246671</v>
      </c>
      <c r="Z203" s="141" t="s">
        <v>236</v>
      </c>
      <c r="AA203" s="128">
        <v>1017.0231143627982</v>
      </c>
      <c r="AB203" s="128">
        <v>20.0</v>
      </c>
      <c r="AC203" s="142">
        <v>1021.274842245955</v>
      </c>
      <c r="AD203" s="44" t="s">
        <v>27</v>
      </c>
      <c r="AE203" s="128">
        <v>1021.4411943604202</v>
      </c>
      <c r="AF203" s="128">
        <v>13.0</v>
      </c>
      <c r="AG203" s="128">
        <v>1022.7507820186519</v>
      </c>
      <c r="AH203" s="141" t="s">
        <v>107</v>
      </c>
      <c r="AI203" s="128">
        <v>1021.7820792463334</v>
      </c>
      <c r="AJ203" s="128">
        <v>36.0</v>
      </c>
      <c r="AK203" s="142">
        <v>1032.6731714864557</v>
      </c>
      <c r="AP203" s="143">
        <v>11.0</v>
      </c>
      <c r="AQ203" s="128">
        <v>17.0</v>
      </c>
      <c r="AR203" s="44" t="s">
        <v>401</v>
      </c>
      <c r="AS203" s="44" t="s">
        <v>232</v>
      </c>
      <c r="AT203" s="44">
        <v>202.0</v>
      </c>
      <c r="AU203" s="44"/>
      <c r="AW203" s="93"/>
      <c r="AY203" s="93"/>
      <c r="AZ203" s="93"/>
      <c r="BA203" s="93"/>
      <c r="BB203" s="155"/>
      <c r="BC203" s="93"/>
      <c r="BE203" s="93"/>
      <c r="BG203" s="93"/>
      <c r="BH203" s="93"/>
      <c r="BI203" s="93"/>
      <c r="BJ203" s="155"/>
      <c r="BK203" s="93"/>
    </row>
    <row r="204">
      <c r="A204" s="154">
        <v>44221.96111111111</v>
      </c>
      <c r="B204" s="141" t="s">
        <v>61</v>
      </c>
      <c r="C204" s="128">
        <v>944.2639771684178</v>
      </c>
      <c r="D204" s="128">
        <v>14.0</v>
      </c>
      <c r="E204" s="142">
        <v>938.424592339657</v>
      </c>
      <c r="F204" s="44" t="s">
        <v>228</v>
      </c>
      <c r="G204" s="128">
        <v>994.81</v>
      </c>
      <c r="H204" s="128">
        <v>5.0</v>
      </c>
      <c r="I204" s="128">
        <v>984.5587125116348</v>
      </c>
      <c r="J204" s="141" t="s">
        <v>107</v>
      </c>
      <c r="K204" s="128">
        <v>1032.6731714864557</v>
      </c>
      <c r="L204" s="128">
        <v>26.0</v>
      </c>
      <c r="M204" s="142">
        <v>1030.9597335060485</v>
      </c>
      <c r="N204" s="44" t="s">
        <v>23</v>
      </c>
      <c r="O204" s="128">
        <v>1110.41423227371</v>
      </c>
      <c r="P204" s="128">
        <v>25.0</v>
      </c>
      <c r="Q204" s="128">
        <v>1108.218342571243</v>
      </c>
      <c r="R204" s="148"/>
      <c r="U204" s="149"/>
      <c r="V204" s="44" t="s">
        <v>90</v>
      </c>
      <c r="W204" s="128">
        <v>971.6393629246671</v>
      </c>
      <c r="X204" s="128">
        <v>17.0</v>
      </c>
      <c r="Y204" s="128">
        <v>974.7789789768253</v>
      </c>
      <c r="Z204" s="141" t="s">
        <v>112</v>
      </c>
      <c r="AA204" s="128">
        <v>1021.0985625528115</v>
      </c>
      <c r="AB204" s="128">
        <v>17.0</v>
      </c>
      <c r="AC204" s="142">
        <v>1023.7146792991772</v>
      </c>
      <c r="AD204" s="44" t="s">
        <v>47</v>
      </c>
      <c r="AE204" s="128">
        <v>1028.3276779377263</v>
      </c>
      <c r="AF204" s="128">
        <v>21.0</v>
      </c>
      <c r="AG204" s="128">
        <v>1032.5739539247138</v>
      </c>
      <c r="AH204" s="141" t="s">
        <v>31</v>
      </c>
      <c r="AI204" s="128">
        <v>1059.3215772708331</v>
      </c>
      <c r="AJ204" s="128">
        <v>35.0</v>
      </c>
      <c r="AK204" s="142">
        <v>1069.3195684853217</v>
      </c>
      <c r="AP204" s="143">
        <v>11.0</v>
      </c>
      <c r="AQ204" s="128">
        <v>17.0</v>
      </c>
      <c r="AR204" s="44" t="s">
        <v>402</v>
      </c>
      <c r="AS204" s="44" t="s">
        <v>403</v>
      </c>
      <c r="AT204" s="44">
        <v>203.0</v>
      </c>
      <c r="AU204" s="44"/>
      <c r="AW204" s="93"/>
      <c r="AY204" s="93"/>
      <c r="AZ204" s="93"/>
      <c r="BA204" s="93"/>
      <c r="BB204" s="155"/>
      <c r="BC204" s="93"/>
      <c r="BE204" s="93"/>
      <c r="BG204" s="93"/>
      <c r="BH204" s="93"/>
      <c r="BI204" s="93"/>
      <c r="BJ204" s="155"/>
      <c r="BK204" s="93"/>
    </row>
    <row r="205">
      <c r="A205" s="154">
        <v>44221.99513888889</v>
      </c>
      <c r="B205" s="141" t="s">
        <v>61</v>
      </c>
      <c r="C205" s="128">
        <v>938.424592339657</v>
      </c>
      <c r="D205" s="128">
        <v>14.0</v>
      </c>
      <c r="E205" s="142">
        <v>945.3931906755877</v>
      </c>
      <c r="F205" s="44" t="s">
        <v>47</v>
      </c>
      <c r="G205" s="128">
        <v>1032.5739539247138</v>
      </c>
      <c r="H205" s="128">
        <v>28.0</v>
      </c>
      <c r="I205" s="128">
        <v>1051.9669566798045</v>
      </c>
      <c r="J205" s="141" t="s">
        <v>31</v>
      </c>
      <c r="K205" s="128">
        <v>1069.3195684853217</v>
      </c>
      <c r="L205" s="128">
        <v>23.0</v>
      </c>
      <c r="M205" s="142">
        <v>1082.9579673943003</v>
      </c>
      <c r="R205" s="148"/>
      <c r="U205" s="149"/>
      <c r="V205" s="44" t="s">
        <v>228</v>
      </c>
      <c r="W205" s="128">
        <v>984.5587125116348</v>
      </c>
      <c r="X205" s="128">
        <v>6.0</v>
      </c>
      <c r="Y205" s="128">
        <v>963.0919550854228</v>
      </c>
      <c r="Z205" s="141" t="s">
        <v>112</v>
      </c>
      <c r="AA205" s="128">
        <v>1023.7146792991772</v>
      </c>
      <c r="AB205" s="128">
        <v>15.0</v>
      </c>
      <c r="AC205" s="142">
        <v>1011.6974167044726</v>
      </c>
      <c r="AD205" s="44" t="s">
        <v>107</v>
      </c>
      <c r="AE205" s="128">
        <v>1030.9597335060485</v>
      </c>
      <c r="AF205" s="128">
        <v>20.0</v>
      </c>
      <c r="AG205" s="128">
        <v>1024.443753526965</v>
      </c>
      <c r="AH205" s="148"/>
      <c r="AK205" s="149"/>
      <c r="AP205" s="143">
        <v>19.0</v>
      </c>
      <c r="AQ205" s="128">
        <v>9.0</v>
      </c>
      <c r="AS205" s="44" t="s">
        <v>404</v>
      </c>
      <c r="AT205" s="44">
        <v>204.0</v>
      </c>
      <c r="AU205" s="44"/>
      <c r="AW205" s="93"/>
      <c r="AY205" s="93"/>
      <c r="AZ205" s="93"/>
      <c r="BA205" s="93"/>
      <c r="BB205" s="155"/>
      <c r="BC205" s="93"/>
      <c r="BE205" s="93"/>
      <c r="BG205" s="93"/>
      <c r="BH205" s="93"/>
      <c r="BI205" s="93"/>
      <c r="BJ205" s="155"/>
      <c r="BK205" s="93"/>
    </row>
    <row r="206">
      <c r="A206" s="154">
        <v>44222.02361111111</v>
      </c>
      <c r="B206" s="141" t="s">
        <v>107</v>
      </c>
      <c r="C206" s="128">
        <v>1024.443753526965</v>
      </c>
      <c r="D206" s="128">
        <v>16.0</v>
      </c>
      <c r="E206" s="142">
        <v>1015.7924275614519</v>
      </c>
      <c r="F206" s="44" t="s">
        <v>47</v>
      </c>
      <c r="G206" s="128">
        <v>1051.9669566798045</v>
      </c>
      <c r="H206" s="128">
        <v>14.0</v>
      </c>
      <c r="I206" s="128">
        <v>1041.6182826453178</v>
      </c>
      <c r="J206" s="148"/>
      <c r="M206" s="149"/>
      <c r="R206" s="148"/>
      <c r="U206" s="149"/>
      <c r="V206" s="44" t="s">
        <v>112</v>
      </c>
      <c r="W206" s="128">
        <v>1011.6974167044726</v>
      </c>
      <c r="X206" s="128">
        <v>12.0</v>
      </c>
      <c r="Y206" s="128">
        <v>1015.0300868801675</v>
      </c>
      <c r="Z206" s="141" t="s">
        <v>31</v>
      </c>
      <c r="AA206" s="128">
        <v>1082.9579673943003</v>
      </c>
      <c r="AB206" s="128">
        <v>28.0</v>
      </c>
      <c r="AC206" s="142">
        <v>1098.6252972186055</v>
      </c>
      <c r="AH206" s="148"/>
      <c r="AK206" s="149"/>
      <c r="AP206" s="143">
        <v>11.0</v>
      </c>
      <c r="AQ206" s="128">
        <v>16.0</v>
      </c>
      <c r="AS206" s="44" t="s">
        <v>244</v>
      </c>
      <c r="AT206" s="44">
        <v>205.0</v>
      </c>
      <c r="AU206" s="44"/>
      <c r="AW206" s="93"/>
      <c r="AY206" s="93"/>
      <c r="AZ206" s="93"/>
      <c r="BA206" s="93"/>
      <c r="BB206" s="155"/>
      <c r="BC206" s="93"/>
      <c r="BE206" s="93"/>
      <c r="BG206" s="93"/>
      <c r="BH206" s="93"/>
      <c r="BI206" s="93"/>
      <c r="BJ206" s="155"/>
      <c r="BK206" s="93"/>
    </row>
    <row r="207">
      <c r="A207" s="154">
        <v>44222.95416666667</v>
      </c>
      <c r="B207" s="141" t="s">
        <v>107</v>
      </c>
      <c r="C207" s="128">
        <v>1015.7924275614519</v>
      </c>
      <c r="D207" s="128">
        <v>20.0</v>
      </c>
      <c r="E207" s="142">
        <v>1019.6948078789655</v>
      </c>
      <c r="F207" s="44" t="s">
        <v>27</v>
      </c>
      <c r="G207" s="128">
        <v>1022.7507820186519</v>
      </c>
      <c r="H207" s="128">
        <v>14.0</v>
      </c>
      <c r="I207" s="128">
        <v>1024.7952472413187</v>
      </c>
      <c r="J207" s="141" t="s">
        <v>47</v>
      </c>
      <c r="K207" s="128">
        <v>1041.6182826453178</v>
      </c>
      <c r="L207" s="128">
        <v>24.0</v>
      </c>
      <c r="M207" s="142">
        <v>1046.671437105137</v>
      </c>
      <c r="R207" s="148"/>
      <c r="U207" s="149"/>
      <c r="V207" s="44" t="s">
        <v>92</v>
      </c>
      <c r="W207" s="128">
        <v>999.1585880197341</v>
      </c>
      <c r="X207" s="128">
        <v>16.0</v>
      </c>
      <c r="Y207" s="128">
        <v>994.7622694396978</v>
      </c>
      <c r="Z207" s="141" t="s">
        <v>112</v>
      </c>
      <c r="AA207" s="128">
        <v>1015.0300868801675</v>
      </c>
      <c r="AB207" s="128">
        <v>13.0</v>
      </c>
      <c r="AC207" s="142">
        <v>1009.6446527524231</v>
      </c>
      <c r="AD207" s="44" t="s">
        <v>31</v>
      </c>
      <c r="AE207" s="128">
        <v>1098.6252972186055</v>
      </c>
      <c r="AF207" s="128">
        <v>27.0</v>
      </c>
      <c r="AG207" s="128">
        <v>1097.4070499263862</v>
      </c>
      <c r="AH207" s="148"/>
      <c r="AK207" s="149"/>
      <c r="AP207" s="143">
        <v>15.0</v>
      </c>
      <c r="AQ207" s="128">
        <v>13.0</v>
      </c>
      <c r="AS207" s="44" t="s">
        <v>244</v>
      </c>
      <c r="AT207" s="44">
        <v>206.0</v>
      </c>
      <c r="AU207" s="44"/>
      <c r="AW207" s="93"/>
      <c r="AY207" s="93"/>
      <c r="AZ207" s="93"/>
      <c r="BA207" s="93"/>
      <c r="BB207" s="155"/>
      <c r="BC207" s="93"/>
      <c r="BE207" s="93"/>
      <c r="BG207" s="93"/>
      <c r="BH207" s="93"/>
      <c r="BI207" s="93"/>
      <c r="BJ207" s="155"/>
      <c r="BK207" s="93"/>
    </row>
    <row r="208">
      <c r="A208" s="154">
        <v>44223.001388888886</v>
      </c>
      <c r="B208" s="141" t="s">
        <v>90</v>
      </c>
      <c r="C208" s="128">
        <v>974.7789789768253</v>
      </c>
      <c r="D208" s="128">
        <v>15.0</v>
      </c>
      <c r="E208" s="142">
        <v>976.5369535481065</v>
      </c>
      <c r="F208" s="44" t="s">
        <v>112</v>
      </c>
      <c r="G208" s="128">
        <v>1009.6446527524231</v>
      </c>
      <c r="H208" s="128">
        <v>13.0</v>
      </c>
      <c r="I208" s="128">
        <v>1010.8353509450241</v>
      </c>
      <c r="J208" s="141" t="s">
        <v>107</v>
      </c>
      <c r="K208" s="128">
        <v>1019.6948078789655</v>
      </c>
      <c r="L208" s="128">
        <v>26.0</v>
      </c>
      <c r="M208" s="142">
        <v>1023.5665881097727</v>
      </c>
      <c r="N208" s="44" t="s">
        <v>23</v>
      </c>
      <c r="O208" s="128">
        <v>1108.218342571243</v>
      </c>
      <c r="P208" s="128">
        <v>23.0</v>
      </c>
      <c r="Q208" s="128">
        <v>1111.3978895765538</v>
      </c>
      <c r="R208" s="148"/>
      <c r="U208" s="149"/>
      <c r="V208" s="44" t="s">
        <v>123</v>
      </c>
      <c r="W208" s="128">
        <v>974.3542276739803</v>
      </c>
      <c r="X208" s="128">
        <v>10.0</v>
      </c>
      <c r="Y208" s="128">
        <v>970.2711682640738</v>
      </c>
      <c r="Z208" s="141" t="s">
        <v>92</v>
      </c>
      <c r="AA208" s="128">
        <v>994.7622694396978</v>
      </c>
      <c r="AB208" s="128">
        <v>18.0</v>
      </c>
      <c r="AC208" s="142">
        <v>992.2510539497622</v>
      </c>
      <c r="AD208" s="44" t="s">
        <v>47</v>
      </c>
      <c r="AE208" s="128">
        <v>1046.671437105137</v>
      </c>
      <c r="AF208" s="128">
        <v>28.0</v>
      </c>
      <c r="AG208" s="128">
        <v>1046.1246452116654</v>
      </c>
      <c r="AH208" s="141" t="s">
        <v>31</v>
      </c>
      <c r="AI208" s="128">
        <v>1097.4070499263862</v>
      </c>
      <c r="AJ208" s="128">
        <v>17.0</v>
      </c>
      <c r="AK208" s="142">
        <v>1094.5481167197</v>
      </c>
      <c r="AP208" s="143">
        <v>15.0</v>
      </c>
      <c r="AQ208" s="128">
        <v>13.0</v>
      </c>
      <c r="AR208" s="44" t="s">
        <v>405</v>
      </c>
      <c r="AS208" s="44" t="s">
        <v>229</v>
      </c>
      <c r="AT208" s="44">
        <v>207.0</v>
      </c>
      <c r="AU208" s="44"/>
      <c r="AW208" s="93"/>
      <c r="AY208" s="93"/>
      <c r="AZ208" s="93"/>
      <c r="BA208" s="93"/>
      <c r="BB208" s="155"/>
      <c r="BC208" s="93"/>
      <c r="BE208" s="93"/>
      <c r="BG208" s="93"/>
      <c r="BH208" s="93"/>
      <c r="BI208" s="93"/>
      <c r="BJ208" s="155"/>
      <c r="BK208" s="93"/>
    </row>
    <row r="209">
      <c r="A209" s="154">
        <v>44223.02638888889</v>
      </c>
      <c r="B209" s="141" t="s">
        <v>123</v>
      </c>
      <c r="C209" s="128">
        <v>970.2711682640738</v>
      </c>
      <c r="D209" s="128">
        <v>13.0</v>
      </c>
      <c r="E209" s="142">
        <v>959.397801316381</v>
      </c>
      <c r="F209" s="44" t="s">
        <v>47</v>
      </c>
      <c r="G209" s="128">
        <v>1046.1246452116654</v>
      </c>
      <c r="H209" s="128">
        <v>16.0</v>
      </c>
      <c r="I209" s="128">
        <v>1036.9980121593583</v>
      </c>
      <c r="J209" s="148"/>
      <c r="M209" s="149"/>
      <c r="R209" s="148"/>
      <c r="U209" s="149"/>
      <c r="V209" s="44" t="s">
        <v>92</v>
      </c>
      <c r="W209" s="128">
        <v>992.2510539497622</v>
      </c>
      <c r="X209" s="128">
        <v>23.0</v>
      </c>
      <c r="Y209" s="128">
        <v>1005.7804644671095</v>
      </c>
      <c r="Z209" s="141" t="s">
        <v>107</v>
      </c>
      <c r="AA209" s="128">
        <v>1023.5665881097727</v>
      </c>
      <c r="AB209" s="128">
        <v>15.0</v>
      </c>
      <c r="AC209" s="142">
        <v>1030.0371775924255</v>
      </c>
      <c r="AH209" s="148"/>
      <c r="AK209" s="149"/>
      <c r="AP209" s="143">
        <v>11.0</v>
      </c>
      <c r="AQ209" s="128">
        <v>17.0</v>
      </c>
      <c r="AS209" s="44" t="s">
        <v>268</v>
      </c>
      <c r="AT209" s="44">
        <v>208.0</v>
      </c>
      <c r="AU209" s="44"/>
      <c r="AW209" s="93"/>
      <c r="AY209" s="93"/>
      <c r="AZ209" s="93"/>
      <c r="BA209" s="93"/>
      <c r="BB209" s="155"/>
      <c r="BC209" s="93"/>
      <c r="BE209" s="93"/>
      <c r="BG209" s="93"/>
      <c r="BH209" s="93"/>
      <c r="BI209" s="93"/>
      <c r="BJ209" s="155"/>
      <c r="BK209" s="93"/>
    </row>
    <row r="210">
      <c r="A210" s="154">
        <v>44223.53888888889</v>
      </c>
      <c r="B210" s="141" t="s">
        <v>123</v>
      </c>
      <c r="C210" s="128">
        <v>959.397801316381</v>
      </c>
      <c r="D210" s="128">
        <v>8.0</v>
      </c>
      <c r="E210" s="142">
        <v>944.4352018464938</v>
      </c>
      <c r="F210" s="44" t="s">
        <v>47</v>
      </c>
      <c r="G210" s="128">
        <v>1036.9980121593583</v>
      </c>
      <c r="H210" s="128">
        <v>23.0</v>
      </c>
      <c r="I210" s="128">
        <v>1032.9606116292455</v>
      </c>
      <c r="J210" s="148"/>
      <c r="M210" s="149"/>
      <c r="R210" s="148"/>
      <c r="U210" s="149"/>
      <c r="V210" s="44" t="s">
        <v>92</v>
      </c>
      <c r="W210" s="128">
        <v>1005.7804644671095</v>
      </c>
      <c r="X210" s="128">
        <v>21.0</v>
      </c>
      <c r="Y210" s="128">
        <v>1017.2882770773269</v>
      </c>
      <c r="Z210" s="141" t="s">
        <v>112</v>
      </c>
      <c r="AA210" s="128">
        <v>1010.8353509450241</v>
      </c>
      <c r="AB210" s="128">
        <v>16.0</v>
      </c>
      <c r="AC210" s="142">
        <v>1018.3275383348066</v>
      </c>
      <c r="AH210" s="148"/>
      <c r="AK210" s="149"/>
      <c r="AP210" s="143">
        <v>11.0</v>
      </c>
      <c r="AQ210" s="128">
        <v>17.0</v>
      </c>
      <c r="AS210" s="44" t="s">
        <v>337</v>
      </c>
      <c r="AT210" s="44">
        <v>209.0</v>
      </c>
      <c r="AU210" s="44"/>
      <c r="AW210" s="93"/>
      <c r="AY210" s="93"/>
      <c r="AZ210" s="93"/>
      <c r="BA210" s="93"/>
      <c r="BB210" s="155"/>
      <c r="BC210" s="93"/>
      <c r="BE210" s="93"/>
      <c r="BG210" s="93"/>
      <c r="BH210" s="93"/>
      <c r="BI210" s="93"/>
      <c r="BJ210" s="155"/>
      <c r="BK210" s="93"/>
    </row>
    <row r="211">
      <c r="A211" s="154">
        <v>44223.94305555556</v>
      </c>
      <c r="B211" s="141" t="s">
        <v>61</v>
      </c>
      <c r="C211" s="128">
        <v>945.3931906755877</v>
      </c>
      <c r="D211" s="128">
        <v>15.0</v>
      </c>
      <c r="E211" s="142">
        <v>948.3383407909703</v>
      </c>
      <c r="F211" s="44" t="s">
        <v>58</v>
      </c>
      <c r="G211" s="128">
        <v>972.979501624598</v>
      </c>
      <c r="H211" s="128">
        <v>22.0</v>
      </c>
      <c r="I211" s="128">
        <v>978.4314718282596</v>
      </c>
      <c r="J211" s="141" t="s">
        <v>112</v>
      </c>
      <c r="K211" s="128">
        <v>1018.3275383348066</v>
      </c>
      <c r="L211" s="128">
        <v>18.0</v>
      </c>
      <c r="M211" s="142">
        <v>1021.7102301012912</v>
      </c>
      <c r="N211" s="44" t="s">
        <v>23</v>
      </c>
      <c r="O211" s="128">
        <v>1111.3978895765538</v>
      </c>
      <c r="P211" s="128">
        <v>30.0</v>
      </c>
      <c r="Q211" s="128">
        <v>1119.618077491025</v>
      </c>
      <c r="R211" s="148"/>
      <c r="U211" s="149"/>
      <c r="V211" s="44" t="s">
        <v>90</v>
      </c>
      <c r="W211" s="128">
        <v>976.5369535481065</v>
      </c>
      <c r="X211" s="128">
        <v>13.0</v>
      </c>
      <c r="Y211" s="128">
        <v>969.2906606795325</v>
      </c>
      <c r="Z211" s="141" t="s">
        <v>92</v>
      </c>
      <c r="AA211" s="128">
        <v>1017.2882770773269</v>
      </c>
      <c r="AB211" s="128">
        <v>15.0</v>
      </c>
      <c r="AC211" s="142">
        <v>1010.5662188029511</v>
      </c>
      <c r="AD211" s="44" t="s">
        <v>27</v>
      </c>
      <c r="AE211" s="128">
        <v>1024.7952472413187</v>
      </c>
      <c r="AF211" s="128">
        <v>30.0</v>
      </c>
      <c r="AG211" s="128">
        <v>1024.289414935561</v>
      </c>
      <c r="AH211" s="141" t="s">
        <v>107</v>
      </c>
      <c r="AI211" s="128">
        <v>1030.0371775924255</v>
      </c>
      <c r="AJ211" s="128">
        <v>18.0</v>
      </c>
      <c r="AK211" s="142">
        <v>1024.5113610411331</v>
      </c>
      <c r="AP211" s="143">
        <v>17.0</v>
      </c>
      <c r="AQ211" s="128">
        <v>11.0</v>
      </c>
      <c r="AR211" s="44" t="s">
        <v>406</v>
      </c>
      <c r="AS211" s="44" t="s">
        <v>243</v>
      </c>
      <c r="AT211" s="44">
        <v>210.0</v>
      </c>
      <c r="AU211" s="44"/>
      <c r="AW211" s="93"/>
      <c r="AY211" s="93"/>
      <c r="AZ211" s="93"/>
      <c r="BA211" s="93"/>
      <c r="BB211" s="155"/>
      <c r="BC211" s="93"/>
      <c r="BE211" s="93"/>
      <c r="BG211" s="93"/>
      <c r="BH211" s="93"/>
      <c r="BI211" s="93"/>
      <c r="BJ211" s="155"/>
      <c r="BK211" s="93"/>
    </row>
    <row r="212">
      <c r="A212" s="154">
        <v>44223.99375</v>
      </c>
      <c r="B212" s="141" t="s">
        <v>61</v>
      </c>
      <c r="C212" s="128">
        <v>948.3383407909703</v>
      </c>
      <c r="D212" s="128">
        <v>15.0</v>
      </c>
      <c r="E212" s="142">
        <v>940.1894079845144</v>
      </c>
      <c r="F212" s="44" t="s">
        <v>90</v>
      </c>
      <c r="G212" s="128">
        <v>969.2906606795325</v>
      </c>
      <c r="H212" s="128">
        <v>14.0</v>
      </c>
      <c r="I212" s="128">
        <v>960.2592577634831</v>
      </c>
      <c r="J212" s="141" t="s">
        <v>23</v>
      </c>
      <c r="K212" s="128">
        <v>1119.618077491025</v>
      </c>
      <c r="L212" s="128">
        <v>29.0</v>
      </c>
      <c r="M212" s="142">
        <v>1117.79841321353</v>
      </c>
      <c r="R212" s="148"/>
      <c r="U212" s="149"/>
      <c r="V212" s="44" t="s">
        <v>92</v>
      </c>
      <c r="W212" s="128">
        <v>1010.5662188029511</v>
      </c>
      <c r="X212" s="128">
        <v>19.0</v>
      </c>
      <c r="Y212" s="128">
        <v>1015.726224743181</v>
      </c>
      <c r="Z212" s="141" t="s">
        <v>112</v>
      </c>
      <c r="AA212" s="128">
        <v>1021.7102301012912</v>
      </c>
      <c r="AB212" s="128">
        <v>16.0</v>
      </c>
      <c r="AC212" s="142">
        <v>1025.2080493541037</v>
      </c>
      <c r="AD212" s="44" t="s">
        <v>107</v>
      </c>
      <c r="AE212" s="128">
        <v>1024.5113610411331</v>
      </c>
      <c r="AF212" s="128">
        <v>29.0</v>
      </c>
      <c r="AG212" s="128">
        <v>1034.8535358480908</v>
      </c>
      <c r="AH212" s="148"/>
      <c r="AK212" s="149"/>
      <c r="AP212" s="143">
        <v>12.0</v>
      </c>
      <c r="AQ212" s="128">
        <v>15.0</v>
      </c>
      <c r="AR212" s="44" t="s">
        <v>407</v>
      </c>
      <c r="AS212" s="44" t="s">
        <v>290</v>
      </c>
      <c r="AT212" s="44">
        <v>211.0</v>
      </c>
      <c r="AU212" s="44"/>
      <c r="AW212" s="93"/>
      <c r="AY212" s="93"/>
      <c r="AZ212" s="93"/>
      <c r="BA212" s="93"/>
      <c r="BB212" s="155"/>
      <c r="BC212" s="93"/>
      <c r="BE212" s="93"/>
      <c r="BG212" s="93"/>
      <c r="BH212" s="93"/>
      <c r="BI212" s="93"/>
      <c r="BJ212" s="155"/>
      <c r="BK212" s="93"/>
    </row>
    <row r="213">
      <c r="A213" s="154">
        <v>44224.02222222222</v>
      </c>
      <c r="B213" s="141" t="s">
        <v>61</v>
      </c>
      <c r="C213" s="128">
        <v>940.1894079845144</v>
      </c>
      <c r="D213" s="128">
        <v>8.0</v>
      </c>
      <c r="E213" s="142">
        <v>927.4242534727025</v>
      </c>
      <c r="F213" s="44" t="s">
        <v>107</v>
      </c>
      <c r="G213" s="128">
        <v>1034.8535358480908</v>
      </c>
      <c r="H213" s="128">
        <v>24.0</v>
      </c>
      <c r="I213" s="128">
        <v>1031.6186903599028</v>
      </c>
      <c r="J213" s="148"/>
      <c r="M213" s="149"/>
      <c r="R213" s="148"/>
      <c r="U213" s="149"/>
      <c r="V213" s="44" t="s">
        <v>92</v>
      </c>
      <c r="W213" s="128">
        <v>1015.726224743181</v>
      </c>
      <c r="X213" s="128">
        <v>23.0</v>
      </c>
      <c r="Y213" s="128">
        <v>1027.0914114847612</v>
      </c>
      <c r="Z213" s="141" t="s">
        <v>112</v>
      </c>
      <c r="AA213" s="128">
        <v>1025.2080493541037</v>
      </c>
      <c r="AB213" s="128">
        <v>13.0</v>
      </c>
      <c r="AC213" s="142">
        <v>1029.8428626125235</v>
      </c>
      <c r="AH213" s="148"/>
      <c r="AK213" s="149"/>
      <c r="AP213" s="143">
        <v>12.0</v>
      </c>
      <c r="AQ213" s="128">
        <v>15.0</v>
      </c>
      <c r="AS213" s="44" t="s">
        <v>408</v>
      </c>
      <c r="AT213" s="44">
        <v>212.0</v>
      </c>
      <c r="AU213" s="44"/>
      <c r="AW213" s="93"/>
      <c r="AY213" s="93"/>
      <c r="AZ213" s="93"/>
      <c r="BA213" s="93"/>
      <c r="BB213" s="155"/>
      <c r="BC213" s="93"/>
      <c r="BE213" s="93"/>
      <c r="BG213" s="93"/>
      <c r="BH213" s="93"/>
      <c r="BI213" s="93"/>
      <c r="BJ213" s="155"/>
      <c r="BK213" s="93"/>
    </row>
    <row r="214">
      <c r="A214" s="154">
        <v>44224.896527777775</v>
      </c>
      <c r="B214" s="141" t="s">
        <v>61</v>
      </c>
      <c r="C214" s="128">
        <v>927.4242534727025</v>
      </c>
      <c r="D214" s="128">
        <v>15.0</v>
      </c>
      <c r="E214" s="142">
        <v>933.0359883373446</v>
      </c>
      <c r="F214" s="44" t="s">
        <v>112</v>
      </c>
      <c r="G214" s="128">
        <v>1029.8428626125235</v>
      </c>
      <c r="H214" s="128">
        <v>21.0</v>
      </c>
      <c r="I214" s="128">
        <v>1038.279970968643</v>
      </c>
      <c r="J214" s="141" t="s">
        <v>23</v>
      </c>
      <c r="K214" s="128">
        <v>1117.79841321353</v>
      </c>
      <c r="L214" s="128">
        <v>32.0</v>
      </c>
      <c r="M214" s="142">
        <v>1135.7495699927683</v>
      </c>
      <c r="R214" s="148"/>
      <c r="U214" s="149"/>
      <c r="V214" s="44" t="s">
        <v>123</v>
      </c>
      <c r="W214" s="128">
        <v>944.4352018464938</v>
      </c>
      <c r="X214" s="128">
        <v>12.0</v>
      </c>
      <c r="Y214" s="128">
        <v>930.8030427121143</v>
      </c>
      <c r="Z214" s="141" t="s">
        <v>92</v>
      </c>
      <c r="AA214" s="128">
        <v>1027.0914114847612</v>
      </c>
      <c r="AB214" s="128">
        <v>16.0</v>
      </c>
      <c r="AC214" s="142">
        <v>1015.7044424164463</v>
      </c>
      <c r="AD214" s="44" t="s">
        <v>47</v>
      </c>
      <c r="AE214" s="128">
        <v>1032.9606116292455</v>
      </c>
      <c r="AF214" s="128">
        <v>21.0</v>
      </c>
      <c r="AG214" s="128">
        <v>1025.9797398319397</v>
      </c>
      <c r="AH214" s="148"/>
      <c r="AK214" s="149"/>
      <c r="AP214" s="143">
        <v>20.0</v>
      </c>
      <c r="AQ214" s="128">
        <v>8.0</v>
      </c>
      <c r="AR214" s="44" t="s">
        <v>409</v>
      </c>
      <c r="AS214" s="44" t="s">
        <v>403</v>
      </c>
      <c r="AT214" s="44">
        <v>213.0</v>
      </c>
      <c r="AU214" s="44"/>
      <c r="AW214" s="93"/>
      <c r="AY214" s="93"/>
      <c r="AZ214" s="93"/>
      <c r="BA214" s="93"/>
      <c r="BB214" s="155"/>
      <c r="BC214" s="93"/>
      <c r="BE214" s="93"/>
      <c r="BG214" s="93"/>
      <c r="BH214" s="93"/>
      <c r="BI214" s="93"/>
      <c r="BJ214" s="155"/>
      <c r="BK214" s="93"/>
    </row>
    <row r="215">
      <c r="A215" s="154">
        <v>44224.95208333333</v>
      </c>
      <c r="B215" s="141" t="s">
        <v>61</v>
      </c>
      <c r="C215" s="128">
        <v>933.0359883373446</v>
      </c>
      <c r="D215" s="128">
        <v>22.0</v>
      </c>
      <c r="E215" s="142">
        <v>941.1081275475897</v>
      </c>
      <c r="F215" s="44" t="s">
        <v>90</v>
      </c>
      <c r="G215" s="128">
        <v>960.2592577634831</v>
      </c>
      <c r="H215" s="128">
        <v>19.0</v>
      </c>
      <c r="I215" s="128">
        <v>965.6281873210677</v>
      </c>
      <c r="J215" s="141" t="s">
        <v>115</v>
      </c>
      <c r="K215" s="128">
        <v>1000.0</v>
      </c>
      <c r="L215" s="128">
        <v>10.0</v>
      </c>
      <c r="M215" s="142">
        <v>998.6638927557113</v>
      </c>
      <c r="N215" s="44" t="s">
        <v>27</v>
      </c>
      <c r="O215" s="128">
        <v>1024.289414935561</v>
      </c>
      <c r="P215" s="128">
        <v>23.0</v>
      </c>
      <c r="Q215" s="128">
        <v>1031.3652704804413</v>
      </c>
      <c r="R215" s="141" t="s">
        <v>23</v>
      </c>
      <c r="S215" s="128">
        <v>1135.7495699927683</v>
      </c>
      <c r="T215" s="128">
        <v>44.0</v>
      </c>
      <c r="U215" s="142">
        <v>1156.568752924347</v>
      </c>
      <c r="V215" s="44" t="s">
        <v>228</v>
      </c>
      <c r="W215" s="128">
        <v>963.0919550854228</v>
      </c>
      <c r="X215" s="128">
        <v>10.0</v>
      </c>
      <c r="Y215" s="128">
        <v>949.8954467728928</v>
      </c>
      <c r="Z215" s="141" t="s">
        <v>248</v>
      </c>
      <c r="AA215" s="128">
        <v>1009.1001940151672</v>
      </c>
      <c r="AB215" s="128">
        <v>20.0</v>
      </c>
      <c r="AC215" s="142">
        <v>1001.9896607017033</v>
      </c>
      <c r="AD215" s="44" t="s">
        <v>92</v>
      </c>
      <c r="AE215" s="128">
        <v>1015.7044424164463</v>
      </c>
      <c r="AF215" s="128">
        <v>26.0</v>
      </c>
      <c r="AG215" s="128">
        <v>1012.5408881235928</v>
      </c>
      <c r="AH215" s="141" t="s">
        <v>47</v>
      </c>
      <c r="AI215" s="128">
        <v>1025.9797398319397</v>
      </c>
      <c r="AJ215" s="128">
        <v>17.0</v>
      </c>
      <c r="AK215" s="142">
        <v>1016.7469270084489</v>
      </c>
      <c r="AL215" s="44" t="s">
        <v>112</v>
      </c>
      <c r="AM215" s="128">
        <v>1038.279970968643</v>
      </c>
      <c r="AN215" s="128">
        <v>20.0</v>
      </c>
      <c r="AO215" s="128">
        <v>1030.9833797109811</v>
      </c>
      <c r="AP215" s="143">
        <v>20.0</v>
      </c>
      <c r="AQ215" s="128">
        <v>8.0</v>
      </c>
      <c r="AR215" s="44" t="s">
        <v>410</v>
      </c>
      <c r="AS215" s="44" t="s">
        <v>235</v>
      </c>
      <c r="AT215" s="44">
        <v>214.0</v>
      </c>
      <c r="AU215" s="44"/>
      <c r="AW215" s="93"/>
      <c r="AY215" s="93"/>
      <c r="AZ215" s="93"/>
      <c r="BA215" s="93"/>
      <c r="BB215" s="155"/>
      <c r="BC215" s="93"/>
      <c r="BE215" s="93"/>
      <c r="BG215" s="93"/>
      <c r="BH215" s="93"/>
      <c r="BI215" s="93"/>
      <c r="BJ215" s="155"/>
      <c r="BK215" s="93"/>
    </row>
    <row r="216">
      <c r="A216" s="154">
        <v>44225.00625</v>
      </c>
      <c r="B216" s="141" t="s">
        <v>61</v>
      </c>
      <c r="C216" s="128">
        <v>941.1081275475897</v>
      </c>
      <c r="D216" s="128">
        <v>23.0</v>
      </c>
      <c r="E216" s="142">
        <v>939.8503817498231</v>
      </c>
      <c r="F216" s="44" t="s">
        <v>248</v>
      </c>
      <c r="G216" s="128">
        <v>1001.9896607017033</v>
      </c>
      <c r="H216" s="128">
        <v>14.0</v>
      </c>
      <c r="I216" s="128">
        <v>997.358641507947</v>
      </c>
      <c r="J216" s="141" t="s">
        <v>92</v>
      </c>
      <c r="K216" s="128">
        <v>1012.5408881235928</v>
      </c>
      <c r="L216" s="128">
        <v>18.0</v>
      </c>
      <c r="M216" s="142">
        <v>1009.2048627303258</v>
      </c>
      <c r="N216" s="44" t="s">
        <v>112</v>
      </c>
      <c r="O216" s="128">
        <v>1030.9833797109811</v>
      </c>
      <c r="P216" s="128">
        <v>12.0</v>
      </c>
      <c r="Q216" s="128">
        <v>1025.596484006888</v>
      </c>
      <c r="R216" s="141" t="s">
        <v>107</v>
      </c>
      <c r="S216" s="128">
        <v>1031.6186903599028</v>
      </c>
      <c r="T216" s="128">
        <v>12.0</v>
      </c>
      <c r="U216" s="142">
        <v>1026.2303764487858</v>
      </c>
      <c r="V216" s="44" t="s">
        <v>123</v>
      </c>
      <c r="W216" s="128">
        <v>930.8030427121143</v>
      </c>
      <c r="X216" s="128">
        <v>15.0</v>
      </c>
      <c r="Y216" s="128">
        <v>933.7935452911753</v>
      </c>
      <c r="Z216" s="141" t="s">
        <v>228</v>
      </c>
      <c r="AA216" s="128">
        <v>949.8954467728928</v>
      </c>
      <c r="AB216" s="128">
        <v>6.0</v>
      </c>
      <c r="AC216" s="142">
        <v>949.6870059537071</v>
      </c>
      <c r="AD216" s="44" t="s">
        <v>90</v>
      </c>
      <c r="AE216" s="128">
        <v>965.6281873210677</v>
      </c>
      <c r="AF216" s="128">
        <v>20.0</v>
      </c>
      <c r="AG216" s="128">
        <v>969.9470097108743</v>
      </c>
      <c r="AH216" s="141" t="s">
        <v>47</v>
      </c>
      <c r="AI216" s="128">
        <v>1016.7469270084489</v>
      </c>
      <c r="AJ216" s="128">
        <v>21.0</v>
      </c>
      <c r="AK216" s="142">
        <v>1021.097867610894</v>
      </c>
      <c r="AL216" s="44" t="s">
        <v>23</v>
      </c>
      <c r="AM216" s="128">
        <v>1156.568752924347</v>
      </c>
      <c r="AN216" s="128">
        <v>34.0</v>
      </c>
      <c r="AO216" s="128">
        <v>1165.11692817222</v>
      </c>
      <c r="AP216" s="143">
        <v>11.0</v>
      </c>
      <c r="AQ216" s="128">
        <v>17.0</v>
      </c>
      <c r="AR216" s="44" t="s">
        <v>411</v>
      </c>
      <c r="AS216" s="44" t="s">
        <v>285</v>
      </c>
      <c r="AT216" s="44">
        <v>215.0</v>
      </c>
      <c r="AU216" s="44"/>
      <c r="AW216" s="93"/>
      <c r="AY216" s="93"/>
      <c r="AZ216" s="93"/>
      <c r="BA216" s="93"/>
      <c r="BB216" s="155"/>
      <c r="BC216" s="93"/>
      <c r="BE216" s="93"/>
      <c r="BG216" s="93"/>
      <c r="BH216" s="93"/>
      <c r="BI216" s="93"/>
      <c r="BJ216" s="155"/>
      <c r="BK216" s="93"/>
    </row>
    <row r="217">
      <c r="A217" s="154">
        <v>44225.91736111111</v>
      </c>
      <c r="B217" s="141" t="s">
        <v>228</v>
      </c>
      <c r="C217" s="128">
        <v>949.6870059537071</v>
      </c>
      <c r="D217" s="128">
        <v>18.0</v>
      </c>
      <c r="E217" s="142">
        <v>953.9829433165343</v>
      </c>
      <c r="F217" s="44" t="s">
        <v>58</v>
      </c>
      <c r="G217" s="128">
        <v>978.4314718282596</v>
      </c>
      <c r="H217" s="128">
        <v>17.0</v>
      </c>
      <c r="I217" s="128">
        <v>982.0108449314591</v>
      </c>
      <c r="J217" s="141" t="s">
        <v>98</v>
      </c>
      <c r="K217" s="128">
        <v>994.6282410080636</v>
      </c>
      <c r="L217" s="128">
        <v>17.0</v>
      </c>
      <c r="M217" s="142">
        <v>998.078982409847</v>
      </c>
      <c r="N217" s="44" t="s">
        <v>27</v>
      </c>
      <c r="O217" s="128">
        <v>1031.3652704804413</v>
      </c>
      <c r="P217" s="128">
        <v>30.0</v>
      </c>
      <c r="Q217" s="128">
        <v>1040.0392186126312</v>
      </c>
      <c r="R217" s="148"/>
      <c r="U217" s="149"/>
      <c r="V217" s="44" t="s">
        <v>61</v>
      </c>
      <c r="W217" s="128">
        <v>939.8503817498231</v>
      </c>
      <c r="X217" s="128">
        <v>12.0</v>
      </c>
      <c r="Y217" s="128">
        <v>933.431592687392</v>
      </c>
      <c r="Z217" s="141" t="s">
        <v>90</v>
      </c>
      <c r="AA217" s="128">
        <v>969.9470097108743</v>
      </c>
      <c r="AB217" s="128">
        <v>10.0</v>
      </c>
      <c r="AC217" s="142">
        <v>962.4209728838447</v>
      </c>
      <c r="AD217" s="44" t="s">
        <v>47</v>
      </c>
      <c r="AE217" s="128">
        <v>1021.097867610894</v>
      </c>
      <c r="AF217" s="128">
        <v>23.0</v>
      </c>
      <c r="AG217" s="128">
        <v>1018.7029400742987</v>
      </c>
      <c r="AH217" s="141" t="s">
        <v>112</v>
      </c>
      <c r="AI217" s="128">
        <v>1025.596484006888</v>
      </c>
      <c r="AJ217" s="128">
        <v>20.0</v>
      </c>
      <c r="AK217" s="142">
        <v>1021.936237432944</v>
      </c>
      <c r="AP217" s="143">
        <v>18.0</v>
      </c>
      <c r="AQ217" s="128">
        <v>10.0</v>
      </c>
      <c r="AS217" s="44" t="s">
        <v>229</v>
      </c>
      <c r="AT217" s="44">
        <v>216.0</v>
      </c>
      <c r="AU217" s="44"/>
      <c r="AW217" s="93"/>
      <c r="AY217" s="93"/>
      <c r="AZ217" s="93"/>
      <c r="BA217" s="93"/>
      <c r="BB217" s="155"/>
      <c r="BC217" s="93"/>
      <c r="BE217" s="93"/>
      <c r="BG217" s="93"/>
      <c r="BH217" s="93"/>
      <c r="BI217" s="93"/>
      <c r="BJ217" s="155"/>
      <c r="BK217" s="93"/>
    </row>
    <row r="218">
      <c r="A218" s="154">
        <v>44225.96319444444</v>
      </c>
      <c r="B218" s="141" t="s">
        <v>228</v>
      </c>
      <c r="C218" s="128">
        <v>953.9829433165343</v>
      </c>
      <c r="D218" s="128">
        <v>12.0</v>
      </c>
      <c r="E218" s="142">
        <v>940.4341767535491</v>
      </c>
      <c r="F218" s="44" t="s">
        <v>47</v>
      </c>
      <c r="G218" s="128">
        <v>1018.7029400742987</v>
      </c>
      <c r="H218" s="128">
        <v>17.0</v>
      </c>
      <c r="I218" s="128">
        <v>1008.3754785769278</v>
      </c>
      <c r="J218" s="141" t="s">
        <v>112</v>
      </c>
      <c r="K218" s="128">
        <v>1021.936237432944</v>
      </c>
      <c r="L218" s="128">
        <v>21.0</v>
      </c>
      <c r="M218" s="142">
        <v>1014.8347697077502</v>
      </c>
      <c r="N218" s="44" t="s">
        <v>27</v>
      </c>
      <c r="O218" s="128">
        <v>1040.0392186126312</v>
      </c>
      <c r="P218" s="128">
        <v>20.0</v>
      </c>
      <c r="Q218" s="128">
        <v>1032.0169143981811</v>
      </c>
      <c r="R218" s="148"/>
      <c r="U218" s="149"/>
      <c r="V218" s="44" t="s">
        <v>61</v>
      </c>
      <c r="W218" s="128">
        <v>933.431592687392</v>
      </c>
      <c r="X218" s="128">
        <v>17.0</v>
      </c>
      <c r="Y218" s="128">
        <v>940.2764466367881</v>
      </c>
      <c r="Z218" s="141" t="s">
        <v>90</v>
      </c>
      <c r="AA218" s="128">
        <v>962.4209728838447</v>
      </c>
      <c r="AB218" s="128">
        <v>25.0</v>
      </c>
      <c r="AC218" s="142">
        <v>975.0355242601854</v>
      </c>
      <c r="AD218" s="44" t="s">
        <v>58</v>
      </c>
      <c r="AE218" s="128">
        <v>982.0108449314591</v>
      </c>
      <c r="AF218" s="128">
        <v>19.0</v>
      </c>
      <c r="AG218" s="128">
        <v>989.3657543552341</v>
      </c>
      <c r="AH218" s="141" t="s">
        <v>23</v>
      </c>
      <c r="AI218" s="128">
        <v>1165.11692817222</v>
      </c>
      <c r="AJ218" s="128">
        <v>26.0</v>
      </c>
      <c r="AK218" s="142">
        <v>1177.3026134227082</v>
      </c>
      <c r="AP218" s="143">
        <v>8.0</v>
      </c>
      <c r="AQ218" s="128">
        <v>20.0</v>
      </c>
      <c r="AS218" s="44" t="s">
        <v>229</v>
      </c>
      <c r="AT218" s="44">
        <v>217.0</v>
      </c>
      <c r="AU218" s="44"/>
      <c r="AW218" s="93"/>
      <c r="AY218" s="93"/>
      <c r="AZ218" s="93"/>
      <c r="BA218" s="93"/>
      <c r="BB218" s="155"/>
      <c r="BC218" s="93"/>
      <c r="BE218" s="93"/>
      <c r="BG218" s="93"/>
      <c r="BH218" s="93"/>
      <c r="BI218" s="93"/>
      <c r="BJ218" s="155"/>
      <c r="BK218" s="93"/>
    </row>
    <row r="219">
      <c r="A219" s="154">
        <v>44226.07152777778</v>
      </c>
      <c r="B219" s="141" t="s">
        <v>324</v>
      </c>
      <c r="C219" s="128">
        <v>993.5976385976094</v>
      </c>
      <c r="D219" s="128">
        <v>20.0</v>
      </c>
      <c r="E219" s="142">
        <v>985.7235614056833</v>
      </c>
      <c r="F219" s="44" t="s">
        <v>47</v>
      </c>
      <c r="G219" s="128">
        <v>1008.3754785769278</v>
      </c>
      <c r="H219" s="128">
        <v>15.0</v>
      </c>
      <c r="I219" s="128">
        <v>995.8973849256396</v>
      </c>
      <c r="J219" s="141" t="s">
        <v>112</v>
      </c>
      <c r="K219" s="128">
        <v>1014.8347697077502</v>
      </c>
      <c r="L219" s="128">
        <v>16.0</v>
      </c>
      <c r="M219" s="142">
        <v>1003.1869405509644</v>
      </c>
      <c r="R219" s="148"/>
      <c r="U219" s="149"/>
      <c r="V219" s="44" t="s">
        <v>61</v>
      </c>
      <c r="W219" s="128">
        <v>940.2764466367881</v>
      </c>
      <c r="X219" s="128">
        <v>23.0</v>
      </c>
      <c r="Y219" s="128">
        <v>953.293433857877</v>
      </c>
      <c r="Z219" s="141" t="s">
        <v>224</v>
      </c>
      <c r="AA219" s="128">
        <v>970.83</v>
      </c>
      <c r="AB219" s="128">
        <v>6.0</v>
      </c>
      <c r="AC219" s="142">
        <v>967.9947707071749</v>
      </c>
      <c r="AD219" s="44" t="s">
        <v>23</v>
      </c>
      <c r="AE219" s="128">
        <v>1177.3026134227082</v>
      </c>
      <c r="AF219" s="128">
        <v>35.0</v>
      </c>
      <c r="AG219" s="128">
        <v>1199.1208554944444</v>
      </c>
      <c r="AH219" s="148"/>
      <c r="AK219" s="149"/>
      <c r="AP219" s="143">
        <v>9.0</v>
      </c>
      <c r="AQ219" s="128">
        <v>19.0</v>
      </c>
      <c r="AR219" s="44" t="s">
        <v>412</v>
      </c>
      <c r="AS219" s="44" t="s">
        <v>231</v>
      </c>
      <c r="AT219" s="44">
        <v>218.0</v>
      </c>
      <c r="AU219" s="44"/>
      <c r="AW219" s="93"/>
      <c r="AY219" s="93"/>
      <c r="AZ219" s="93"/>
      <c r="BA219" s="93"/>
      <c r="BB219" s="155"/>
      <c r="BC219" s="93"/>
      <c r="BE219" s="93"/>
      <c r="BG219" s="93"/>
      <c r="BH219" s="93"/>
      <c r="BI219" s="93"/>
      <c r="BJ219" s="155"/>
      <c r="BK219" s="93"/>
    </row>
    <row r="220">
      <c r="A220" s="154">
        <v>44227.99513888889</v>
      </c>
      <c r="B220" s="141" t="s">
        <v>90</v>
      </c>
      <c r="C220" s="128">
        <v>975.0355242601854</v>
      </c>
      <c r="D220" s="128">
        <v>19.0</v>
      </c>
      <c r="E220" s="142">
        <v>972.6520127072281</v>
      </c>
      <c r="F220" s="44" t="s">
        <v>78</v>
      </c>
      <c r="G220" s="128">
        <v>984.7874089907796</v>
      </c>
      <c r="H220" s="128">
        <v>11.0</v>
      </c>
      <c r="I220" s="128">
        <v>980.5349651569047</v>
      </c>
      <c r="J220" s="141" t="s">
        <v>47</v>
      </c>
      <c r="K220" s="128">
        <v>995.8973849256396</v>
      </c>
      <c r="L220" s="128">
        <v>20.0</v>
      </c>
      <c r="M220" s="142">
        <v>993.6718430747245</v>
      </c>
      <c r="N220" s="44" t="s">
        <v>23</v>
      </c>
      <c r="O220" s="128">
        <v>1199.1208554944444</v>
      </c>
      <c r="P220" s="128">
        <v>21.0</v>
      </c>
      <c r="Q220" s="128">
        <v>1196.9823527321917</v>
      </c>
      <c r="R220" s="148"/>
      <c r="U220" s="149"/>
      <c r="V220" s="44" t="s">
        <v>98</v>
      </c>
      <c r="W220" s="128">
        <v>998.078982409847</v>
      </c>
      <c r="X220" s="128">
        <v>18.0</v>
      </c>
      <c r="Y220" s="128">
        <v>1000.5984011737128</v>
      </c>
      <c r="Z220" s="141" t="s">
        <v>112</v>
      </c>
      <c r="AA220" s="128">
        <v>1003.1869405509644</v>
      </c>
      <c r="AB220" s="128">
        <v>14.0</v>
      </c>
      <c r="AC220" s="142">
        <v>1004.7744880904714</v>
      </c>
      <c r="AD220" s="44" t="s">
        <v>107</v>
      </c>
      <c r="AE220" s="128">
        <v>1026.2303764487858</v>
      </c>
      <c r="AF220" s="128">
        <v>21.0</v>
      </c>
      <c r="AG220" s="128">
        <v>1029.3668886694315</v>
      </c>
      <c r="AH220" s="141" t="s">
        <v>31</v>
      </c>
      <c r="AI220" s="128">
        <v>1094.5481167197</v>
      </c>
      <c r="AJ220" s="128">
        <v>24.0</v>
      </c>
      <c r="AK220" s="142">
        <v>1098.3046381956813</v>
      </c>
      <c r="AP220" s="143">
        <v>13.0</v>
      </c>
      <c r="AQ220" s="128">
        <v>15.0</v>
      </c>
      <c r="AS220" s="44" t="s">
        <v>339</v>
      </c>
      <c r="AT220" s="44">
        <v>219.0</v>
      </c>
      <c r="AU220" s="44"/>
      <c r="AW220" s="93"/>
      <c r="AY220" s="93"/>
      <c r="AZ220" s="93"/>
      <c r="BA220" s="93"/>
      <c r="BB220" s="155"/>
      <c r="BC220" s="93"/>
      <c r="BE220" s="93"/>
      <c r="BG220" s="93"/>
      <c r="BH220" s="93"/>
      <c r="BI220" s="93"/>
      <c r="BJ220" s="155"/>
      <c r="BK220" s="93"/>
    </row>
    <row r="221">
      <c r="A221" s="154">
        <v>44227.04375</v>
      </c>
      <c r="B221" s="141" t="s">
        <v>90</v>
      </c>
      <c r="C221" s="128">
        <v>972.6520127072281</v>
      </c>
      <c r="D221" s="128">
        <v>15.0</v>
      </c>
      <c r="E221" s="142">
        <v>975.8725603552385</v>
      </c>
      <c r="F221" s="44" t="s">
        <v>78</v>
      </c>
      <c r="G221" s="128">
        <v>980.5349651569047</v>
      </c>
      <c r="H221" s="128">
        <v>16.0</v>
      </c>
      <c r="I221" s="128">
        <v>984.0953945315453</v>
      </c>
      <c r="J221" s="141" t="s">
        <v>47</v>
      </c>
      <c r="K221" s="128">
        <v>993.6718430747245</v>
      </c>
      <c r="L221" s="128">
        <v>20.0</v>
      </c>
      <c r="M221" s="142">
        <v>998.7334747797269</v>
      </c>
      <c r="N221" s="44" t="s">
        <v>23</v>
      </c>
      <c r="O221" s="128">
        <v>1196.9823527321917</v>
      </c>
      <c r="P221" s="128">
        <v>26.0</v>
      </c>
      <c r="Q221" s="128">
        <v>1204.1397440045382</v>
      </c>
      <c r="R221" s="148"/>
      <c r="U221" s="149"/>
      <c r="V221" s="44" t="s">
        <v>98</v>
      </c>
      <c r="W221" s="128">
        <v>1000.5984011737128</v>
      </c>
      <c r="X221" s="128">
        <v>13.0</v>
      </c>
      <c r="Y221" s="128">
        <v>994.052476643111</v>
      </c>
      <c r="Z221" s="141" t="s">
        <v>112</v>
      </c>
      <c r="AA221" s="128">
        <v>1004.7744880904714</v>
      </c>
      <c r="AB221" s="128">
        <v>23.0</v>
      </c>
      <c r="AC221" s="142">
        <v>1002.1677576163321</v>
      </c>
      <c r="AD221" s="44" t="s">
        <v>107</v>
      </c>
      <c r="AE221" s="128">
        <v>1029.3668886694315</v>
      </c>
      <c r="AF221" s="128">
        <v>17.0</v>
      </c>
      <c r="AG221" s="128">
        <v>1024.2952173471162</v>
      </c>
      <c r="AH221" s="141" t="s">
        <v>31</v>
      </c>
      <c r="AI221" s="128">
        <v>1098.3046381956813</v>
      </c>
      <c r="AJ221" s="128">
        <v>18.0</v>
      </c>
      <c r="AK221" s="142">
        <v>1093.5289645227376</v>
      </c>
      <c r="AP221" s="143">
        <v>16.0</v>
      </c>
      <c r="AQ221" s="128">
        <v>12.0</v>
      </c>
      <c r="AS221" s="44" t="s">
        <v>413</v>
      </c>
      <c r="AT221" s="44">
        <v>220.0</v>
      </c>
      <c r="AU221" s="44"/>
      <c r="AW221" s="93"/>
      <c r="AY221" s="93"/>
      <c r="AZ221" s="93"/>
      <c r="BA221" s="93"/>
      <c r="BB221" s="155"/>
      <c r="BC221" s="93"/>
      <c r="BE221" s="93"/>
      <c r="BG221" s="93"/>
      <c r="BH221" s="93"/>
      <c r="BI221" s="93"/>
      <c r="BJ221" s="155"/>
      <c r="BK221" s="93"/>
    </row>
    <row r="222">
      <c r="A222" s="154">
        <v>44227.07916666667</v>
      </c>
      <c r="B222" s="141" t="s">
        <v>78</v>
      </c>
      <c r="C222" s="128">
        <v>984.0953945315453</v>
      </c>
      <c r="D222" s="128">
        <v>14.0</v>
      </c>
      <c r="E222" s="142">
        <v>985.946408300768</v>
      </c>
      <c r="F222" s="44" t="s">
        <v>47</v>
      </c>
      <c r="G222" s="128">
        <v>998.7334747797269</v>
      </c>
      <c r="H222" s="128">
        <v>19.0</v>
      </c>
      <c r="I222" s="128">
        <v>1001.6510789519937</v>
      </c>
      <c r="J222" s="141" t="s">
        <v>23</v>
      </c>
      <c r="K222" s="128">
        <v>1204.1397440045382</v>
      </c>
      <c r="L222" s="128">
        <v>21.0</v>
      </c>
      <c r="M222" s="142">
        <v>1207.3711260630487</v>
      </c>
      <c r="R222" s="148"/>
      <c r="U222" s="149"/>
      <c r="V222" s="44" t="s">
        <v>112</v>
      </c>
      <c r="W222" s="128">
        <v>1002.1677576163321</v>
      </c>
      <c r="X222" s="128">
        <v>10.0</v>
      </c>
      <c r="Y222" s="128">
        <v>998.0694513991918</v>
      </c>
      <c r="Z222" s="141" t="s">
        <v>107</v>
      </c>
      <c r="AA222" s="128">
        <v>1024.2952173471162</v>
      </c>
      <c r="AB222" s="128">
        <v>25.0</v>
      </c>
      <c r="AC222" s="142">
        <v>1023.4852716265992</v>
      </c>
      <c r="AD222" s="44" t="s">
        <v>31</v>
      </c>
      <c r="AE222" s="128">
        <v>1093.5289645227376</v>
      </c>
      <c r="AF222" s="128">
        <v>15.0</v>
      </c>
      <c r="AG222" s="128">
        <v>1090.437216460395</v>
      </c>
      <c r="AH222" s="148"/>
      <c r="AK222" s="149"/>
      <c r="AP222" s="143">
        <v>15.0</v>
      </c>
      <c r="AQ222" s="128">
        <v>13.0</v>
      </c>
      <c r="AS222" s="44" t="s">
        <v>280</v>
      </c>
      <c r="AT222" s="44">
        <v>221.0</v>
      </c>
      <c r="AU222" s="44"/>
      <c r="AW222" s="93"/>
      <c r="AY222" s="93"/>
      <c r="AZ222" s="93"/>
      <c r="BA222" s="93"/>
      <c r="BB222" s="155"/>
      <c r="BC222" s="93"/>
      <c r="BE222" s="93"/>
      <c r="BG222" s="93"/>
      <c r="BH222" s="93"/>
      <c r="BI222" s="93"/>
      <c r="BJ222" s="155"/>
      <c r="BK222" s="93"/>
    </row>
    <row r="223">
      <c r="A223" s="154">
        <v>44227.915972222225</v>
      </c>
      <c r="B223" s="141" t="s">
        <v>61</v>
      </c>
      <c r="C223" s="128">
        <v>953.293433857877</v>
      </c>
      <c r="D223" s="128">
        <v>22.0</v>
      </c>
      <c r="E223" s="142">
        <v>961.1329379563222</v>
      </c>
      <c r="F223" s="44" t="s">
        <v>90</v>
      </c>
      <c r="G223" s="128">
        <v>975.8725603552385</v>
      </c>
      <c r="H223" s="128">
        <v>16.0</v>
      </c>
      <c r="I223" s="128">
        <v>979.349432887337</v>
      </c>
      <c r="J223" s="141" t="s">
        <v>23</v>
      </c>
      <c r="K223" s="128">
        <v>1207.3711260630487</v>
      </c>
      <c r="L223" s="128">
        <v>31.0</v>
      </c>
      <c r="M223" s="142">
        <v>1220.054749432505</v>
      </c>
      <c r="R223" s="148"/>
      <c r="U223" s="149"/>
      <c r="V223" s="44" t="s">
        <v>98</v>
      </c>
      <c r="W223" s="128">
        <v>994.052476643111</v>
      </c>
      <c r="X223" s="128">
        <v>14.0</v>
      </c>
      <c r="Y223" s="128">
        <v>985.8563224034134</v>
      </c>
      <c r="Z223" s="141" t="s">
        <v>112</v>
      </c>
      <c r="AA223" s="128">
        <v>998.0694513991918</v>
      </c>
      <c r="AB223" s="128">
        <v>14.0</v>
      </c>
      <c r="AC223" s="142">
        <v>989.8458151563102</v>
      </c>
      <c r="AD223" s="44" t="s">
        <v>47</v>
      </c>
      <c r="AE223" s="128">
        <v>1001.6510789519937</v>
      </c>
      <c r="AF223" s="128">
        <v>15.0</v>
      </c>
      <c r="AG223" s="128">
        <v>994.070869434573</v>
      </c>
      <c r="AH223" s="148"/>
      <c r="AK223" s="149"/>
      <c r="AP223" s="143">
        <v>20.0</v>
      </c>
      <c r="AQ223" s="128">
        <v>8.0</v>
      </c>
      <c r="AR223" s="44" t="s">
        <v>414</v>
      </c>
      <c r="AS223" s="44" t="s">
        <v>229</v>
      </c>
      <c r="AT223" s="44">
        <v>222.0</v>
      </c>
      <c r="AU223" s="44"/>
      <c r="AW223" s="93"/>
      <c r="AY223" s="93"/>
      <c r="AZ223" s="93"/>
      <c r="BA223" s="93"/>
      <c r="BB223" s="155"/>
      <c r="BC223" s="93"/>
      <c r="BE223" s="93"/>
      <c r="BG223" s="93"/>
      <c r="BH223" s="93"/>
      <c r="BI223" s="93"/>
      <c r="BJ223" s="155"/>
      <c r="BK223" s="93"/>
    </row>
    <row r="224">
      <c r="A224" s="154">
        <v>44227.964583333334</v>
      </c>
      <c r="B224" s="141" t="s">
        <v>61</v>
      </c>
      <c r="C224" s="128">
        <v>961.1329379563222</v>
      </c>
      <c r="D224" s="128">
        <v>14.0</v>
      </c>
      <c r="E224" s="142">
        <v>946.4054732619497</v>
      </c>
      <c r="F224" s="44" t="s">
        <v>90</v>
      </c>
      <c r="G224" s="128">
        <v>979.349432887337</v>
      </c>
      <c r="H224" s="128">
        <v>11.0</v>
      </c>
      <c r="I224" s="128">
        <v>961.0114127819617</v>
      </c>
      <c r="J224" s="141" t="s">
        <v>78</v>
      </c>
      <c r="K224" s="128">
        <v>985.946408300768</v>
      </c>
      <c r="L224" s="128">
        <v>15.0</v>
      </c>
      <c r="M224" s="142">
        <v>971.9309522312261</v>
      </c>
      <c r="N224" s="44" t="s">
        <v>23</v>
      </c>
      <c r="O224" s="128">
        <v>1220.054749432505</v>
      </c>
      <c r="P224" s="128">
        <v>23.0</v>
      </c>
      <c r="Q224" s="128">
        <v>1214.1356903017947</v>
      </c>
      <c r="R224" s="148"/>
      <c r="U224" s="149"/>
      <c r="V224" s="44" t="s">
        <v>47</v>
      </c>
      <c r="W224" s="128">
        <v>994.070869434573</v>
      </c>
      <c r="X224" s="128">
        <v>24.0</v>
      </c>
      <c r="Y224" s="128">
        <v>1007.2466591522222</v>
      </c>
      <c r="Z224" s="141" t="s">
        <v>245</v>
      </c>
      <c r="AA224" s="128">
        <v>999.2800378843507</v>
      </c>
      <c r="AB224" s="128">
        <v>28.0</v>
      </c>
      <c r="AC224" s="142">
        <v>1016.7774266673622</v>
      </c>
      <c r="AD224" s="44" t="s">
        <v>92</v>
      </c>
      <c r="AE224" s="128">
        <v>1009.2048627303258</v>
      </c>
      <c r="AF224" s="128">
        <v>13.0</v>
      </c>
      <c r="AG224" s="128">
        <v>1009.9765367911943</v>
      </c>
      <c r="AH224" s="141" t="s">
        <v>107</v>
      </c>
      <c r="AI224" s="128">
        <v>1023.4852716265992</v>
      </c>
      <c r="AJ224" s="128">
        <v>32.0</v>
      </c>
      <c r="AK224" s="142">
        <v>1045.04041906507</v>
      </c>
      <c r="AP224" s="143">
        <v>7.0</v>
      </c>
      <c r="AQ224" s="128">
        <v>21.0</v>
      </c>
      <c r="AR224" s="44" t="s">
        <v>415</v>
      </c>
      <c r="AS224" s="44" t="s">
        <v>243</v>
      </c>
      <c r="AT224" s="44">
        <v>223.0</v>
      </c>
      <c r="AU224" s="44"/>
      <c r="AW224" s="93"/>
      <c r="AY224" s="93"/>
      <c r="AZ224" s="93"/>
      <c r="BA224" s="93"/>
      <c r="BB224" s="155"/>
      <c r="BC224" s="93"/>
      <c r="BE224" s="93"/>
      <c r="BG224" s="93"/>
      <c r="BH224" s="93"/>
      <c r="BI224" s="93"/>
      <c r="BJ224" s="155"/>
      <c r="BK224" s="93"/>
    </row>
    <row r="225">
      <c r="A225" s="154">
        <v>44228.00555555556</v>
      </c>
      <c r="B225" s="141" t="s">
        <v>47</v>
      </c>
      <c r="C225" s="128">
        <v>1007.2466591522222</v>
      </c>
      <c r="D225" s="128">
        <v>18.0</v>
      </c>
      <c r="E225" s="142">
        <v>1016.6553607593664</v>
      </c>
      <c r="F225" s="44" t="s">
        <v>245</v>
      </c>
      <c r="G225" s="128">
        <v>1016.7774266673622</v>
      </c>
      <c r="H225" s="128">
        <v>17.0</v>
      </c>
      <c r="I225" s="128">
        <v>1025.368725060218</v>
      </c>
      <c r="J225" s="148"/>
      <c r="M225" s="149"/>
      <c r="R225" s="148"/>
      <c r="U225" s="149"/>
      <c r="V225" s="44" t="s">
        <v>61</v>
      </c>
      <c r="W225" s="128">
        <v>946.4054732619497</v>
      </c>
      <c r="X225" s="128">
        <v>13.0</v>
      </c>
      <c r="Y225" s="128">
        <v>935.9346192274047</v>
      </c>
      <c r="Z225" s="141" t="s">
        <v>107</v>
      </c>
      <c r="AA225" s="128">
        <v>1045.04041906507</v>
      </c>
      <c r="AB225" s="128">
        <v>18.0</v>
      </c>
      <c r="AC225" s="142">
        <v>1037.511273099615</v>
      </c>
      <c r="AH225" s="148"/>
      <c r="AK225" s="149"/>
      <c r="AP225" s="143">
        <v>16.0</v>
      </c>
      <c r="AQ225" s="128">
        <v>12.0</v>
      </c>
      <c r="AR225" s="44" t="s">
        <v>416</v>
      </c>
      <c r="AS225" s="44" t="s">
        <v>232</v>
      </c>
      <c r="AT225" s="44">
        <v>224.0</v>
      </c>
      <c r="AU225" s="44"/>
      <c r="AW225" s="93"/>
      <c r="AY225" s="93"/>
      <c r="AZ225" s="93"/>
      <c r="BA225" s="93"/>
      <c r="BB225" s="155"/>
      <c r="BC225" s="93"/>
      <c r="BE225" s="93"/>
      <c r="BG225" s="93"/>
      <c r="BH225" s="93"/>
      <c r="BI225" s="93"/>
      <c r="BJ225" s="155"/>
      <c r="BK225" s="93"/>
    </row>
    <row r="226">
      <c r="A226" s="154">
        <v>44228.92569444444</v>
      </c>
      <c r="B226" s="141" t="s">
        <v>123</v>
      </c>
      <c r="C226" s="128">
        <v>933.7935452911753</v>
      </c>
      <c r="D226" s="128">
        <v>10.0</v>
      </c>
      <c r="E226" s="142">
        <v>934.437194044761</v>
      </c>
      <c r="F226" s="44" t="s">
        <v>61</v>
      </c>
      <c r="G226" s="128">
        <v>935.9346192274047</v>
      </c>
      <c r="H226" s="128">
        <v>19.0</v>
      </c>
      <c r="I226" s="128">
        <v>938.3180035017546</v>
      </c>
      <c r="J226" s="141" t="s">
        <v>23</v>
      </c>
      <c r="K226" s="128">
        <v>1214.1356903017947</v>
      </c>
      <c r="L226" s="128">
        <v>29.0</v>
      </c>
      <c r="M226" s="142">
        <v>1218.108657273859</v>
      </c>
      <c r="R226" s="148"/>
      <c r="U226" s="149"/>
      <c r="V226" s="44" t="s">
        <v>90</v>
      </c>
      <c r="W226" s="128">
        <v>961.0114127819617</v>
      </c>
      <c r="X226" s="128">
        <v>10.0</v>
      </c>
      <c r="Y226" s="128">
        <v>957.5171394764409</v>
      </c>
      <c r="Z226" s="141" t="s">
        <v>112</v>
      </c>
      <c r="AA226" s="128">
        <v>989.8458151563102</v>
      </c>
      <c r="AB226" s="128">
        <v>15.0</v>
      </c>
      <c r="AC226" s="142">
        <v>987.244287162707</v>
      </c>
      <c r="AD226" s="44" t="s">
        <v>47</v>
      </c>
      <c r="AE226" s="128">
        <v>1016.6553607593664</v>
      </c>
      <c r="AF226" s="128">
        <v>24.0</v>
      </c>
      <c r="AG226" s="128">
        <v>1015.7511620584905</v>
      </c>
      <c r="AH226" s="148"/>
      <c r="AK226" s="149"/>
      <c r="AP226" s="143">
        <v>15.0</v>
      </c>
      <c r="AQ226" s="128">
        <v>13.0</v>
      </c>
      <c r="AR226" s="44" t="s">
        <v>417</v>
      </c>
      <c r="AS226" s="44" t="s">
        <v>255</v>
      </c>
      <c r="AT226" s="44">
        <v>225.0</v>
      </c>
      <c r="AU226" s="44"/>
      <c r="AW226" s="93"/>
      <c r="AY226" s="93"/>
      <c r="AZ226" s="93"/>
      <c r="BA226" s="93"/>
      <c r="BB226" s="155"/>
      <c r="BC226" s="93"/>
      <c r="BE226" s="93"/>
      <c r="BG226" s="93"/>
      <c r="BH226" s="93"/>
      <c r="BI226" s="93"/>
      <c r="BJ226" s="155"/>
      <c r="BK226" s="93"/>
    </row>
    <row r="227">
      <c r="A227" s="154">
        <v>44228.96875</v>
      </c>
      <c r="B227" s="141" t="s">
        <v>123</v>
      </c>
      <c r="C227" s="128">
        <v>934.437194044761</v>
      </c>
      <c r="D227" s="128">
        <v>19.0</v>
      </c>
      <c r="E227" s="142">
        <v>930.7174890514539</v>
      </c>
      <c r="F227" s="44" t="s">
        <v>90</v>
      </c>
      <c r="G227" s="128">
        <v>957.5171394764409</v>
      </c>
      <c r="H227" s="128">
        <v>12.0</v>
      </c>
      <c r="I227" s="128">
        <v>950.5488629613884</v>
      </c>
      <c r="J227" s="141" t="s">
        <v>27</v>
      </c>
      <c r="K227" s="128">
        <v>1032.0169143981811</v>
      </c>
      <c r="L227" s="128">
        <v>15.0</v>
      </c>
      <c r="M227" s="142">
        <v>1025.993200338515</v>
      </c>
      <c r="N227" s="44" t="s">
        <v>107</v>
      </c>
      <c r="O227" s="128">
        <v>1037.511273099615</v>
      </c>
      <c r="P227" s="128">
        <v>19.0</v>
      </c>
      <c r="Q227" s="128">
        <v>1033.2229686676408</v>
      </c>
      <c r="R227" s="148"/>
      <c r="U227" s="149"/>
      <c r="V227" s="44" t="s">
        <v>61</v>
      </c>
      <c r="W227" s="128">
        <v>938.3180035017546</v>
      </c>
      <c r="X227" s="128">
        <v>15.0</v>
      </c>
      <c r="Y227" s="128">
        <v>940.4060459125926</v>
      </c>
      <c r="Z227" s="141" t="s">
        <v>112</v>
      </c>
      <c r="AA227" s="128">
        <v>987.244287162707</v>
      </c>
      <c r="AB227" s="128">
        <v>36.0</v>
      </c>
      <c r="AC227" s="142">
        <v>998.034388360097</v>
      </c>
      <c r="AD227" s="44" t="s">
        <v>92</v>
      </c>
      <c r="AE227" s="128">
        <v>1009.9765367911943</v>
      </c>
      <c r="AF227" s="128">
        <v>19.0</v>
      </c>
      <c r="AG227" s="128">
        <v>1013.1781579036451</v>
      </c>
      <c r="AH227" s="141" t="s">
        <v>47</v>
      </c>
      <c r="AI227" s="128">
        <v>1015.7511620584905</v>
      </c>
      <c r="AJ227" s="128">
        <v>23.0</v>
      </c>
      <c r="AK227" s="142">
        <v>1020.6713973378118</v>
      </c>
      <c r="AP227" s="143">
        <v>11.0</v>
      </c>
      <c r="AQ227" s="128">
        <v>17.0</v>
      </c>
      <c r="AS227" s="44" t="s">
        <v>418</v>
      </c>
      <c r="AT227" s="44">
        <v>226.0</v>
      </c>
      <c r="AU227" s="44"/>
      <c r="AW227" s="93"/>
      <c r="AY227" s="93"/>
      <c r="AZ227" s="93"/>
      <c r="BA227" s="93"/>
      <c r="BB227" s="155"/>
      <c r="BC227" s="93"/>
      <c r="BE227" s="93"/>
      <c r="BG227" s="93"/>
      <c r="BH227" s="93"/>
      <c r="BI227" s="93"/>
      <c r="BJ227" s="155"/>
      <c r="BK227" s="93"/>
    </row>
    <row r="228">
      <c r="A228" s="154">
        <v>44229.00625</v>
      </c>
      <c r="B228" s="141" t="s">
        <v>123</v>
      </c>
      <c r="C228" s="128">
        <v>930.7174890514539</v>
      </c>
      <c r="D228" s="128">
        <v>18.0</v>
      </c>
      <c r="E228" s="142">
        <v>932.6872154748722</v>
      </c>
      <c r="F228" s="44" t="s">
        <v>61</v>
      </c>
      <c r="G228" s="128">
        <v>940.4060459125926</v>
      </c>
      <c r="H228" s="128">
        <v>11.0</v>
      </c>
      <c r="I228" s="128">
        <v>941.1711809403668</v>
      </c>
      <c r="J228" s="141" t="s">
        <v>90</v>
      </c>
      <c r="K228" s="128">
        <v>950.5488629613884</v>
      </c>
      <c r="L228" s="128">
        <v>19.0</v>
      </c>
      <c r="M228" s="142">
        <v>952.610579594441</v>
      </c>
      <c r="N228" s="44" t="s">
        <v>27</v>
      </c>
      <c r="O228" s="128">
        <v>1025.993200338515</v>
      </c>
      <c r="P228" s="128">
        <v>16.0</v>
      </c>
      <c r="Q228" s="128">
        <v>1027.3745767214446</v>
      </c>
      <c r="R228" s="141" t="s">
        <v>23</v>
      </c>
      <c r="S228" s="128">
        <v>1218.108657273859</v>
      </c>
      <c r="T228" s="128">
        <v>31.0</v>
      </c>
      <c r="U228" s="142">
        <v>1221.9307028066844</v>
      </c>
      <c r="V228" s="44" t="s">
        <v>248</v>
      </c>
      <c r="W228" s="128">
        <v>997.358641507947</v>
      </c>
      <c r="X228" s="128">
        <v>16.0</v>
      </c>
      <c r="Y228" s="128">
        <v>994.9836609057105</v>
      </c>
      <c r="Z228" s="141" t="s">
        <v>112</v>
      </c>
      <c r="AA228" s="128">
        <v>998.034388360097</v>
      </c>
      <c r="AB228" s="128">
        <v>24.0</v>
      </c>
      <c r="AC228" s="142">
        <v>996.9914020096861</v>
      </c>
      <c r="AD228" s="44" t="s">
        <v>92</v>
      </c>
      <c r="AE228" s="128">
        <v>1013.1781579036451</v>
      </c>
      <c r="AF228" s="128">
        <v>15.0</v>
      </c>
      <c r="AG228" s="128">
        <v>1010.6081735155427</v>
      </c>
      <c r="AH228" s="141" t="s">
        <v>47</v>
      </c>
      <c r="AI228" s="128">
        <v>1020.6713973378118</v>
      </c>
      <c r="AJ228" s="128">
        <v>21.0</v>
      </c>
      <c r="AK228" s="142">
        <v>1019.0901025107758</v>
      </c>
      <c r="AL228" s="44" t="s">
        <v>107</v>
      </c>
      <c r="AM228" s="128">
        <v>1033.2229686676408</v>
      </c>
      <c r="AN228" s="128">
        <v>16.0</v>
      </c>
      <c r="AO228" s="128">
        <v>1030.7922148354264</v>
      </c>
      <c r="AP228" s="143">
        <v>15.0</v>
      </c>
      <c r="AQ228" s="128">
        <v>13.0</v>
      </c>
      <c r="AR228" s="44" t="s">
        <v>419</v>
      </c>
      <c r="AS228" s="44" t="s">
        <v>235</v>
      </c>
      <c r="AT228" s="44">
        <v>227.0</v>
      </c>
      <c r="AU228" s="44"/>
      <c r="AW228" s="93"/>
      <c r="AY228" s="93"/>
      <c r="AZ228" s="93"/>
      <c r="BA228" s="93"/>
      <c r="BB228" s="155"/>
      <c r="BC228" s="93"/>
      <c r="BE228" s="93"/>
      <c r="BG228" s="93"/>
      <c r="BH228" s="93"/>
      <c r="BI228" s="93"/>
      <c r="BJ228" s="155"/>
      <c r="BK228" s="93"/>
    </row>
    <row r="229">
      <c r="A229" s="154">
        <v>44229.03611111111</v>
      </c>
      <c r="B229" s="141" t="s">
        <v>123</v>
      </c>
      <c r="C229" s="128">
        <v>932.6872154748722</v>
      </c>
      <c r="D229" s="128">
        <v>6.0</v>
      </c>
      <c r="E229" s="142">
        <v>911.0089712157219</v>
      </c>
      <c r="F229" s="44" t="s">
        <v>248</v>
      </c>
      <c r="G229" s="128">
        <v>994.9836609057105</v>
      </c>
      <c r="H229" s="128">
        <v>14.0</v>
      </c>
      <c r="I229" s="128">
        <v>981.4858502545393</v>
      </c>
      <c r="J229" s="141" t="s">
        <v>107</v>
      </c>
      <c r="K229" s="128">
        <v>1030.7922148354264</v>
      </c>
      <c r="L229" s="128">
        <v>21.0</v>
      </c>
      <c r="M229" s="142">
        <v>1024.968269745748</v>
      </c>
      <c r="R229" s="148"/>
      <c r="U229" s="149"/>
      <c r="V229" s="44" t="s">
        <v>61</v>
      </c>
      <c r="W229" s="128">
        <v>941.1711809403668</v>
      </c>
      <c r="X229" s="128">
        <v>8.0</v>
      </c>
      <c r="Y229" s="128">
        <v>937.6180482076402</v>
      </c>
      <c r="Z229" s="141" t="s">
        <v>112</v>
      </c>
      <c r="AA229" s="128">
        <v>996.9914020096861</v>
      </c>
      <c r="AB229" s="128">
        <v>35.0</v>
      </c>
      <c r="AC229" s="142">
        <v>1022.7974327211905</v>
      </c>
      <c r="AD229" s="44" t="s">
        <v>92</v>
      </c>
      <c r="AE229" s="128">
        <v>1010.6081735155427</v>
      </c>
      <c r="AF229" s="128">
        <v>29.0</v>
      </c>
      <c r="AG229" s="128">
        <v>1029.3552755367648</v>
      </c>
      <c r="AH229" s="148"/>
      <c r="AK229" s="149"/>
      <c r="AP229" s="143">
        <v>8.0</v>
      </c>
      <c r="AQ229" s="128">
        <v>20.0</v>
      </c>
      <c r="AR229" s="44" t="s">
        <v>420</v>
      </c>
      <c r="AS229" s="44" t="s">
        <v>337</v>
      </c>
      <c r="AT229" s="44">
        <v>228.0</v>
      </c>
      <c r="AU229" s="44"/>
      <c r="AW229" s="93"/>
      <c r="AY229" s="93"/>
      <c r="AZ229" s="93"/>
      <c r="BA229" s="93"/>
      <c r="BB229" s="155"/>
      <c r="BC229" s="93"/>
      <c r="BE229" s="93"/>
      <c r="BG229" s="93"/>
      <c r="BH229" s="93"/>
      <c r="BI229" s="93"/>
      <c r="BJ229" s="155"/>
      <c r="BK229" s="93"/>
    </row>
    <row r="230">
      <c r="A230" s="154">
        <v>44229.93680555555</v>
      </c>
      <c r="B230" s="141" t="s">
        <v>61</v>
      </c>
      <c r="C230" s="128">
        <v>937.6180482076402</v>
      </c>
      <c r="D230" s="128">
        <v>8.0</v>
      </c>
      <c r="E230" s="142">
        <v>938.5153192278108</v>
      </c>
      <c r="F230" s="44" t="s">
        <v>90</v>
      </c>
      <c r="G230" s="128">
        <v>952.610579594441</v>
      </c>
      <c r="H230" s="128">
        <v>12.0</v>
      </c>
      <c r="I230" s="128">
        <v>954.4386879311905</v>
      </c>
      <c r="J230" s="141" t="s">
        <v>23</v>
      </c>
      <c r="K230" s="128">
        <v>1221.9307028066844</v>
      </c>
      <c r="L230" s="128">
        <v>31.0</v>
      </c>
      <c r="M230" s="142">
        <v>1228.2053234497641</v>
      </c>
      <c r="R230" s="148"/>
      <c r="U230" s="149"/>
      <c r="V230" s="44" t="s">
        <v>47</v>
      </c>
      <c r="W230" s="128">
        <v>1019.0901025107758</v>
      </c>
      <c r="X230" s="128">
        <v>14.0</v>
      </c>
      <c r="Y230" s="128">
        <v>1014.8484121665606</v>
      </c>
      <c r="Z230" s="141" t="s">
        <v>112</v>
      </c>
      <c r="AA230" s="128">
        <v>1022.7974327211905</v>
      </c>
      <c r="AB230" s="128">
        <v>23.0</v>
      </c>
      <c r="AC230" s="142">
        <v>1020.7978470502649</v>
      </c>
      <c r="AD230" s="44" t="s">
        <v>27</v>
      </c>
      <c r="AE230" s="128">
        <v>1027.3745767214446</v>
      </c>
      <c r="AF230" s="128">
        <v>20.0</v>
      </c>
      <c r="AG230" s="128">
        <v>1024.6158527365853</v>
      </c>
      <c r="AH230" s="148"/>
      <c r="AK230" s="149"/>
      <c r="AP230" s="143">
        <v>15.0</v>
      </c>
      <c r="AQ230" s="128">
        <v>13.0</v>
      </c>
      <c r="AR230" s="44" t="s">
        <v>421</v>
      </c>
      <c r="AS230" s="44" t="s">
        <v>360</v>
      </c>
      <c r="AT230" s="44">
        <v>229.0</v>
      </c>
      <c r="AU230" s="44"/>
      <c r="AW230" s="93"/>
      <c r="AY230" s="93"/>
      <c r="AZ230" s="93"/>
      <c r="BA230" s="93"/>
      <c r="BB230" s="155"/>
      <c r="BC230" s="93"/>
      <c r="BE230" s="93"/>
      <c r="BG230" s="93"/>
      <c r="BH230" s="93"/>
      <c r="BI230" s="93"/>
      <c r="BJ230" s="155"/>
      <c r="BK230" s="93"/>
    </row>
    <row r="231">
      <c r="A231" s="154">
        <v>44229.98541666667</v>
      </c>
      <c r="B231" s="141" t="s">
        <v>123</v>
      </c>
      <c r="C231" s="128">
        <v>911.0089712157219</v>
      </c>
      <c r="D231" s="128">
        <v>14.0</v>
      </c>
      <c r="E231" s="142">
        <v>904.3889729564397</v>
      </c>
      <c r="F231" s="44" t="s">
        <v>61</v>
      </c>
      <c r="G231" s="128">
        <v>938.5153192278108</v>
      </c>
      <c r="H231" s="128">
        <v>20.0</v>
      </c>
      <c r="I231" s="128">
        <v>934.000461786953</v>
      </c>
      <c r="J231" s="141" t="s">
        <v>90</v>
      </c>
      <c r="K231" s="128">
        <v>954.4386879311905</v>
      </c>
      <c r="L231" s="128">
        <v>12.0</v>
      </c>
      <c r="M231" s="142">
        <v>946.623807069964</v>
      </c>
      <c r="N231" s="44" t="s">
        <v>23</v>
      </c>
      <c r="O231" s="128">
        <v>1228.2053234497641</v>
      </c>
      <c r="P231" s="128">
        <v>33.0</v>
      </c>
      <c r="Q231" s="128">
        <v>1228.1550600111307</v>
      </c>
      <c r="R231" s="148"/>
      <c r="U231" s="149"/>
      <c r="V231" s="44" t="s">
        <v>248</v>
      </c>
      <c r="W231" s="128">
        <v>981.4858502545393</v>
      </c>
      <c r="X231" s="128">
        <v>20.0</v>
      </c>
      <c r="Y231" s="128">
        <v>985.9826136129718</v>
      </c>
      <c r="Z231" s="141" t="s">
        <v>47</v>
      </c>
      <c r="AA231" s="128">
        <v>1014.8484121665606</v>
      </c>
      <c r="AB231" s="128">
        <v>20.0</v>
      </c>
      <c r="AC231" s="142">
        <v>1019.1751225086845</v>
      </c>
      <c r="AD231" s="44" t="s">
        <v>112</v>
      </c>
      <c r="AE231" s="128">
        <v>1020.7978470502649</v>
      </c>
      <c r="AF231" s="128">
        <v>23.0</v>
      </c>
      <c r="AG231" s="128">
        <v>1026.2888603639665</v>
      </c>
      <c r="AH231" s="141" t="s">
        <v>27</v>
      </c>
      <c r="AI231" s="128">
        <v>1024.6158527365853</v>
      </c>
      <c r="AJ231" s="128">
        <v>21.0</v>
      </c>
      <c r="AK231" s="142">
        <v>1029.3013657223275</v>
      </c>
      <c r="AP231" s="143">
        <v>12.0</v>
      </c>
      <c r="AQ231" s="128">
        <v>16.0</v>
      </c>
      <c r="AR231" s="44" t="s">
        <v>422</v>
      </c>
      <c r="AS231" s="44" t="s">
        <v>255</v>
      </c>
      <c r="AT231" s="44">
        <v>230.0</v>
      </c>
      <c r="AU231" s="44"/>
      <c r="AW231" s="93"/>
      <c r="AY231" s="93"/>
      <c r="AZ231" s="93"/>
      <c r="BA231" s="93"/>
      <c r="BB231" s="155"/>
      <c r="BC231" s="93"/>
      <c r="BE231" s="93"/>
      <c r="BG231" s="93"/>
      <c r="BH231" s="93"/>
      <c r="BI231" s="93"/>
      <c r="BJ231" s="155"/>
      <c r="BK231" s="93"/>
    </row>
    <row r="232">
      <c r="A232" s="154">
        <v>44230.92638888889</v>
      </c>
      <c r="B232" s="141" t="s">
        <v>98</v>
      </c>
      <c r="C232" s="128">
        <v>985.8563224034134</v>
      </c>
      <c r="D232" s="128">
        <v>13.0</v>
      </c>
      <c r="E232" s="142">
        <v>979.5559423202043</v>
      </c>
      <c r="F232" s="44" t="s">
        <v>47</v>
      </c>
      <c r="G232" s="128">
        <v>1019.1751225086845</v>
      </c>
      <c r="H232" s="128">
        <v>17.0</v>
      </c>
      <c r="I232" s="128">
        <v>1014.4118434215693</v>
      </c>
      <c r="J232" s="141" t="s">
        <v>236</v>
      </c>
      <c r="K232" s="128">
        <v>1021.274842245955</v>
      </c>
      <c r="L232" s="128">
        <v>19.0</v>
      </c>
      <c r="M232" s="142">
        <v>1017.3385014162793</v>
      </c>
      <c r="R232" s="148"/>
      <c r="U232" s="149"/>
      <c r="V232" s="44" t="s">
        <v>61</v>
      </c>
      <c r="W232" s="128">
        <v>934.000461786953</v>
      </c>
      <c r="X232" s="128">
        <v>13.0</v>
      </c>
      <c r="Y232" s="128">
        <v>935.7007464297367</v>
      </c>
      <c r="Z232" s="141" t="s">
        <v>90</v>
      </c>
      <c r="AA232" s="128">
        <v>946.623807069964</v>
      </c>
      <c r="AB232" s="128">
        <v>16.0</v>
      </c>
      <c r="AC232" s="142">
        <v>949.4508335484504</v>
      </c>
      <c r="AD232" s="44" t="s">
        <v>23</v>
      </c>
      <c r="AE232" s="128">
        <v>1228.1550600111307</v>
      </c>
      <c r="AF232" s="128">
        <v>36.0</v>
      </c>
      <c r="AG232" s="128">
        <v>1238.6277488898606</v>
      </c>
      <c r="AH232" s="148"/>
      <c r="AK232" s="149"/>
      <c r="AP232" s="143">
        <v>11.0</v>
      </c>
      <c r="AQ232" s="128">
        <v>17.0</v>
      </c>
      <c r="AR232" s="44" t="s">
        <v>423</v>
      </c>
      <c r="AS232" s="44" t="s">
        <v>339</v>
      </c>
      <c r="AT232" s="44">
        <v>231.0</v>
      </c>
      <c r="AU232" s="44"/>
      <c r="AW232" s="93"/>
      <c r="AY232" s="93"/>
      <c r="AZ232" s="93"/>
      <c r="BA232" s="93"/>
      <c r="BB232" s="155"/>
      <c r="BC232" s="93"/>
      <c r="BE232" s="93"/>
      <c r="BG232" s="93"/>
      <c r="BH232" s="93"/>
      <c r="BI232" s="93"/>
      <c r="BJ232" s="155"/>
      <c r="BK232" s="93"/>
    </row>
    <row r="233">
      <c r="A233" s="154">
        <v>44230.96527777778</v>
      </c>
      <c r="B233" s="141" t="s">
        <v>47</v>
      </c>
      <c r="C233" s="128">
        <v>1014.4118434215693</v>
      </c>
      <c r="D233" s="128">
        <v>19.0</v>
      </c>
      <c r="E233" s="142">
        <v>1019.3216832403127</v>
      </c>
      <c r="F233" s="44" t="s">
        <v>112</v>
      </c>
      <c r="G233" s="128">
        <v>1026.2888603639665</v>
      </c>
      <c r="H233" s="128">
        <v>14.0</v>
      </c>
      <c r="I233" s="128">
        <v>1029.5038119751312</v>
      </c>
      <c r="J233" s="141" t="s">
        <v>27</v>
      </c>
      <c r="K233" s="128">
        <v>1029.3013657223275</v>
      </c>
      <c r="L233" s="128">
        <v>16.0</v>
      </c>
      <c r="M233" s="142">
        <v>1033.1765742924194</v>
      </c>
      <c r="R233" s="148"/>
      <c r="U233" s="149"/>
      <c r="V233" s="44" t="s">
        <v>61</v>
      </c>
      <c r="W233" s="128">
        <v>935.7007464297367</v>
      </c>
      <c r="X233" s="128">
        <v>12.0</v>
      </c>
      <c r="Y233" s="128">
        <v>930.2232824308513</v>
      </c>
      <c r="Z233" s="141" t="s">
        <v>90</v>
      </c>
      <c r="AA233" s="128">
        <v>949.4508335484504</v>
      </c>
      <c r="AB233" s="128">
        <v>18.0</v>
      </c>
      <c r="AC233" s="142">
        <v>945.8934411091507</v>
      </c>
      <c r="AD233" s="44" t="s">
        <v>23</v>
      </c>
      <c r="AE233" s="128">
        <v>1238.6277488898606</v>
      </c>
      <c r="AF233" s="128">
        <v>21.0</v>
      </c>
      <c r="AG233" s="128">
        <v>1235.6626053280456</v>
      </c>
      <c r="AH233" s="148"/>
      <c r="AK233" s="149"/>
      <c r="AP233" s="143">
        <v>15.0</v>
      </c>
      <c r="AQ233" s="128">
        <v>13.0</v>
      </c>
      <c r="AR233" s="44" t="s">
        <v>424</v>
      </c>
      <c r="AS233" s="44" t="s">
        <v>244</v>
      </c>
      <c r="AT233" s="44">
        <v>232.0</v>
      </c>
      <c r="AU233" s="44"/>
      <c r="AW233" s="93"/>
      <c r="AY233" s="93"/>
      <c r="AZ233" s="93"/>
      <c r="BA233" s="93"/>
      <c r="BB233" s="155"/>
      <c r="BC233" s="93"/>
      <c r="BE233" s="93"/>
      <c r="BG233" s="93"/>
      <c r="BH233" s="93"/>
      <c r="BI233" s="93"/>
      <c r="BJ233" s="155"/>
      <c r="BK233" s="93"/>
    </row>
    <row r="234">
      <c r="A234" s="154">
        <v>44231.00763888889</v>
      </c>
      <c r="B234" s="141" t="s">
        <v>61</v>
      </c>
      <c r="C234" s="128">
        <v>930.2232824308513</v>
      </c>
      <c r="D234" s="128">
        <v>15.0</v>
      </c>
      <c r="E234" s="142">
        <v>933.4106806021115</v>
      </c>
      <c r="F234" s="44" t="s">
        <v>47</v>
      </c>
      <c r="G234" s="128">
        <v>1019.3216832403127</v>
      </c>
      <c r="H234" s="128">
        <v>20.0</v>
      </c>
      <c r="I234" s="128">
        <v>1025.1961239410793</v>
      </c>
      <c r="J234" s="141" t="s">
        <v>23</v>
      </c>
      <c r="K234" s="128">
        <v>1235.6626053280456</v>
      </c>
      <c r="L234" s="128">
        <v>38.0</v>
      </c>
      <c r="M234" s="142">
        <v>1255.6007664560188</v>
      </c>
      <c r="R234" s="148"/>
      <c r="U234" s="149"/>
      <c r="V234" s="44" t="s">
        <v>107</v>
      </c>
      <c r="W234" s="128">
        <v>1024.968269745748</v>
      </c>
      <c r="X234" s="128">
        <v>14.0</v>
      </c>
      <c r="Y234" s="128">
        <v>1014.7839347897177</v>
      </c>
      <c r="Z234" s="141" t="s">
        <v>112</v>
      </c>
      <c r="AA234" s="128">
        <v>1029.5038119751312</v>
      </c>
      <c r="AB234" s="128">
        <v>14.0</v>
      </c>
      <c r="AC234" s="142">
        <v>1019.2984255292816</v>
      </c>
      <c r="AD234" s="44" t="s">
        <v>27</v>
      </c>
      <c r="AE234" s="128">
        <v>1033.1765742924194</v>
      </c>
      <c r="AF234" s="128">
        <v>16.0</v>
      </c>
      <c r="AG234" s="128">
        <v>1024.5662956942995</v>
      </c>
      <c r="AH234" s="148"/>
      <c r="AK234" s="149"/>
      <c r="AP234" s="143">
        <v>21.0</v>
      </c>
      <c r="AQ234" s="128">
        <v>6.0</v>
      </c>
      <c r="AR234" s="44" t="s">
        <v>425</v>
      </c>
      <c r="AS234" s="44" t="s">
        <v>426</v>
      </c>
      <c r="AT234" s="44">
        <v>233.0</v>
      </c>
      <c r="AU234" s="44"/>
      <c r="AW234" s="93"/>
      <c r="AY234" s="93"/>
      <c r="AZ234" s="93"/>
      <c r="BA234" s="93"/>
      <c r="BB234" s="155"/>
      <c r="BC234" s="93"/>
      <c r="BE234" s="93"/>
      <c r="BG234" s="93"/>
      <c r="BH234" s="93"/>
      <c r="BI234" s="93"/>
      <c r="BJ234" s="155"/>
      <c r="BK234" s="93"/>
    </row>
    <row r="235">
      <c r="A235" s="154">
        <v>44231.95625</v>
      </c>
      <c r="B235" s="141" t="s">
        <v>61</v>
      </c>
      <c r="C235" s="128">
        <v>933.4106806021115</v>
      </c>
      <c r="D235" s="128">
        <v>13.0</v>
      </c>
      <c r="E235" s="142">
        <v>915.530996724067</v>
      </c>
      <c r="F235" s="44" t="s">
        <v>58</v>
      </c>
      <c r="G235" s="128">
        <v>989.3657543552341</v>
      </c>
      <c r="H235" s="128">
        <v>16.0</v>
      </c>
      <c r="I235" s="128">
        <v>974.3164689559488</v>
      </c>
      <c r="J235" s="141" t="s">
        <v>23</v>
      </c>
      <c r="K235" s="128">
        <v>1255.6007664560188</v>
      </c>
      <c r="L235" s="128">
        <v>19.0</v>
      </c>
      <c r="M235" s="142">
        <v>1243.5297357333486</v>
      </c>
      <c r="R235" s="148"/>
      <c r="U235" s="149"/>
      <c r="V235" s="44" t="s">
        <v>112</v>
      </c>
      <c r="W235" s="128">
        <v>1019.2984255292816</v>
      </c>
      <c r="X235" s="128">
        <v>19.0</v>
      </c>
      <c r="Y235" s="128">
        <v>1029.4950336364273</v>
      </c>
      <c r="Z235" s="141" t="s">
        <v>47</v>
      </c>
      <c r="AA235" s="128">
        <v>1025.1961239410793</v>
      </c>
      <c r="AB235" s="128">
        <v>17.0</v>
      </c>
      <c r="AC235" s="142">
        <v>1032.823185155032</v>
      </c>
      <c r="AD235" s="44" t="s">
        <v>31</v>
      </c>
      <c r="AE235" s="128">
        <v>1090.437216460395</v>
      </c>
      <c r="AF235" s="128">
        <v>33.0</v>
      </c>
      <c r="AG235" s="128">
        <v>1117.6135471392965</v>
      </c>
      <c r="AH235" s="148"/>
      <c r="AK235" s="149"/>
      <c r="AP235" s="143">
        <v>9.0</v>
      </c>
      <c r="AQ235" s="128">
        <v>19.0</v>
      </c>
      <c r="AS235" s="44" t="s">
        <v>255</v>
      </c>
      <c r="AT235" s="44">
        <v>234.0</v>
      </c>
      <c r="AU235" s="44"/>
      <c r="AW235" s="93"/>
      <c r="AY235" s="93"/>
      <c r="AZ235" s="93"/>
      <c r="BA235" s="93"/>
      <c r="BB235" s="155"/>
      <c r="BC235" s="93"/>
      <c r="BE235" s="93"/>
      <c r="BG235" s="93"/>
      <c r="BH235" s="93"/>
      <c r="BI235" s="93"/>
      <c r="BJ235" s="155"/>
      <c r="BK235" s="93"/>
    </row>
    <row r="236">
      <c r="A236" s="154">
        <v>44231.995833333334</v>
      </c>
      <c r="B236" s="141" t="s">
        <v>123</v>
      </c>
      <c r="C236" s="128">
        <v>904.3889729564397</v>
      </c>
      <c r="D236" s="128">
        <v>6.0</v>
      </c>
      <c r="E236" s="142">
        <v>895.1571741551984</v>
      </c>
      <c r="F236" s="44" t="s">
        <v>61</v>
      </c>
      <c r="G236" s="128">
        <v>915.530996724067</v>
      </c>
      <c r="H236" s="128">
        <v>18.0</v>
      </c>
      <c r="I236" s="128">
        <v>910.7027238801251</v>
      </c>
      <c r="J236" s="141" t="s">
        <v>47</v>
      </c>
      <c r="K236" s="128">
        <v>1032.823185155032</v>
      </c>
      <c r="L236" s="128">
        <v>25.0</v>
      </c>
      <c r="M236" s="142">
        <v>1029.9817393958137</v>
      </c>
      <c r="N236" s="44" t="s">
        <v>23</v>
      </c>
      <c r="O236" s="128">
        <v>1243.5297357333486</v>
      </c>
      <c r="P236" s="128">
        <v>30.0</v>
      </c>
      <c r="Q236" s="128">
        <v>1242.4312531377502</v>
      </c>
      <c r="R236" s="148"/>
      <c r="U236" s="149"/>
      <c r="V236" s="44" t="s">
        <v>58</v>
      </c>
      <c r="W236" s="128">
        <v>974.3164689559488</v>
      </c>
      <c r="X236" s="128">
        <v>15.0</v>
      </c>
      <c r="Y236" s="128">
        <v>976.851234938684</v>
      </c>
      <c r="Z236" s="141" t="s">
        <v>107</v>
      </c>
      <c r="AA236" s="128">
        <v>1014.7839347897177</v>
      </c>
      <c r="AB236" s="128">
        <v>8.0</v>
      </c>
      <c r="AC236" s="142">
        <v>1014.5131751955059</v>
      </c>
      <c r="AD236" s="44" t="s">
        <v>112</v>
      </c>
      <c r="AE236" s="128">
        <v>1029.4950336364273</v>
      </c>
      <c r="AF236" s="128">
        <v>19.0</v>
      </c>
      <c r="AG236" s="128">
        <v>1033.3024598902666</v>
      </c>
      <c r="AH236" s="141" t="s">
        <v>31</v>
      </c>
      <c r="AI236" s="128">
        <v>1117.6135471392965</v>
      </c>
      <c r="AJ236" s="128">
        <v>41.0</v>
      </c>
      <c r="AK236" s="142">
        <v>1129.5421144969337</v>
      </c>
      <c r="AP236" s="143">
        <v>12.0</v>
      </c>
      <c r="AQ236" s="128">
        <v>16.0</v>
      </c>
      <c r="AR236" s="44" t="s">
        <v>427</v>
      </c>
      <c r="AS236" s="44" t="s">
        <v>253</v>
      </c>
      <c r="AT236" s="44">
        <v>235.0</v>
      </c>
      <c r="AU236" s="44"/>
      <c r="AW236" s="93"/>
      <c r="AY236" s="93"/>
      <c r="AZ236" s="93"/>
      <c r="BA236" s="93"/>
      <c r="BB236" s="155"/>
      <c r="BC236" s="93"/>
      <c r="BE236" s="93"/>
      <c r="BG236" s="93"/>
      <c r="BH236" s="93"/>
      <c r="BI236" s="93"/>
      <c r="BJ236" s="155"/>
      <c r="BK236" s="93"/>
    </row>
    <row r="237">
      <c r="A237" s="154">
        <v>44232.95694444444</v>
      </c>
      <c r="B237" s="141" t="s">
        <v>61</v>
      </c>
      <c r="C237" s="128">
        <v>910.7027238801251</v>
      </c>
      <c r="D237" s="128">
        <v>5.0</v>
      </c>
      <c r="E237" s="142">
        <v>904.4217411367478</v>
      </c>
      <c r="F237" s="44" t="s">
        <v>27</v>
      </c>
      <c r="G237" s="128">
        <v>1024.5662956942995</v>
      </c>
      <c r="H237" s="128">
        <v>19.0</v>
      </c>
      <c r="I237" s="128">
        <v>1021.7829285189043</v>
      </c>
      <c r="J237" s="141" t="s">
        <v>23</v>
      </c>
      <c r="K237" s="128">
        <v>1242.4312531377502</v>
      </c>
      <c r="L237" s="128">
        <v>26.0</v>
      </c>
      <c r="M237" s="142">
        <v>1241.4956030565227</v>
      </c>
      <c r="R237" s="148"/>
      <c r="U237" s="149"/>
      <c r="V237" s="44" t="s">
        <v>107</v>
      </c>
      <c r="W237" s="128">
        <v>1014.5131751955059</v>
      </c>
      <c r="X237" s="128">
        <v>24.0</v>
      </c>
      <c r="Y237" s="128">
        <v>1019.2869591253921</v>
      </c>
      <c r="Z237" s="141" t="s">
        <v>47</v>
      </c>
      <c r="AA237" s="128">
        <v>1029.9817393958137</v>
      </c>
      <c r="AB237" s="128">
        <v>15.0</v>
      </c>
      <c r="AC237" s="142">
        <v>1032.2229849293226</v>
      </c>
      <c r="AD237" s="44" t="s">
        <v>31</v>
      </c>
      <c r="AE237" s="128">
        <v>1129.5421144969337</v>
      </c>
      <c r="AF237" s="128">
        <v>18.0</v>
      </c>
      <c r="AG237" s="128">
        <v>1132.5270850335387</v>
      </c>
      <c r="AH237" s="148"/>
      <c r="AK237" s="149"/>
      <c r="AP237" s="143">
        <v>13.0</v>
      </c>
      <c r="AQ237" s="128">
        <v>15.0</v>
      </c>
      <c r="AS237" s="44" t="s">
        <v>339</v>
      </c>
      <c r="AT237" s="44">
        <v>236.0</v>
      </c>
      <c r="AU237" s="44"/>
      <c r="AW237" s="93"/>
      <c r="AY237" s="93"/>
      <c r="AZ237" s="93"/>
      <c r="BA237" s="93"/>
      <c r="BB237" s="155"/>
      <c r="BC237" s="93"/>
      <c r="BE237" s="93"/>
      <c r="BG237" s="93"/>
      <c r="BH237" s="93"/>
      <c r="BI237" s="93"/>
      <c r="BJ237" s="155"/>
      <c r="BK237" s="93"/>
    </row>
    <row r="238">
      <c r="A238" s="154">
        <v>44233.01597222222</v>
      </c>
      <c r="B238" s="141" t="s">
        <v>61</v>
      </c>
      <c r="C238" s="128">
        <v>904.4217411367478</v>
      </c>
      <c r="D238" s="128">
        <v>11.0</v>
      </c>
      <c r="E238" s="142">
        <v>905.1835991068718</v>
      </c>
      <c r="F238" s="44" t="s">
        <v>58</v>
      </c>
      <c r="G238" s="128">
        <v>976.851234938684</v>
      </c>
      <c r="H238" s="128">
        <v>21.0</v>
      </c>
      <c r="I238" s="128">
        <v>979.4129980581309</v>
      </c>
      <c r="J238" s="141" t="s">
        <v>47</v>
      </c>
      <c r="K238" s="128">
        <v>1032.2229849293226</v>
      </c>
      <c r="L238" s="128">
        <v>22.0</v>
      </c>
      <c r="M238" s="142">
        <v>1034.871189462458</v>
      </c>
      <c r="N238" s="44" t="s">
        <v>23</v>
      </c>
      <c r="O238" s="128">
        <v>1241.4956030565227</v>
      </c>
      <c r="P238" s="128">
        <v>29.0</v>
      </c>
      <c r="Q238" s="128">
        <v>1245.5237774338161</v>
      </c>
      <c r="R238" s="148"/>
      <c r="U238" s="149"/>
      <c r="V238" s="44" t="s">
        <v>98</v>
      </c>
      <c r="W238" s="128">
        <v>979.5559423202043</v>
      </c>
      <c r="X238" s="128">
        <v>13.0</v>
      </c>
      <c r="Y238" s="128">
        <v>975.890228877655</v>
      </c>
      <c r="Z238" s="141" t="s">
        <v>107</v>
      </c>
      <c r="AA238" s="128">
        <v>1019.2869591253921</v>
      </c>
      <c r="AB238" s="128">
        <v>12.0</v>
      </c>
      <c r="AC238" s="142">
        <v>1015.3301283533762</v>
      </c>
      <c r="AD238" s="44" t="s">
        <v>27</v>
      </c>
      <c r="AE238" s="128">
        <v>1021.7829285189043</v>
      </c>
      <c r="AF238" s="128">
        <v>16.0</v>
      </c>
      <c r="AG238" s="128">
        <v>1018.6553987165895</v>
      </c>
      <c r="AH238" s="141" t="s">
        <v>31</v>
      </c>
      <c r="AI238" s="128">
        <v>1132.5270850335387</v>
      </c>
      <c r="AJ238" s="128">
        <v>35.0</v>
      </c>
      <c r="AK238" s="142">
        <v>1133.2771590504187</v>
      </c>
      <c r="AP238" s="143">
        <v>15.0</v>
      </c>
      <c r="AQ238" s="128">
        <v>13.0</v>
      </c>
      <c r="AS238" s="44" t="s">
        <v>288</v>
      </c>
      <c r="AT238" s="44">
        <v>237.0</v>
      </c>
      <c r="AU238" s="44"/>
      <c r="AW238" s="93"/>
      <c r="AY238" s="93"/>
      <c r="AZ238" s="93"/>
      <c r="BA238" s="93"/>
      <c r="BB238" s="155"/>
      <c r="BC238" s="93"/>
      <c r="BE238" s="93"/>
      <c r="BG238" s="93"/>
      <c r="BH238" s="93"/>
      <c r="BI238" s="93"/>
      <c r="BJ238" s="155"/>
      <c r="BK238" s="93"/>
    </row>
    <row r="239">
      <c r="A239" s="154">
        <v>44233.080555555556</v>
      </c>
      <c r="B239" s="141" t="s">
        <v>61</v>
      </c>
      <c r="C239" s="128">
        <v>905.1835991068718</v>
      </c>
      <c r="D239" s="128">
        <v>15.0</v>
      </c>
      <c r="E239" s="142">
        <v>909.772422647792</v>
      </c>
      <c r="F239" s="44" t="s">
        <v>58</v>
      </c>
      <c r="G239" s="128">
        <v>979.4129980581309</v>
      </c>
      <c r="H239" s="128">
        <v>17.0</v>
      </c>
      <c r="I239" s="128">
        <v>984.3844933577626</v>
      </c>
      <c r="J239" s="141" t="s">
        <v>23</v>
      </c>
      <c r="K239" s="128">
        <v>1245.5237774338161</v>
      </c>
      <c r="L239" s="128">
        <v>29.0</v>
      </c>
      <c r="M239" s="142">
        <v>1256.9634585932642</v>
      </c>
      <c r="R239" s="148"/>
      <c r="U239" s="149"/>
      <c r="V239" s="44" t="s">
        <v>98</v>
      </c>
      <c r="W239" s="128">
        <v>975.890228877655</v>
      </c>
      <c r="X239" s="128">
        <v>15.0</v>
      </c>
      <c r="Y239" s="128">
        <v>967.5868707978532</v>
      </c>
      <c r="Z239" s="141" t="s">
        <v>47</v>
      </c>
      <c r="AA239" s="128">
        <v>1034.871189462458</v>
      </c>
      <c r="AB239" s="128">
        <v>12.0</v>
      </c>
      <c r="AC239" s="142">
        <v>1024.5201471047965</v>
      </c>
      <c r="AD239" s="44" t="s">
        <v>31</v>
      </c>
      <c r="AE239" s="128">
        <v>1133.2771590504187</v>
      </c>
      <c r="AF239" s="128">
        <v>26.0</v>
      </c>
      <c r="AG239" s="128">
        <v>1130.931559487882</v>
      </c>
      <c r="AH239" s="148"/>
      <c r="AK239" s="149"/>
      <c r="AP239" s="143">
        <v>16.0</v>
      </c>
      <c r="AQ239" s="128">
        <v>11.0</v>
      </c>
      <c r="AS239" s="44" t="s">
        <v>232</v>
      </c>
      <c r="AT239" s="44">
        <v>238.0</v>
      </c>
      <c r="AU239" s="44"/>
      <c r="AW239" s="93"/>
      <c r="AY239" s="93"/>
      <c r="AZ239" s="93"/>
      <c r="BA239" s="93"/>
      <c r="BB239" s="155"/>
      <c r="BC239" s="93"/>
      <c r="BE239" s="93"/>
      <c r="BG239" s="93"/>
      <c r="BH239" s="93"/>
      <c r="BI239" s="93"/>
      <c r="BJ239" s="155"/>
      <c r="BK239" s="93"/>
    </row>
    <row r="240">
      <c r="A240" s="154">
        <v>44234.00625</v>
      </c>
      <c r="B240" s="141" t="s">
        <v>228</v>
      </c>
      <c r="C240" s="128">
        <v>940.4341767535491</v>
      </c>
      <c r="D240" s="128">
        <v>7.0</v>
      </c>
      <c r="E240" s="142">
        <v>923.5668683740795</v>
      </c>
      <c r="F240" s="44" t="s">
        <v>98</v>
      </c>
      <c r="G240" s="128">
        <v>967.5868707978532</v>
      </c>
      <c r="H240" s="128">
        <v>14.0</v>
      </c>
      <c r="I240" s="128">
        <v>956.271480537821</v>
      </c>
      <c r="J240" s="141" t="s">
        <v>47</v>
      </c>
      <c r="K240" s="128">
        <v>1024.5201471047965</v>
      </c>
      <c r="L240" s="128">
        <v>17.0</v>
      </c>
      <c r="M240" s="142">
        <v>1015.2992685074498</v>
      </c>
      <c r="N240" s="44" t="s">
        <v>112</v>
      </c>
      <c r="O240" s="128">
        <v>1033.3024598902666</v>
      </c>
      <c r="P240" s="128">
        <v>25.0</v>
      </c>
      <c r="Q240" s="128">
        <v>1030.706037127115</v>
      </c>
      <c r="R240" s="148"/>
      <c r="U240" s="149"/>
      <c r="V240" s="44" t="s">
        <v>90</v>
      </c>
      <c r="W240" s="128">
        <v>945.8934411091507</v>
      </c>
      <c r="X240" s="128">
        <v>15.0</v>
      </c>
      <c r="Y240" s="128">
        <v>949.3637261368848</v>
      </c>
      <c r="Z240" s="141" t="s">
        <v>78</v>
      </c>
      <c r="AA240" s="128">
        <v>971.9309522312261</v>
      </c>
      <c r="AB240" s="128">
        <v>23.0</v>
      </c>
      <c r="AC240" s="142">
        <v>981.6806962594512</v>
      </c>
      <c r="AD240" s="44" t="s">
        <v>107</v>
      </c>
      <c r="AE240" s="128">
        <v>1015.3301283533762</v>
      </c>
      <c r="AF240" s="128">
        <v>29.0</v>
      </c>
      <c r="AG240" s="128">
        <v>1029.608203730738</v>
      </c>
      <c r="AH240" s="141" t="s">
        <v>92</v>
      </c>
      <c r="AI240" s="128">
        <v>1029.3552755367648</v>
      </c>
      <c r="AJ240" s="128">
        <v>27.0</v>
      </c>
      <c r="AK240" s="142">
        <v>1041.8571711034438</v>
      </c>
      <c r="AP240" s="143">
        <v>7.0</v>
      </c>
      <c r="AQ240" s="128">
        <v>21.0</v>
      </c>
      <c r="AS240" s="44" t="s">
        <v>339</v>
      </c>
      <c r="AT240" s="44">
        <v>239.0</v>
      </c>
      <c r="AU240" s="44"/>
      <c r="AW240" s="93"/>
      <c r="AY240" s="93"/>
      <c r="AZ240" s="93"/>
      <c r="BA240" s="93"/>
      <c r="BB240" s="155"/>
      <c r="BC240" s="93"/>
      <c r="BE240" s="93"/>
      <c r="BG240" s="93"/>
      <c r="BH240" s="93"/>
      <c r="BI240" s="93"/>
      <c r="BJ240" s="155"/>
      <c r="BK240" s="93"/>
    </row>
    <row r="241">
      <c r="A241" s="154">
        <v>44234.063888888886</v>
      </c>
      <c r="B241" s="141" t="s">
        <v>98</v>
      </c>
      <c r="C241" s="128">
        <v>956.271480537821</v>
      </c>
      <c r="D241" s="128">
        <v>13.0</v>
      </c>
      <c r="E241" s="142">
        <v>950.1697726028115</v>
      </c>
      <c r="F241" s="44" t="s">
        <v>92</v>
      </c>
      <c r="G241" s="128">
        <v>1041.8571711034438</v>
      </c>
      <c r="H241" s="128">
        <v>19.0</v>
      </c>
      <c r="I241" s="128">
        <v>1037.9588790384535</v>
      </c>
      <c r="J241" s="148"/>
      <c r="M241" s="149"/>
      <c r="R241" s="148"/>
      <c r="U241" s="149"/>
      <c r="V241" s="44" t="s">
        <v>78</v>
      </c>
      <c r="W241" s="128">
        <v>981.6806962594512</v>
      </c>
      <c r="X241" s="128">
        <v>9.0</v>
      </c>
      <c r="Y241" s="128">
        <v>983.2224969569644</v>
      </c>
      <c r="Z241" s="141" t="s">
        <v>107</v>
      </c>
      <c r="AA241" s="128">
        <v>1029.608203730738</v>
      </c>
      <c r="AB241" s="128">
        <v>26.0</v>
      </c>
      <c r="AC241" s="142">
        <v>1038.0664030332248</v>
      </c>
      <c r="AH241" s="148"/>
      <c r="AK241" s="149"/>
      <c r="AP241" s="143">
        <v>13.0</v>
      </c>
      <c r="AQ241" s="128">
        <v>15.0</v>
      </c>
      <c r="AS241" s="44" t="s">
        <v>229</v>
      </c>
      <c r="AT241" s="44">
        <v>240.0</v>
      </c>
      <c r="AU241" s="44"/>
      <c r="AW241" s="93"/>
      <c r="AY241" s="93"/>
      <c r="AZ241" s="93"/>
      <c r="BA241" s="93"/>
      <c r="BB241" s="155"/>
      <c r="BC241" s="93"/>
      <c r="BE241" s="93"/>
      <c r="BG241" s="93"/>
      <c r="BH241" s="93"/>
      <c r="BI241" s="93"/>
      <c r="BJ241" s="155"/>
      <c r="BK241" s="93"/>
    </row>
    <row r="242">
      <c r="A242" s="154">
        <v>44234.9125</v>
      </c>
      <c r="B242" s="141" t="s">
        <v>90</v>
      </c>
      <c r="C242" s="128">
        <v>949.3637261368848</v>
      </c>
      <c r="D242" s="128">
        <v>16.0</v>
      </c>
      <c r="E242" s="142">
        <v>942.6548183880435</v>
      </c>
      <c r="F242" s="44" t="s">
        <v>98</v>
      </c>
      <c r="G242" s="128">
        <v>950.1697726028115</v>
      </c>
      <c r="H242" s="128">
        <v>10.0</v>
      </c>
      <c r="I242" s="128">
        <v>940.1216542793511</v>
      </c>
      <c r="J242" s="141" t="s">
        <v>112</v>
      </c>
      <c r="K242" s="128">
        <v>1030.706037127115</v>
      </c>
      <c r="L242" s="128">
        <v>23.0</v>
      </c>
      <c r="M242" s="142">
        <v>1027.4630631994166</v>
      </c>
      <c r="R242" s="148"/>
      <c r="U242" s="149"/>
      <c r="V242" s="44" t="s">
        <v>61</v>
      </c>
      <c r="W242" s="128">
        <v>909.772422647792</v>
      </c>
      <c r="X242" s="128">
        <v>19.0</v>
      </c>
      <c r="Y242" s="128">
        <v>915.8983136445827</v>
      </c>
      <c r="Z242" s="141" t="s">
        <v>78</v>
      </c>
      <c r="AA242" s="128">
        <v>983.2224969569644</v>
      </c>
      <c r="AB242" s="128">
        <v>17.0</v>
      </c>
      <c r="AC242" s="142">
        <v>987.529350972778</v>
      </c>
      <c r="AD242" s="44" t="s">
        <v>107</v>
      </c>
      <c r="AE242" s="128">
        <v>1038.0664030332248</v>
      </c>
      <c r="AF242" s="128">
        <v>27.0</v>
      </c>
      <c r="AG242" s="128">
        <v>1047.6336580206205</v>
      </c>
      <c r="AH242" s="148"/>
      <c r="AK242" s="149"/>
      <c r="AP242" s="143">
        <v>11.0</v>
      </c>
      <c r="AQ242" s="128">
        <v>17.0</v>
      </c>
      <c r="AS242" s="44" t="s">
        <v>255</v>
      </c>
      <c r="AT242" s="44">
        <v>241.0</v>
      </c>
      <c r="AU242" s="44"/>
      <c r="AW242" s="93"/>
      <c r="AY242" s="93"/>
      <c r="AZ242" s="93"/>
      <c r="BA242" s="93"/>
      <c r="BB242" s="155"/>
      <c r="BC242" s="93"/>
      <c r="BE242" s="93"/>
      <c r="BG242" s="93"/>
      <c r="BH242" s="93"/>
      <c r="BI242" s="93"/>
      <c r="BJ242" s="155"/>
      <c r="BK242" s="93"/>
    </row>
    <row r="243">
      <c r="A243" s="154">
        <v>44234.950694444444</v>
      </c>
      <c r="B243" s="141" t="s">
        <v>90</v>
      </c>
      <c r="C243" s="128">
        <v>942.6548183880435</v>
      </c>
      <c r="D243" s="128">
        <v>21.0</v>
      </c>
      <c r="E243" s="142">
        <v>939.0274600827979</v>
      </c>
      <c r="F243" s="44" t="s">
        <v>78</v>
      </c>
      <c r="G243" s="128">
        <v>987.529350972778</v>
      </c>
      <c r="H243" s="128">
        <v>10.0</v>
      </c>
      <c r="I243" s="128">
        <v>977.5106324788078</v>
      </c>
      <c r="J243" s="141" t="s">
        <v>107</v>
      </c>
      <c r="K243" s="128">
        <v>1047.6336580206205</v>
      </c>
      <c r="L243" s="128">
        <v>17.0</v>
      </c>
      <c r="M243" s="142">
        <v>1041.2797348198364</v>
      </c>
      <c r="R243" s="148"/>
      <c r="U243" s="149"/>
      <c r="V243" s="44" t="s">
        <v>61</v>
      </c>
      <c r="W243" s="128">
        <v>915.8983136445827</v>
      </c>
      <c r="X243" s="128">
        <v>12.0</v>
      </c>
      <c r="Y243" s="128">
        <v>918.1609541544801</v>
      </c>
      <c r="Z243" s="141" t="s">
        <v>112</v>
      </c>
      <c r="AA243" s="128">
        <v>1027.4630631994166</v>
      </c>
      <c r="AB243" s="128">
        <v>26.0</v>
      </c>
      <c r="AC243" s="142">
        <v>1036.6306211319932</v>
      </c>
      <c r="AD243" s="44" t="s">
        <v>92</v>
      </c>
      <c r="AE243" s="128">
        <v>1037.9588790384535</v>
      </c>
      <c r="AF243" s="128">
        <v>25.0</v>
      </c>
      <c r="AG243" s="128">
        <v>1046.5286805959795</v>
      </c>
      <c r="AH243" s="148"/>
      <c r="AK243" s="149"/>
      <c r="AP243" s="143">
        <v>10.0</v>
      </c>
      <c r="AQ243" s="128">
        <v>18.0</v>
      </c>
      <c r="AS243" s="44" t="s">
        <v>253</v>
      </c>
      <c r="AT243" s="44">
        <v>242.0</v>
      </c>
      <c r="AU243" s="44"/>
      <c r="AW243" s="93"/>
      <c r="AY243" s="93"/>
      <c r="AZ243" s="93"/>
      <c r="BA243" s="93"/>
      <c r="BB243" s="155"/>
      <c r="BC243" s="93"/>
      <c r="BE243" s="93"/>
      <c r="BG243" s="93"/>
      <c r="BH243" s="93"/>
      <c r="BI243" s="93"/>
      <c r="BJ243" s="155"/>
      <c r="BK243" s="93"/>
    </row>
    <row r="244">
      <c r="A244" s="154">
        <v>44235.01666666667</v>
      </c>
      <c r="B244" s="141" t="s">
        <v>61</v>
      </c>
      <c r="C244" s="128">
        <v>918.1609541544801</v>
      </c>
      <c r="D244" s="128">
        <v>32.0</v>
      </c>
      <c r="E244" s="142">
        <v>922.7185111673759</v>
      </c>
      <c r="F244" s="44" t="s">
        <v>27</v>
      </c>
      <c r="G244" s="128">
        <v>1018.6553987165895</v>
      </c>
      <c r="H244" s="128">
        <v>22.0</v>
      </c>
      <c r="I244" s="128">
        <v>1019.8813540745506</v>
      </c>
      <c r="J244" s="141" t="s">
        <v>107</v>
      </c>
      <c r="K244" s="128">
        <v>1041.2797348198364</v>
      </c>
      <c r="L244" s="128">
        <v>33.0</v>
      </c>
      <c r="M244" s="142">
        <v>1045.4962224489796</v>
      </c>
      <c r="R244" s="148"/>
      <c r="U244" s="149"/>
      <c r="V244" s="44" t="s">
        <v>123</v>
      </c>
      <c r="W244" s="128">
        <v>895.1571741551984</v>
      </c>
      <c r="X244" s="128">
        <v>23.0</v>
      </c>
      <c r="Y244" s="128">
        <v>890.9598086869728</v>
      </c>
      <c r="Z244" s="141" t="s">
        <v>112</v>
      </c>
      <c r="AA244" s="128">
        <v>1036.6306211319932</v>
      </c>
      <c r="AB244" s="128">
        <v>32.0</v>
      </c>
      <c r="AC244" s="142">
        <v>1034.1577517602486</v>
      </c>
      <c r="AD244" s="44" t="s">
        <v>92</v>
      </c>
      <c r="AE244" s="128">
        <v>1046.5286805959795</v>
      </c>
      <c r="AF244" s="128">
        <v>29.0</v>
      </c>
      <c r="AG244" s="128">
        <v>1043.1989154359496</v>
      </c>
      <c r="AH244" s="148"/>
      <c r="AK244" s="149"/>
      <c r="AP244" s="143">
        <v>22.0</v>
      </c>
      <c r="AQ244" s="128">
        <v>20.0</v>
      </c>
      <c r="AS244" s="44" t="s">
        <v>428</v>
      </c>
      <c r="AT244" s="44">
        <v>243.0</v>
      </c>
      <c r="AU244" s="44"/>
      <c r="AW244" s="93"/>
      <c r="AY244" s="93"/>
      <c r="AZ244" s="93"/>
      <c r="BA244" s="93"/>
      <c r="BB244" s="155"/>
      <c r="BC244" s="93"/>
      <c r="BE244" s="93"/>
      <c r="BG244" s="93"/>
      <c r="BH244" s="93"/>
      <c r="BI244" s="93"/>
      <c r="BJ244" s="155"/>
      <c r="BK244" s="93"/>
    </row>
    <row r="245">
      <c r="A245" s="154">
        <v>44235.95625</v>
      </c>
      <c r="B245" s="141" t="s">
        <v>78</v>
      </c>
      <c r="C245" s="128">
        <v>977.5106324788078</v>
      </c>
      <c r="D245" s="128">
        <v>15.0</v>
      </c>
      <c r="E245" s="142">
        <v>978.1356860144665</v>
      </c>
      <c r="F245" s="44" t="s">
        <v>58</v>
      </c>
      <c r="G245" s="128">
        <v>984.3844933577626</v>
      </c>
      <c r="H245" s="128">
        <v>12.0</v>
      </c>
      <c r="I245" s="128">
        <v>984.4928972318983</v>
      </c>
      <c r="J245" s="141" t="s">
        <v>248</v>
      </c>
      <c r="K245" s="128">
        <v>985.9826136129718</v>
      </c>
      <c r="L245" s="128">
        <v>27.0</v>
      </c>
      <c r="M245" s="142">
        <v>988.5872989920564</v>
      </c>
      <c r="N245" s="44" t="s">
        <v>47</v>
      </c>
      <c r="O245" s="128">
        <v>1015.2992685074498</v>
      </c>
      <c r="P245" s="128">
        <v>21.0</v>
      </c>
      <c r="Q245" s="128">
        <v>1016.8455921497847</v>
      </c>
      <c r="R245" s="141" t="s">
        <v>23</v>
      </c>
      <c r="S245" s="128">
        <v>1256.9634585932642</v>
      </c>
      <c r="T245" s="128">
        <v>43.0</v>
      </c>
      <c r="U245" s="142">
        <v>1262.0789921620506</v>
      </c>
      <c r="V245" s="44" t="s">
        <v>100</v>
      </c>
      <c r="W245" s="128">
        <v>991.2008104326657</v>
      </c>
      <c r="X245" s="128">
        <v>15.0</v>
      </c>
      <c r="Y245" s="128">
        <v>987.8050802317214</v>
      </c>
      <c r="Z245" s="141" t="s">
        <v>27</v>
      </c>
      <c r="AA245" s="128">
        <v>1019.8813540745506</v>
      </c>
      <c r="AB245" s="128">
        <v>18.0</v>
      </c>
      <c r="AC245" s="142">
        <v>1016.9316614371066</v>
      </c>
      <c r="AD245" s="44" t="s">
        <v>112</v>
      </c>
      <c r="AE245" s="128">
        <v>1034.1577517602486</v>
      </c>
      <c r="AF245" s="128">
        <v>25.0</v>
      </c>
      <c r="AG245" s="128">
        <v>1032.3540136465763</v>
      </c>
      <c r="AH245" s="141" t="s">
        <v>107</v>
      </c>
      <c r="AI245" s="128">
        <v>1045.4962224489796</v>
      </c>
      <c r="AJ245" s="128">
        <v>18.0</v>
      </c>
      <c r="AK245" s="142">
        <v>1042.5120085459362</v>
      </c>
      <c r="AL245" s="44" t="s">
        <v>31</v>
      </c>
      <c r="AM245" s="128">
        <v>1130.931559487882</v>
      </c>
      <c r="AN245" s="128">
        <v>43.0</v>
      </c>
      <c r="AO245" s="128">
        <v>1132.064934342986</v>
      </c>
      <c r="AP245" s="143">
        <v>15.0</v>
      </c>
      <c r="AQ245" s="128">
        <v>13.0</v>
      </c>
      <c r="AR245" s="44" t="s">
        <v>429</v>
      </c>
      <c r="AS245" s="44" t="s">
        <v>430</v>
      </c>
      <c r="AT245" s="44">
        <v>244.0</v>
      </c>
      <c r="AU245" s="44"/>
      <c r="AV245" s="44" t="s">
        <v>90</v>
      </c>
      <c r="AW245" s="145">
        <v>939.0274601</v>
      </c>
      <c r="AX245" s="44">
        <v>17.0</v>
      </c>
      <c r="AY245" s="145">
        <v>940.0294601</v>
      </c>
      <c r="AZ245" s="93"/>
      <c r="BA245" s="93"/>
      <c r="BB245" s="155"/>
      <c r="BC245" s="93"/>
      <c r="BD245" s="44" t="s">
        <v>61</v>
      </c>
      <c r="BE245" s="142">
        <v>922.7185111673759</v>
      </c>
      <c r="BF245" s="44">
        <v>13.0</v>
      </c>
      <c r="BG245" s="147">
        <v>918.918511167376</v>
      </c>
      <c r="BH245" s="93"/>
      <c r="BI245" s="93"/>
      <c r="BJ245" s="155"/>
      <c r="BK245" s="93"/>
    </row>
    <row r="246">
      <c r="A246" s="154">
        <v>44236.95763888889</v>
      </c>
      <c r="B246" s="141" t="s">
        <v>61</v>
      </c>
      <c r="C246" s="128">
        <v>918.9185112</v>
      </c>
      <c r="D246" s="128">
        <v>15.0</v>
      </c>
      <c r="E246" s="142">
        <v>910.0961372196377</v>
      </c>
      <c r="F246" s="44" t="s">
        <v>90</v>
      </c>
      <c r="G246" s="128">
        <v>940.03</v>
      </c>
      <c r="H246" s="128">
        <v>9.0</v>
      </c>
      <c r="I246" s="128">
        <v>925.977326555878</v>
      </c>
      <c r="J246" s="141" t="s">
        <v>112</v>
      </c>
      <c r="K246" s="128">
        <v>1032.3540136465763</v>
      </c>
      <c r="L246" s="128">
        <v>10.0</v>
      </c>
      <c r="M246" s="142">
        <v>1018.4854248246435</v>
      </c>
      <c r="N246" s="44" t="s">
        <v>23</v>
      </c>
      <c r="O246" s="128">
        <v>1262.0789921620506</v>
      </c>
      <c r="P246" s="128">
        <v>23.0</v>
      </c>
      <c r="Q246" s="128">
        <v>1258.8226284084676</v>
      </c>
      <c r="R246" s="148"/>
      <c r="U246" s="149"/>
      <c r="V246" s="44" t="s">
        <v>58</v>
      </c>
      <c r="W246" s="128">
        <v>984.4928972318983</v>
      </c>
      <c r="X246" s="128">
        <v>21.0</v>
      </c>
      <c r="Y246" s="128">
        <v>993.5743254783699</v>
      </c>
      <c r="Z246" s="141" t="s">
        <v>47</v>
      </c>
      <c r="AA246" s="128">
        <v>1016.8455921497847</v>
      </c>
      <c r="AB246" s="128">
        <v>18.0</v>
      </c>
      <c r="AC246" s="142">
        <v>1023.1257412340877</v>
      </c>
      <c r="AD246" s="44" t="s">
        <v>27</v>
      </c>
      <c r="AE246" s="128">
        <v>1016.9316614371066</v>
      </c>
      <c r="AF246" s="128">
        <v>23.0</v>
      </c>
      <c r="AG246" s="128">
        <v>1027.3778107561284</v>
      </c>
      <c r="AH246" s="141" t="s">
        <v>31</v>
      </c>
      <c r="AI246" s="128">
        <v>1132.064934342986</v>
      </c>
      <c r="AJ246" s="128">
        <v>28.0</v>
      </c>
      <c r="AK246" s="142">
        <v>1146.2572076931895</v>
      </c>
      <c r="AP246" s="143">
        <v>7.0</v>
      </c>
      <c r="AQ246" s="128">
        <v>21.0</v>
      </c>
      <c r="AS246" s="44" t="s">
        <v>337</v>
      </c>
      <c r="AT246" s="44">
        <v>245.0</v>
      </c>
      <c r="AU246" s="44"/>
      <c r="AW246" s="93"/>
      <c r="AY246" s="93"/>
      <c r="AZ246" s="93"/>
      <c r="BA246" s="93"/>
      <c r="BB246" s="155"/>
      <c r="BC246" s="93"/>
      <c r="BE246" s="93"/>
      <c r="BG246" s="93"/>
      <c r="BH246" s="93"/>
      <c r="BI246" s="93"/>
      <c r="BJ246" s="155"/>
      <c r="BK246" s="93"/>
    </row>
    <row r="247">
      <c r="A247" s="140">
        <v>44237.927777777775</v>
      </c>
      <c r="B247" s="141" t="s">
        <v>61</v>
      </c>
      <c r="C247" s="128">
        <v>910.0961372196377</v>
      </c>
      <c r="D247" s="128">
        <v>18.0</v>
      </c>
      <c r="E247" s="142">
        <v>912.7508070720137</v>
      </c>
      <c r="F247" s="44" t="s">
        <v>90</v>
      </c>
      <c r="G247" s="128">
        <v>925.977326555878</v>
      </c>
      <c r="H247" s="128">
        <v>21.0</v>
      </c>
      <c r="I247" s="128">
        <v>929.5068033458863</v>
      </c>
      <c r="J247" s="141" t="s">
        <v>364</v>
      </c>
      <c r="K247" s="128">
        <v>963.0764249725148</v>
      </c>
      <c r="L247" s="128">
        <v>11.0</v>
      </c>
      <c r="M247" s="142">
        <v>963.0266918662386</v>
      </c>
      <c r="N247" s="44" t="s">
        <v>27</v>
      </c>
      <c r="O247" s="128">
        <v>1027.3778107561284</v>
      </c>
      <c r="P247" s="128">
        <v>25.0</v>
      </c>
      <c r="Q247" s="128">
        <v>1031.7191391916601</v>
      </c>
      <c r="R247" s="141" t="s">
        <v>31</v>
      </c>
      <c r="S247" s="128">
        <v>1146.2572076931895</v>
      </c>
      <c r="T247" s="128">
        <v>41.0</v>
      </c>
      <c r="U247" s="142">
        <v>1155.7814657215497</v>
      </c>
      <c r="V247" s="44" t="s">
        <v>98</v>
      </c>
      <c r="W247" s="128">
        <v>940.1216542793511</v>
      </c>
      <c r="X247" s="128">
        <v>16.0</v>
      </c>
      <c r="Y247" s="128">
        <v>935.1582259374202</v>
      </c>
      <c r="Z247" s="141" t="s">
        <v>58</v>
      </c>
      <c r="AA247" s="128">
        <v>993.5743254783699</v>
      </c>
      <c r="AB247" s="128">
        <v>28.0</v>
      </c>
      <c r="AC247" s="142">
        <v>992.363173036211</v>
      </c>
      <c r="AD247" s="44" t="s">
        <v>431</v>
      </c>
      <c r="AE247" s="128">
        <v>1000.0</v>
      </c>
      <c r="AF247" s="128">
        <v>16.0</v>
      </c>
      <c r="AG247" s="128">
        <v>994.7664396269234</v>
      </c>
      <c r="AH247" s="141" t="s">
        <v>112</v>
      </c>
      <c r="AI247" s="128">
        <v>1018.4854248246435</v>
      </c>
      <c r="AJ247" s="128">
        <v>17.0</v>
      </c>
      <c r="AK247" s="142">
        <v>1013.5289662061227</v>
      </c>
      <c r="AL247" s="44" t="s">
        <v>47</v>
      </c>
      <c r="AM247" s="128">
        <v>1023.1257412340877</v>
      </c>
      <c r="AN247" s="128">
        <v>21.0</v>
      </c>
      <c r="AO247" s="128">
        <v>1019.4903410097749</v>
      </c>
      <c r="AP247" s="143">
        <v>17.0</v>
      </c>
      <c r="AQ247" s="128">
        <v>11.0</v>
      </c>
      <c r="AS247" s="44" t="s">
        <v>232</v>
      </c>
      <c r="AT247" s="44">
        <v>246.0</v>
      </c>
      <c r="AU247" s="44"/>
      <c r="AW247" s="93"/>
      <c r="AY247" s="93"/>
      <c r="AZ247" s="93"/>
      <c r="BA247" s="93"/>
      <c r="BB247" s="155"/>
      <c r="BC247" s="93"/>
      <c r="BE247" s="93"/>
      <c r="BG247" s="93"/>
      <c r="BH247" s="93"/>
      <c r="BI247" s="93"/>
      <c r="BJ247" s="155"/>
      <c r="BK247" s="93"/>
    </row>
    <row r="248">
      <c r="A248" s="140">
        <v>44238.03125</v>
      </c>
      <c r="B248" s="141" t="s">
        <v>61</v>
      </c>
      <c r="C248" s="128">
        <v>912.7508070720137</v>
      </c>
      <c r="D248" s="128">
        <v>9.0</v>
      </c>
      <c r="E248" s="142">
        <v>914.3781537483239</v>
      </c>
      <c r="F248" s="44" t="s">
        <v>47</v>
      </c>
      <c r="G248" s="128">
        <v>1019.4903410097749</v>
      </c>
      <c r="H248" s="128">
        <v>22.0</v>
      </c>
      <c r="I248" s="128">
        <v>1027.8458671808257</v>
      </c>
      <c r="J248" s="141" t="s">
        <v>31</v>
      </c>
      <c r="K248" s="128">
        <v>1155.7814657215497</v>
      </c>
      <c r="L248" s="128">
        <v>27.0</v>
      </c>
      <c r="M248" s="142">
        <v>1166.7985928741887</v>
      </c>
      <c r="R248" s="148"/>
      <c r="U248" s="149"/>
      <c r="V248" s="44" t="s">
        <v>112</v>
      </c>
      <c r="W248" s="128">
        <v>1013.5289662061227</v>
      </c>
      <c r="X248" s="128">
        <v>13.0</v>
      </c>
      <c r="Y248" s="128">
        <v>1005.2308475633131</v>
      </c>
      <c r="Z248" s="141" t="s">
        <v>107</v>
      </c>
      <c r="AA248" s="128">
        <v>1042.5120085459362</v>
      </c>
      <c r="AB248" s="128">
        <v>16.0</v>
      </c>
      <c r="AC248" s="142">
        <v>1035.8703024243691</v>
      </c>
      <c r="AD248" s="44" t="s">
        <v>92</v>
      </c>
      <c r="AE248" s="128">
        <v>1043.1989154359496</v>
      </c>
      <c r="AF248" s="128">
        <v>17.0</v>
      </c>
      <c r="AG248" s="128">
        <v>1037.1387402003263</v>
      </c>
      <c r="AH248" s="148"/>
      <c r="AK248" s="149"/>
      <c r="AP248" s="143">
        <v>18.0</v>
      </c>
      <c r="AQ248" s="128">
        <v>10.0</v>
      </c>
      <c r="AS248" s="44" t="s">
        <v>243</v>
      </c>
      <c r="AT248" s="44">
        <v>247.0</v>
      </c>
      <c r="AU248" s="44"/>
      <c r="AW248" s="93"/>
      <c r="AY248" s="93"/>
      <c r="AZ248" s="93"/>
      <c r="BA248" s="93"/>
      <c r="BB248" s="155"/>
      <c r="BC248" s="93"/>
      <c r="BE248" s="93"/>
      <c r="BG248" s="93"/>
      <c r="BH248" s="93"/>
      <c r="BI248" s="93"/>
      <c r="BJ248" s="155"/>
      <c r="BK248" s="93"/>
    </row>
    <row r="249">
      <c r="A249" s="140">
        <v>44238.92638888889</v>
      </c>
      <c r="B249" s="141" t="s">
        <v>61</v>
      </c>
      <c r="C249" s="128">
        <v>914.3781537483239</v>
      </c>
      <c r="D249" s="128">
        <v>16.0</v>
      </c>
      <c r="E249" s="142">
        <v>919.1666048444821</v>
      </c>
      <c r="F249" s="44" t="s">
        <v>90</v>
      </c>
      <c r="G249" s="128">
        <v>929.5068033458863</v>
      </c>
      <c r="H249" s="128">
        <v>18.0</v>
      </c>
      <c r="I249" s="128">
        <v>935.1975807086471</v>
      </c>
      <c r="J249" s="141" t="s">
        <v>31</v>
      </c>
      <c r="K249" s="128">
        <v>1166.7985928741887</v>
      </c>
      <c r="L249" s="128">
        <v>25.0</v>
      </c>
      <c r="M249" s="142">
        <v>1175.3193644152695</v>
      </c>
      <c r="R249" s="148"/>
      <c r="U249" s="149"/>
      <c r="V249" s="44" t="s">
        <v>98</v>
      </c>
      <c r="W249" s="128">
        <v>935.1582259374202</v>
      </c>
      <c r="X249" s="128">
        <v>11.0</v>
      </c>
      <c r="Y249" s="128">
        <v>927.1866979194076</v>
      </c>
      <c r="Z249" s="141" t="s">
        <v>47</v>
      </c>
      <c r="AA249" s="128">
        <v>1027.8458671808257</v>
      </c>
      <c r="AB249" s="128">
        <v>19.0</v>
      </c>
      <c r="AC249" s="142">
        <v>1023.6564256695882</v>
      </c>
      <c r="AD249" s="44" t="s">
        <v>27</v>
      </c>
      <c r="AE249" s="128">
        <v>1031.7191391916601</v>
      </c>
      <c r="AF249" s="128">
        <v>14.0</v>
      </c>
      <c r="AG249" s="128">
        <v>1024.8801087209104</v>
      </c>
      <c r="AH249" s="148"/>
      <c r="AK249" s="149"/>
      <c r="AP249" s="143">
        <v>18.0</v>
      </c>
      <c r="AQ249" s="128">
        <v>10.0</v>
      </c>
      <c r="AS249" s="44" t="s">
        <v>229</v>
      </c>
      <c r="AT249" s="44">
        <v>248.0</v>
      </c>
      <c r="AU249" s="44"/>
      <c r="AW249" s="93"/>
      <c r="AY249" s="93"/>
      <c r="AZ249" s="93"/>
      <c r="BA249" s="93"/>
      <c r="BB249" s="155"/>
      <c r="BC249" s="93"/>
      <c r="BE249" s="93"/>
      <c r="BG249" s="93"/>
      <c r="BH249" s="93"/>
      <c r="BI249" s="93"/>
      <c r="BJ249" s="155"/>
      <c r="BK249" s="93"/>
    </row>
    <row r="250">
      <c r="A250" s="140">
        <v>44238.97361111111</v>
      </c>
      <c r="B250" s="141" t="s">
        <v>123</v>
      </c>
      <c r="C250" s="128">
        <v>890.9598086869728</v>
      </c>
      <c r="D250" s="128">
        <v>11.0</v>
      </c>
      <c r="E250" s="142">
        <v>891.4103230700578</v>
      </c>
      <c r="F250" s="44" t="s">
        <v>61</v>
      </c>
      <c r="G250" s="128">
        <v>919.1666048444821</v>
      </c>
      <c r="H250" s="128">
        <v>16.0</v>
      </c>
      <c r="I250" s="128">
        <v>920.3422262872812</v>
      </c>
      <c r="J250" s="141" t="s">
        <v>112</v>
      </c>
      <c r="K250" s="128">
        <v>1005.2308475633131</v>
      </c>
      <c r="L250" s="128">
        <v>22.0</v>
      </c>
      <c r="M250" s="142">
        <v>1007.1795119056187</v>
      </c>
      <c r="N250" s="44" t="s">
        <v>27</v>
      </c>
      <c r="O250" s="128">
        <v>1024.8801087209104</v>
      </c>
      <c r="P250" s="128">
        <v>18.0</v>
      </c>
      <c r="Q250" s="128">
        <v>1026.1312144093656</v>
      </c>
      <c r="R250" s="141" t="s">
        <v>31</v>
      </c>
      <c r="S250" s="128">
        <v>1175.3193644152695</v>
      </c>
      <c r="T250" s="128">
        <v>42.0</v>
      </c>
      <c r="U250" s="142">
        <v>1180.4934585586248</v>
      </c>
      <c r="V250" s="44" t="s">
        <v>90</v>
      </c>
      <c r="W250" s="128">
        <v>935.1975807086471</v>
      </c>
      <c r="X250" s="128">
        <v>14.0</v>
      </c>
      <c r="Y250" s="128">
        <v>932.4978015092886</v>
      </c>
      <c r="Z250" s="141" t="s">
        <v>248</v>
      </c>
      <c r="AA250" s="128">
        <v>988.5872989920564</v>
      </c>
      <c r="AB250" s="128">
        <v>26.0</v>
      </c>
      <c r="AC250" s="142">
        <v>987.7669511938368</v>
      </c>
      <c r="AD250" s="44" t="s">
        <v>47</v>
      </c>
      <c r="AE250" s="128">
        <v>1023.6564256695882</v>
      </c>
      <c r="AF250" s="128">
        <v>18.0</v>
      </c>
      <c r="AG250" s="128">
        <v>1021.4504771576754</v>
      </c>
      <c r="AH250" s="141" t="s">
        <v>107</v>
      </c>
      <c r="AI250" s="128">
        <v>1035.8703024243691</v>
      </c>
      <c r="AJ250" s="128">
        <v>21.0</v>
      </c>
      <c r="AK250" s="142">
        <v>1034.150656729704</v>
      </c>
      <c r="AL250" s="44" t="s">
        <v>92</v>
      </c>
      <c r="AM250" s="128">
        <v>1037.1387402003263</v>
      </c>
      <c r="AN250" s="128">
        <v>16.0</v>
      </c>
      <c r="AO250" s="128">
        <v>1034.5844614044825</v>
      </c>
      <c r="AP250" s="143">
        <v>15.0</v>
      </c>
      <c r="AQ250" s="128">
        <v>13.0</v>
      </c>
      <c r="AS250" s="44" t="s">
        <v>295</v>
      </c>
      <c r="AT250" s="44">
        <v>249.0</v>
      </c>
      <c r="AU250" s="44"/>
      <c r="AW250" s="93"/>
      <c r="AY250" s="93"/>
      <c r="AZ250" s="93"/>
      <c r="BA250" s="93"/>
      <c r="BB250" s="155"/>
      <c r="BC250" s="93"/>
      <c r="BE250" s="93"/>
      <c r="BG250" s="93"/>
      <c r="BH250" s="93"/>
      <c r="BI250" s="93"/>
      <c r="BJ250" s="155"/>
      <c r="BK250" s="93"/>
    </row>
    <row r="251">
      <c r="A251" s="140">
        <v>44239.02569444444</v>
      </c>
      <c r="B251" s="141" t="s">
        <v>123</v>
      </c>
      <c r="C251" s="128">
        <v>891.4103230700578</v>
      </c>
      <c r="D251" s="128">
        <v>8.0</v>
      </c>
      <c r="E251" s="142">
        <v>891.2286941813146</v>
      </c>
      <c r="F251" s="44" t="s">
        <v>61</v>
      </c>
      <c r="G251" s="128">
        <v>920.3422262872812</v>
      </c>
      <c r="H251" s="128">
        <v>25.0</v>
      </c>
      <c r="I251" s="128">
        <v>928.3311944713141</v>
      </c>
      <c r="J251" s="141" t="s">
        <v>92</v>
      </c>
      <c r="K251" s="128">
        <v>1034.5844614044825</v>
      </c>
      <c r="L251" s="128">
        <v>25.0</v>
      </c>
      <c r="M251" s="142">
        <v>1041.7780770301476</v>
      </c>
      <c r="N251" s="44" t="s">
        <v>31</v>
      </c>
      <c r="O251" s="128">
        <v>1180.4934585586248</v>
      </c>
      <c r="P251" s="128">
        <v>29.0</v>
      </c>
      <c r="Q251" s="128">
        <v>1189.4925036376699</v>
      </c>
      <c r="R251" s="148"/>
      <c r="U251" s="149"/>
      <c r="V251" s="44" t="s">
        <v>112</v>
      </c>
      <c r="W251" s="128">
        <v>1007.1795119056187</v>
      </c>
      <c r="X251" s="128">
        <v>22.0</v>
      </c>
      <c r="Y251" s="128">
        <v>1002.8615687035315</v>
      </c>
      <c r="Z251" s="141" t="s">
        <v>47</v>
      </c>
      <c r="AA251" s="128">
        <v>1021.4504771576754</v>
      </c>
      <c r="AB251" s="128">
        <v>19.0</v>
      </c>
      <c r="AC251" s="142">
        <v>1015.5761579553367</v>
      </c>
      <c r="AD251" s="44" t="s">
        <v>27</v>
      </c>
      <c r="AE251" s="128">
        <v>1026.1312144093656</v>
      </c>
      <c r="AF251" s="128">
        <v>18.0</v>
      </c>
      <c r="AG251" s="128">
        <v>1019.7403926888426</v>
      </c>
      <c r="AH251" s="141" t="s">
        <v>107</v>
      </c>
      <c r="AI251" s="128">
        <v>1034.150656729704</v>
      </c>
      <c r="AJ251" s="128">
        <v>16.0</v>
      </c>
      <c r="AK251" s="142">
        <v>1026.733740854653</v>
      </c>
      <c r="AP251" s="143">
        <v>18.0</v>
      </c>
      <c r="AQ251" s="128">
        <v>10.0</v>
      </c>
      <c r="AS251" s="44" t="s">
        <v>229</v>
      </c>
      <c r="AT251" s="44">
        <v>250.0</v>
      </c>
      <c r="AU251" s="44"/>
      <c r="AW251" s="93"/>
      <c r="AY251" s="93"/>
      <c r="AZ251" s="93"/>
      <c r="BA251" s="93"/>
      <c r="BB251" s="155"/>
      <c r="BC251" s="93"/>
      <c r="BE251" s="93"/>
      <c r="BG251" s="93"/>
      <c r="BH251" s="93"/>
      <c r="BI251" s="93"/>
      <c r="BJ251" s="155"/>
      <c r="BK251" s="93"/>
    </row>
    <row r="252">
      <c r="A252" s="140">
        <v>44239.99513888889</v>
      </c>
      <c r="B252" s="141" t="s">
        <v>98</v>
      </c>
      <c r="C252" s="128">
        <v>927.1866979194076</v>
      </c>
      <c r="D252" s="128">
        <v>22.0</v>
      </c>
      <c r="E252" s="142">
        <v>931.4497843369279</v>
      </c>
      <c r="F252" s="44" t="s">
        <v>61</v>
      </c>
      <c r="G252" s="128">
        <v>928.3311944713141</v>
      </c>
      <c r="H252" s="128">
        <v>27.0</v>
      </c>
      <c r="I252" s="128">
        <v>934.2535622209898</v>
      </c>
      <c r="J252" s="141" t="s">
        <v>90</v>
      </c>
      <c r="K252" s="128">
        <v>932.4978015092886</v>
      </c>
      <c r="L252" s="128">
        <v>18.0</v>
      </c>
      <c r="M252" s="142">
        <v>935.3937261318061</v>
      </c>
      <c r="N252" s="44" t="s">
        <v>58</v>
      </c>
      <c r="O252" s="128">
        <v>992.363173036211</v>
      </c>
      <c r="P252" s="128">
        <v>10.0</v>
      </c>
      <c r="Q252" s="128">
        <v>992.2891068879387</v>
      </c>
      <c r="R252" s="141" t="s">
        <v>23</v>
      </c>
      <c r="S252" s="128">
        <v>1258.8226284084676</v>
      </c>
      <c r="T252" s="128">
        <v>32.0</v>
      </c>
      <c r="U252" s="142">
        <v>1265.8153157670265</v>
      </c>
      <c r="V252" s="44" t="s">
        <v>224</v>
      </c>
      <c r="W252" s="128">
        <v>967.9947707071749</v>
      </c>
      <c r="X252" s="128">
        <v>4.0</v>
      </c>
      <c r="Y252" s="128">
        <v>958.991632017613</v>
      </c>
      <c r="Z252" s="141" t="s">
        <v>112</v>
      </c>
      <c r="AA252" s="128">
        <v>1002.8615687035315</v>
      </c>
      <c r="AB252" s="128">
        <v>41.0</v>
      </c>
      <c r="AC252" s="142">
        <v>1006.0657718023119</v>
      </c>
      <c r="AD252" s="44" t="s">
        <v>47</v>
      </c>
      <c r="AE252" s="128">
        <v>1015.5761579553367</v>
      </c>
      <c r="AF252" s="128">
        <v>22.0</v>
      </c>
      <c r="AG252" s="128">
        <v>1012.410859129172</v>
      </c>
      <c r="AH252" s="141" t="s">
        <v>27</v>
      </c>
      <c r="AI252" s="128">
        <v>1019.7403926888426</v>
      </c>
      <c r="AJ252" s="128">
        <v>16.0</v>
      </c>
      <c r="AK252" s="142">
        <v>1014.564318268809</v>
      </c>
      <c r="AL252" s="44" t="s">
        <v>107</v>
      </c>
      <c r="AM252" s="128">
        <v>1026.733740854653</v>
      </c>
      <c r="AN252" s="128">
        <v>14.0</v>
      </c>
      <c r="AO252" s="128">
        <v>1020.8740496916328</v>
      </c>
      <c r="AP252" s="143">
        <v>16.0</v>
      </c>
      <c r="AQ252" s="128">
        <v>12.0</v>
      </c>
      <c r="AR252" s="44" t="s">
        <v>432</v>
      </c>
      <c r="AS252" s="44" t="s">
        <v>266</v>
      </c>
      <c r="AT252" s="44">
        <v>251.0</v>
      </c>
      <c r="AU252" s="44"/>
      <c r="AW252" s="93"/>
      <c r="AY252" s="93"/>
      <c r="AZ252" s="93"/>
      <c r="BA252" s="93"/>
      <c r="BB252" s="155"/>
      <c r="BC252" s="93"/>
      <c r="BE252" s="93"/>
      <c r="BG252" s="93"/>
      <c r="BH252" s="93"/>
      <c r="BI252" s="93"/>
      <c r="BJ252" s="155"/>
      <c r="BK252" s="93"/>
    </row>
    <row r="253">
      <c r="A253" s="140">
        <v>44240.04861111111</v>
      </c>
      <c r="B253" s="141" t="s">
        <v>98</v>
      </c>
      <c r="C253" s="128">
        <v>931.4497843369279</v>
      </c>
      <c r="D253" s="128">
        <v>9.0</v>
      </c>
      <c r="E253" s="142">
        <v>931.4936155881855</v>
      </c>
      <c r="F253" s="44" t="s">
        <v>61</v>
      </c>
      <c r="G253" s="128">
        <v>934.2535622209898</v>
      </c>
      <c r="H253" s="128">
        <v>13.0</v>
      </c>
      <c r="I253" s="128">
        <v>935.6137314021662</v>
      </c>
      <c r="J253" s="141" t="s">
        <v>90</v>
      </c>
      <c r="K253" s="128">
        <v>935.3937261318061</v>
      </c>
      <c r="L253" s="128">
        <v>23.0</v>
      </c>
      <c r="M253" s="142">
        <v>940.0804047414188</v>
      </c>
      <c r="N253" s="44" t="s">
        <v>248</v>
      </c>
      <c r="O253" s="128">
        <v>987.7669511938368</v>
      </c>
      <c r="P253" s="128">
        <v>29.0</v>
      </c>
      <c r="Q253" s="128">
        <v>994.1943351820632</v>
      </c>
      <c r="R253" s="141" t="s">
        <v>23</v>
      </c>
      <c r="S253" s="128">
        <v>1265.8153157670265</v>
      </c>
      <c r="T253" s="128">
        <v>33.0</v>
      </c>
      <c r="U253" s="142">
        <v>1273.2972527367535</v>
      </c>
      <c r="V253" s="44" t="s">
        <v>58</v>
      </c>
      <c r="W253" s="128">
        <v>992.2891068879387</v>
      </c>
      <c r="X253" s="128">
        <v>20.0</v>
      </c>
      <c r="Y253" s="128">
        <v>989.0690695490341</v>
      </c>
      <c r="Z253" s="141" t="s">
        <v>112</v>
      </c>
      <c r="AA253" s="128">
        <v>1006.0657718023119</v>
      </c>
      <c r="AB253" s="128">
        <v>13.0</v>
      </c>
      <c r="AC253" s="142">
        <v>1000.4728026955227</v>
      </c>
      <c r="AD253" s="44" t="s">
        <v>47</v>
      </c>
      <c r="AE253" s="128">
        <v>1012.410859129172</v>
      </c>
      <c r="AF253" s="128">
        <v>21.0</v>
      </c>
      <c r="AG253" s="128">
        <v>1009.4681379948396</v>
      </c>
      <c r="AH253" s="141" t="s">
        <v>27</v>
      </c>
      <c r="AI253" s="128">
        <v>1014.564318268809</v>
      </c>
      <c r="AJ253" s="128">
        <v>20.0</v>
      </c>
      <c r="AK253" s="142">
        <v>1011.2829450832386</v>
      </c>
      <c r="AL253" s="44" t="s">
        <v>107</v>
      </c>
      <c r="AM253" s="128">
        <v>1020.8740496916328</v>
      </c>
      <c r="AN253" s="128">
        <v>15.0</v>
      </c>
      <c r="AO253" s="128">
        <v>1015.9111504572293</v>
      </c>
      <c r="AP253" s="143">
        <v>17.0</v>
      </c>
      <c r="AQ253" s="128">
        <v>11.0</v>
      </c>
      <c r="AR253" s="44" t="s">
        <v>432</v>
      </c>
      <c r="AS253" s="44" t="s">
        <v>229</v>
      </c>
      <c r="AT253" s="44">
        <v>252.0</v>
      </c>
      <c r="AU253" s="44"/>
      <c r="AW253" s="93"/>
      <c r="AY253" s="93"/>
      <c r="AZ253" s="93"/>
      <c r="BA253" s="93"/>
      <c r="BB253" s="155"/>
      <c r="BC253" s="93"/>
      <c r="BE253" s="93"/>
      <c r="BG253" s="93"/>
      <c r="BH253" s="93"/>
      <c r="BI253" s="93"/>
      <c r="BJ253" s="155"/>
      <c r="BK253" s="93"/>
    </row>
    <row r="254">
      <c r="A254" s="140">
        <v>44240.08888888889</v>
      </c>
      <c r="B254" s="141" t="s">
        <v>98</v>
      </c>
      <c r="C254" s="128">
        <v>931.4936155881855</v>
      </c>
      <c r="D254" s="128">
        <v>14.0</v>
      </c>
      <c r="E254" s="142">
        <v>917.5647377826824</v>
      </c>
      <c r="F254" s="44" t="s">
        <v>61</v>
      </c>
      <c r="G254" s="128">
        <v>935.6137314021662</v>
      </c>
      <c r="H254" s="128">
        <v>20.0</v>
      </c>
      <c r="I254" s="128">
        <v>928.8256811444326</v>
      </c>
      <c r="J254" s="141" t="s">
        <v>248</v>
      </c>
      <c r="K254" s="128">
        <v>994.1943351820632</v>
      </c>
      <c r="L254" s="128">
        <v>18.0</v>
      </c>
      <c r="M254" s="142">
        <v>984.3344823870428</v>
      </c>
      <c r="N254" s="44" t="s">
        <v>110</v>
      </c>
      <c r="O254" s="128">
        <v>1000.0</v>
      </c>
      <c r="P254" s="128">
        <v>11.0</v>
      </c>
      <c r="Q254" s="128">
        <v>981.6903544116741</v>
      </c>
      <c r="R254" s="141" t="s">
        <v>112</v>
      </c>
      <c r="S254" s="128">
        <v>1000.4728026955227</v>
      </c>
      <c r="T254" s="128">
        <v>7.0</v>
      </c>
      <c r="U254" s="142">
        <v>977.3592291421058</v>
      </c>
      <c r="V254" s="44" t="s">
        <v>47</v>
      </c>
      <c r="W254" s="128">
        <v>1009.4681379948396</v>
      </c>
      <c r="X254" s="128">
        <v>19.0</v>
      </c>
      <c r="Y254" s="128">
        <v>1015.3023341746185</v>
      </c>
      <c r="Z254" s="141" t="s">
        <v>107</v>
      </c>
      <c r="AA254" s="128">
        <v>1015.9111504572293</v>
      </c>
      <c r="AB254" s="128">
        <v>27.0</v>
      </c>
      <c r="AC254" s="142">
        <v>1033.6344621317921</v>
      </c>
      <c r="AD254" s="44" t="s">
        <v>31</v>
      </c>
      <c r="AE254" s="128">
        <v>1189.4925036376699</v>
      </c>
      <c r="AF254" s="128">
        <v>35.0</v>
      </c>
      <c r="AG254" s="128">
        <v>1218.2188636180751</v>
      </c>
      <c r="AH254" s="141" t="s">
        <v>23</v>
      </c>
      <c r="AI254" s="128">
        <v>1273.2972527367535</v>
      </c>
      <c r="AJ254" s="128">
        <v>29.0</v>
      </c>
      <c r="AK254" s="142">
        <v>1293.0133849020067</v>
      </c>
      <c r="AP254" s="143">
        <v>9.0</v>
      </c>
      <c r="AQ254" s="128">
        <v>19.0</v>
      </c>
      <c r="AR254" s="44" t="s">
        <v>432</v>
      </c>
      <c r="AS254" s="44" t="s">
        <v>433</v>
      </c>
      <c r="AT254" s="44">
        <v>253.0</v>
      </c>
      <c r="AU254" s="44"/>
      <c r="AW254" s="93"/>
      <c r="AY254" s="93"/>
      <c r="AZ254" s="93"/>
      <c r="BA254" s="93"/>
      <c r="BB254" s="155"/>
      <c r="BC254" s="93"/>
      <c r="BE254" s="93"/>
      <c r="BG254" s="93"/>
      <c r="BH254" s="93"/>
      <c r="BI254" s="93"/>
      <c r="BJ254" s="155"/>
      <c r="BK254" s="93"/>
    </row>
    <row r="255">
      <c r="A255" s="140">
        <v>44240.125</v>
      </c>
      <c r="B255" s="141" t="s">
        <v>61</v>
      </c>
      <c r="C255" s="128">
        <v>928.8256811444326</v>
      </c>
      <c r="D255" s="128">
        <v>10.0</v>
      </c>
      <c r="E255" s="142">
        <v>911.245904226621</v>
      </c>
      <c r="F255" s="44" t="s">
        <v>112</v>
      </c>
      <c r="G255" s="128">
        <v>977.3592291421058</v>
      </c>
      <c r="H255" s="128">
        <v>17.0</v>
      </c>
      <c r="I255" s="128">
        <v>969.3540966293222</v>
      </c>
      <c r="J255" s="141" t="s">
        <v>110</v>
      </c>
      <c r="K255" s="128">
        <v>981.6903544116741</v>
      </c>
      <c r="L255" s="128">
        <v>7.0</v>
      </c>
      <c r="M255" s="142">
        <v>959.2746162420108</v>
      </c>
      <c r="N255" s="44" t="s">
        <v>248</v>
      </c>
      <c r="O255" s="128">
        <v>984.3344823870428</v>
      </c>
      <c r="P255" s="128">
        <v>8.0</v>
      </c>
      <c r="Q255" s="128">
        <v>963.3351299873013</v>
      </c>
      <c r="R255" s="148"/>
      <c r="U255" s="149"/>
      <c r="V255" s="44" t="s">
        <v>107</v>
      </c>
      <c r="W255" s="128">
        <v>1033.6344621317921</v>
      </c>
      <c r="X255" s="128">
        <v>25.0</v>
      </c>
      <c r="Y255" s="128">
        <v>1045.2440483287749</v>
      </c>
      <c r="Z255" s="141" t="s">
        <v>31</v>
      </c>
      <c r="AA255" s="128">
        <v>1218.2188636180751</v>
      </c>
      <c r="AB255" s="128">
        <v>38.0</v>
      </c>
      <c r="AC255" s="142">
        <v>1253.627131436023</v>
      </c>
      <c r="AD255" s="44" t="s">
        <v>23</v>
      </c>
      <c r="AE255" s="128">
        <v>1293.0133849020067</v>
      </c>
      <c r="AF255" s="128">
        <v>31.0</v>
      </c>
      <c r="AG255" s="128">
        <v>1314.995530887076</v>
      </c>
      <c r="AH255" s="148"/>
      <c r="AK255" s="149"/>
      <c r="AP255" s="143">
        <v>8.0</v>
      </c>
      <c r="AQ255" s="128">
        <v>20.0</v>
      </c>
      <c r="AS255" s="44" t="s">
        <v>434</v>
      </c>
      <c r="AT255" s="44">
        <v>254.0</v>
      </c>
      <c r="AU255" s="44"/>
      <c r="AW255" s="93"/>
      <c r="AY255" s="93"/>
      <c r="AZ255" s="93"/>
      <c r="BA255" s="93"/>
      <c r="BB255" s="155"/>
      <c r="BC255" s="93"/>
      <c r="BE255" s="93"/>
      <c r="BG255" s="93"/>
      <c r="BH255" s="93"/>
      <c r="BI255" s="93"/>
      <c r="BJ255" s="155"/>
      <c r="BK255" s="93"/>
    </row>
    <row r="256">
      <c r="A256" s="140">
        <v>44240.92083333333</v>
      </c>
      <c r="B256" s="141" t="s">
        <v>61</v>
      </c>
      <c r="C256" s="128">
        <v>911.245904226621</v>
      </c>
      <c r="D256" s="128">
        <v>17.0</v>
      </c>
      <c r="E256" s="142">
        <v>903.2901373552344</v>
      </c>
      <c r="F256" s="44" t="s">
        <v>23</v>
      </c>
      <c r="G256" s="128">
        <v>1314.995530887076</v>
      </c>
      <c r="H256" s="128">
        <v>20.0</v>
      </c>
      <c r="I256" s="128">
        <v>1307.9512977584625</v>
      </c>
      <c r="J256" s="148"/>
      <c r="M256" s="149"/>
      <c r="R256" s="148"/>
      <c r="U256" s="149"/>
      <c r="V256" s="44" t="s">
        <v>27</v>
      </c>
      <c r="W256" s="128">
        <v>1011.2829450832386</v>
      </c>
      <c r="X256" s="128">
        <v>17.0</v>
      </c>
      <c r="Y256" s="128">
        <v>1017.229256143689</v>
      </c>
      <c r="Z256" s="141" t="s">
        <v>47</v>
      </c>
      <c r="AA256" s="128">
        <v>1015.3023341746185</v>
      </c>
      <c r="AB256" s="128">
        <v>22.0</v>
      </c>
      <c r="AC256" s="142">
        <v>1024.356023114168</v>
      </c>
      <c r="AH256" s="148"/>
      <c r="AK256" s="149"/>
      <c r="AP256" s="143">
        <v>13.0</v>
      </c>
      <c r="AQ256" s="128">
        <v>15.0</v>
      </c>
      <c r="AT256" s="44">
        <v>255.0</v>
      </c>
      <c r="AU256" s="44"/>
      <c r="AW256" s="93"/>
      <c r="AY256" s="93"/>
      <c r="AZ256" s="93"/>
      <c r="BA256" s="93"/>
      <c r="BB256" s="155"/>
      <c r="BC256" s="93"/>
      <c r="BE256" s="93"/>
      <c r="BG256" s="93"/>
      <c r="BH256" s="93"/>
      <c r="BI256" s="93"/>
      <c r="BJ256" s="155"/>
      <c r="BK256" s="93"/>
    </row>
    <row r="257">
      <c r="A257" s="140">
        <v>44240.96805555555</v>
      </c>
      <c r="B257" s="141" t="s">
        <v>61</v>
      </c>
      <c r="C257" s="128">
        <v>903.2901373552344</v>
      </c>
      <c r="D257" s="128">
        <v>16.0</v>
      </c>
      <c r="E257" s="142">
        <v>906.5586102261371</v>
      </c>
      <c r="F257" s="44" t="s">
        <v>47</v>
      </c>
      <c r="G257" s="128">
        <v>1024.356023114168</v>
      </c>
      <c r="H257" s="128">
        <v>17.0</v>
      </c>
      <c r="I257" s="128">
        <v>1027.3480104038679</v>
      </c>
      <c r="J257" s="141" t="s">
        <v>31</v>
      </c>
      <c r="K257" s="128">
        <v>1253.627131436023</v>
      </c>
      <c r="L257" s="128">
        <v>36.0</v>
      </c>
      <c r="M257" s="142">
        <v>1266.3666712754205</v>
      </c>
      <c r="R257" s="148"/>
      <c r="U257" s="149"/>
      <c r="V257" s="44" t="s">
        <v>98</v>
      </c>
      <c r="W257" s="128">
        <v>917.5647377826824</v>
      </c>
      <c r="X257" s="128">
        <v>11.0</v>
      </c>
      <c r="Y257" s="128">
        <v>909.5411990110767</v>
      </c>
      <c r="Z257" s="141" t="s">
        <v>90</v>
      </c>
      <c r="AA257" s="128">
        <v>940.0804047414188</v>
      </c>
      <c r="AB257" s="128">
        <v>9.0</v>
      </c>
      <c r="AC257" s="142">
        <v>930.8817949640502</v>
      </c>
      <c r="AD257" s="44" t="s">
        <v>23</v>
      </c>
      <c r="AE257" s="128">
        <v>1307.9512977584625</v>
      </c>
      <c r="AF257" s="128">
        <v>24.0</v>
      </c>
      <c r="AG257" s="128">
        <v>1306.1734463074367</v>
      </c>
      <c r="AH257" s="148"/>
      <c r="AK257" s="149"/>
      <c r="AP257" s="143">
        <v>18.0</v>
      </c>
      <c r="AQ257" s="128">
        <v>10.0</v>
      </c>
      <c r="AT257" s="44">
        <v>256.0</v>
      </c>
      <c r="AU257" s="44"/>
      <c r="AW257" s="93"/>
      <c r="AY257" s="93"/>
      <c r="AZ257" s="93"/>
      <c r="BA257" s="93"/>
      <c r="BB257" s="155"/>
      <c r="BC257" s="93"/>
      <c r="BE257" s="93"/>
      <c r="BG257" s="93"/>
      <c r="BH257" s="93"/>
      <c r="BI257" s="93"/>
      <c r="BJ257" s="155"/>
      <c r="BK257" s="93"/>
    </row>
    <row r="258">
      <c r="A258" s="140">
        <v>44241.02916666667</v>
      </c>
      <c r="B258" s="141" t="s">
        <v>61</v>
      </c>
      <c r="C258" s="128">
        <v>906.5586102261371</v>
      </c>
      <c r="D258" s="128">
        <v>11.0</v>
      </c>
      <c r="E258" s="142">
        <v>891.9790754959824</v>
      </c>
      <c r="F258" s="44" t="s">
        <v>248</v>
      </c>
      <c r="G258" s="128">
        <v>963.3351299873013</v>
      </c>
      <c r="H258" s="128">
        <v>21.0</v>
      </c>
      <c r="I258" s="128">
        <v>956.7736555737918</v>
      </c>
      <c r="J258" s="141" t="s">
        <v>112</v>
      </c>
      <c r="K258" s="128">
        <v>969.3540966293222</v>
      </c>
      <c r="L258" s="128">
        <v>12.0</v>
      </c>
      <c r="M258" s="142">
        <v>955.0597002800157</v>
      </c>
      <c r="N258" s="44" t="s">
        <v>23</v>
      </c>
      <c r="O258" s="128">
        <v>1306.1734463074367</v>
      </c>
      <c r="P258" s="128">
        <v>23.0</v>
      </c>
      <c r="Q258" s="128">
        <v>1300.6088518004074</v>
      </c>
      <c r="R258" s="148"/>
      <c r="U258" s="149"/>
      <c r="V258" s="44" t="s">
        <v>98</v>
      </c>
      <c r="W258" s="128">
        <v>909.5411990110767</v>
      </c>
      <c r="X258" s="128">
        <v>12.0</v>
      </c>
      <c r="Y258" s="128">
        <v>911.3875595731691</v>
      </c>
      <c r="Z258" s="141" t="s">
        <v>90</v>
      </c>
      <c r="AA258" s="128">
        <v>930.8817949640502</v>
      </c>
      <c r="AB258" s="128">
        <v>10.0</v>
      </c>
      <c r="AC258" s="142">
        <v>930.7300828906913</v>
      </c>
      <c r="AD258" s="44" t="s">
        <v>47</v>
      </c>
      <c r="AE258" s="128">
        <v>1027.3480104038679</v>
      </c>
      <c r="AF258" s="128">
        <v>33.0</v>
      </c>
      <c r="AG258" s="128">
        <v>1045.9373782762746</v>
      </c>
      <c r="AH258" s="141" t="s">
        <v>31</v>
      </c>
      <c r="AI258" s="128">
        <v>1266.3666712754205</v>
      </c>
      <c r="AJ258" s="128">
        <v>36.0</v>
      </c>
      <c r="AK258" s="142">
        <v>1287.0826549142805</v>
      </c>
      <c r="AP258" s="143">
        <v>8.0</v>
      </c>
      <c r="AQ258" s="128">
        <v>20.0</v>
      </c>
      <c r="AT258" s="44">
        <v>257.0</v>
      </c>
      <c r="AU258" s="44"/>
      <c r="AW258" s="93"/>
      <c r="AY258" s="93"/>
      <c r="AZ258" s="93"/>
      <c r="BA258" s="93"/>
      <c r="BB258" s="155"/>
      <c r="BC258" s="93"/>
      <c r="BE258" s="93"/>
      <c r="BG258" s="93"/>
      <c r="BH258" s="93"/>
      <c r="BI258" s="93"/>
      <c r="BJ258" s="155"/>
      <c r="BK258" s="93"/>
    </row>
    <row r="259">
      <c r="A259" s="140">
        <v>44241.08125</v>
      </c>
      <c r="B259" s="141" t="s">
        <v>61</v>
      </c>
      <c r="C259" s="128">
        <v>891.9790754959824</v>
      </c>
      <c r="D259" s="128">
        <v>16.0</v>
      </c>
      <c r="E259" s="142">
        <v>883.3401586444969</v>
      </c>
      <c r="F259" s="44" t="s">
        <v>110</v>
      </c>
      <c r="G259" s="128">
        <v>959.2746162420108</v>
      </c>
      <c r="H259" s="128">
        <v>14.0</v>
      </c>
      <c r="I259" s="128">
        <v>948.6446201143056</v>
      </c>
      <c r="J259" s="141" t="s">
        <v>47</v>
      </c>
      <c r="K259" s="128">
        <v>1045.9373782762746</v>
      </c>
      <c r="L259" s="128">
        <v>14.0</v>
      </c>
      <c r="M259" s="142">
        <v>1034.8969794571558</v>
      </c>
      <c r="N259" s="44" t="s">
        <v>23</v>
      </c>
      <c r="O259" s="128">
        <v>1300.6088518004074</v>
      </c>
      <c r="P259" s="128">
        <v>23.0</v>
      </c>
      <c r="Q259" s="128">
        <v>1295.918163598717</v>
      </c>
      <c r="R259" s="148"/>
      <c r="U259" s="149"/>
      <c r="V259" s="44" t="s">
        <v>112</v>
      </c>
      <c r="W259" s="128">
        <v>955.0597002800157</v>
      </c>
      <c r="X259" s="128">
        <v>23.0</v>
      </c>
      <c r="Y259" s="128">
        <v>963.8263982452868</v>
      </c>
      <c r="Z259" s="141" t="s">
        <v>248</v>
      </c>
      <c r="AA259" s="128">
        <v>956.7736555737918</v>
      </c>
      <c r="AB259" s="128">
        <v>20.0</v>
      </c>
      <c r="AC259" s="142">
        <v>963.3370946810096</v>
      </c>
      <c r="AD259" s="44" t="s">
        <v>107</v>
      </c>
      <c r="AE259" s="128">
        <v>1045.2440483287749</v>
      </c>
      <c r="AF259" s="128">
        <v>19.0</v>
      </c>
      <c r="AG259" s="128">
        <v>1050.488548514874</v>
      </c>
      <c r="AH259" s="141" t="s">
        <v>31</v>
      </c>
      <c r="AI259" s="128">
        <v>1287.0826549142805</v>
      </c>
      <c r="AJ259" s="128">
        <v>32.0</v>
      </c>
      <c r="AK259" s="142">
        <v>1301.5080176556924</v>
      </c>
      <c r="AP259" s="143">
        <v>8.0</v>
      </c>
      <c r="AQ259" s="128">
        <v>20.0</v>
      </c>
      <c r="AS259" s="44" t="s">
        <v>435</v>
      </c>
      <c r="AT259" s="44">
        <v>258.0</v>
      </c>
      <c r="AU259" s="44"/>
      <c r="AW259" s="93"/>
      <c r="AY259" s="93"/>
      <c r="AZ259" s="93"/>
      <c r="BA259" s="93"/>
      <c r="BB259" s="155"/>
      <c r="BC259" s="93"/>
      <c r="BE259" s="93"/>
      <c r="BG259" s="93"/>
      <c r="BH259" s="93"/>
      <c r="BI259" s="93"/>
      <c r="BJ259" s="155"/>
      <c r="BK259" s="93"/>
    </row>
    <row r="260">
      <c r="A260" s="140">
        <v>44241.12152777778</v>
      </c>
      <c r="B260" s="141" t="s">
        <v>61</v>
      </c>
      <c r="C260" s="128">
        <v>883.3401586444969</v>
      </c>
      <c r="D260" s="128">
        <v>13.0</v>
      </c>
      <c r="E260" s="142">
        <v>887.8074419752554</v>
      </c>
      <c r="F260" s="44" t="s">
        <v>112</v>
      </c>
      <c r="G260" s="128">
        <v>963.8263982452868</v>
      </c>
      <c r="H260" s="128">
        <v>17.0</v>
      </c>
      <c r="I260" s="128">
        <v>971.0019328679543</v>
      </c>
      <c r="J260" s="141" t="s">
        <v>107</v>
      </c>
      <c r="K260" s="128">
        <v>1050.488548514874</v>
      </c>
      <c r="L260" s="128">
        <v>13.0</v>
      </c>
      <c r="M260" s="142">
        <v>1053.2706101033111</v>
      </c>
      <c r="N260" s="44" t="s">
        <v>31</v>
      </c>
      <c r="O260" s="128">
        <v>1301.5080176556924</v>
      </c>
      <c r="P260" s="128">
        <v>43.0</v>
      </c>
      <c r="Q260" s="128">
        <v>1332.0831381138291</v>
      </c>
      <c r="R260" s="148"/>
      <c r="U260" s="149"/>
      <c r="V260" s="44" t="s">
        <v>110</v>
      </c>
      <c r="W260" s="128">
        <v>948.6446201143056</v>
      </c>
      <c r="X260" s="128">
        <v>12.0</v>
      </c>
      <c r="Y260" s="128">
        <v>933.1022432957001</v>
      </c>
      <c r="Z260" s="141" t="s">
        <v>248</v>
      </c>
      <c r="AA260" s="128">
        <v>963.3370946810096</v>
      </c>
      <c r="AB260" s="128">
        <v>16.0</v>
      </c>
      <c r="AC260" s="142">
        <v>951.4214037532748</v>
      </c>
      <c r="AD260" s="44" t="s">
        <v>47</v>
      </c>
      <c r="AE260" s="128">
        <v>1034.8969794571558</v>
      </c>
      <c r="AF260" s="128">
        <v>16.0</v>
      </c>
      <c r="AG260" s="128">
        <v>1022.5382899164752</v>
      </c>
      <c r="AH260" s="141" t="s">
        <v>23</v>
      </c>
      <c r="AI260" s="128">
        <v>1295.918163598717</v>
      </c>
      <c r="AJ260" s="128">
        <v>24.0</v>
      </c>
      <c r="AK260" s="142">
        <v>1290.734920885738</v>
      </c>
      <c r="AP260" s="143">
        <v>19.0</v>
      </c>
      <c r="AQ260" s="128">
        <v>9.0</v>
      </c>
      <c r="AS260" s="44" t="s">
        <v>436</v>
      </c>
      <c r="AT260" s="44">
        <v>259.0</v>
      </c>
      <c r="AU260" s="44"/>
      <c r="AW260" s="93"/>
      <c r="AY260" s="93"/>
      <c r="AZ260" s="93"/>
      <c r="BA260" s="93"/>
      <c r="BB260" s="155"/>
      <c r="BC260" s="93"/>
      <c r="BE260" s="93"/>
      <c r="BG260" s="93"/>
      <c r="BH260" s="93"/>
      <c r="BI260" s="93"/>
      <c r="BJ260" s="155"/>
      <c r="BK260" s="93"/>
    </row>
    <row r="261">
      <c r="A261" s="140">
        <v>44241.9</v>
      </c>
      <c r="B261" s="141" t="s">
        <v>61</v>
      </c>
      <c r="C261" s="128">
        <v>887.8074419752554</v>
      </c>
      <c r="D261" s="128">
        <v>18.0</v>
      </c>
      <c r="E261" s="142">
        <v>882.7503171076767</v>
      </c>
      <c r="F261" s="44" t="s">
        <v>364</v>
      </c>
      <c r="G261" s="128">
        <v>963.0266918662386</v>
      </c>
      <c r="H261" s="128">
        <v>5.0</v>
      </c>
      <c r="I261" s="128">
        <v>946.6524802107914</v>
      </c>
      <c r="J261" s="141" t="s">
        <v>92</v>
      </c>
      <c r="K261" s="128">
        <v>1041.7780770301476</v>
      </c>
      <c r="L261" s="128">
        <v>18.0</v>
      </c>
      <c r="M261" s="142">
        <v>1035.9283302382855</v>
      </c>
      <c r="N261" s="44" t="s">
        <v>31</v>
      </c>
      <c r="O261" s="128">
        <v>1332.0831381138291</v>
      </c>
      <c r="P261" s="128">
        <v>10.0</v>
      </c>
      <c r="Q261" s="128">
        <v>1319.3642214287172</v>
      </c>
      <c r="R261" s="148"/>
      <c r="U261" s="149"/>
      <c r="V261" s="44" t="s">
        <v>90</v>
      </c>
      <c r="W261" s="128">
        <v>930.7300828906913</v>
      </c>
      <c r="X261" s="128">
        <v>29.0</v>
      </c>
      <c r="Y261" s="128">
        <v>948.3674863747005</v>
      </c>
      <c r="Z261" s="141" t="s">
        <v>78</v>
      </c>
      <c r="AA261" s="128">
        <v>978.1356860144665</v>
      </c>
      <c r="AB261" s="128">
        <v>14.0</v>
      </c>
      <c r="AC261" s="142">
        <v>982.8603746798653</v>
      </c>
      <c r="AD261" s="44" t="s">
        <v>47</v>
      </c>
      <c r="AE261" s="128">
        <v>1022.5382899164752</v>
      </c>
      <c r="AF261" s="128">
        <v>18.0</v>
      </c>
      <c r="AG261" s="128">
        <v>1030.3148632605878</v>
      </c>
      <c r="AH261" s="141" t="s">
        <v>23</v>
      </c>
      <c r="AI261" s="128">
        <v>1290.734920885738</v>
      </c>
      <c r="AJ261" s="128">
        <v>21.0</v>
      </c>
      <c r="AK261" s="142">
        <v>1300.596255392217</v>
      </c>
      <c r="AP261" s="143">
        <v>9.0</v>
      </c>
      <c r="AQ261" s="128">
        <v>19.0</v>
      </c>
      <c r="AS261" s="44" t="s">
        <v>229</v>
      </c>
      <c r="AT261" s="44">
        <v>260.0</v>
      </c>
      <c r="AU261" s="44"/>
      <c r="AW261" s="93"/>
      <c r="AY261" s="93"/>
      <c r="AZ261" s="93"/>
      <c r="BA261" s="93"/>
      <c r="BB261" s="155"/>
      <c r="BC261" s="93"/>
      <c r="BE261" s="93"/>
      <c r="BG261" s="93"/>
      <c r="BH261" s="93"/>
      <c r="BI261" s="93"/>
      <c r="BJ261" s="155"/>
      <c r="BK261" s="93"/>
    </row>
    <row r="262">
      <c r="A262" s="140">
        <v>44241.944444444445</v>
      </c>
      <c r="B262" s="141" t="s">
        <v>61</v>
      </c>
      <c r="C262" s="128">
        <v>882.7503171076767</v>
      </c>
      <c r="D262" s="128">
        <v>16.0</v>
      </c>
      <c r="E262" s="142">
        <v>886.1295552277584</v>
      </c>
      <c r="F262" s="44" t="s">
        <v>47</v>
      </c>
      <c r="G262" s="128">
        <v>1030.3148632605878</v>
      </c>
      <c r="H262" s="128">
        <v>28.0</v>
      </c>
      <c r="I262" s="128">
        <v>1037.6232063336972</v>
      </c>
      <c r="J262" s="141" t="s">
        <v>92</v>
      </c>
      <c r="K262" s="128">
        <v>1035.9283302382855</v>
      </c>
      <c r="L262" s="128">
        <v>15.0</v>
      </c>
      <c r="M262" s="142">
        <v>1038.3496698930887</v>
      </c>
      <c r="N262" s="44" t="s">
        <v>23</v>
      </c>
      <c r="O262" s="128">
        <v>1300.596255392217</v>
      </c>
      <c r="P262" s="128">
        <v>22.0</v>
      </c>
      <c r="Q262" s="128">
        <v>1305.487334544223</v>
      </c>
      <c r="R262" s="148"/>
      <c r="U262" s="149"/>
      <c r="V262" s="44" t="s">
        <v>90</v>
      </c>
      <c r="W262" s="128">
        <v>948.3674863747005</v>
      </c>
      <c r="X262" s="128">
        <v>17.0</v>
      </c>
      <c r="Y262" s="128">
        <v>943.5409843454737</v>
      </c>
      <c r="Z262" s="141" t="s">
        <v>112</v>
      </c>
      <c r="AA262" s="128">
        <v>971.0019328679543</v>
      </c>
      <c r="AB262" s="128">
        <v>18.0</v>
      </c>
      <c r="AC262" s="142">
        <v>966.4734930053297</v>
      </c>
      <c r="AD262" s="44" t="s">
        <v>78</v>
      </c>
      <c r="AE262" s="128">
        <v>982.8603746798653</v>
      </c>
      <c r="AF262" s="128">
        <v>13.0</v>
      </c>
      <c r="AG262" s="128">
        <v>976.4209806570202</v>
      </c>
      <c r="AH262" s="141" t="s">
        <v>31</v>
      </c>
      <c r="AI262" s="128">
        <v>1319.3642214287172</v>
      </c>
      <c r="AJ262" s="128">
        <v>25.0</v>
      </c>
      <c r="AK262" s="142">
        <v>1317.1585573434138</v>
      </c>
      <c r="AP262" s="143">
        <v>16.0</v>
      </c>
      <c r="AQ262" s="128">
        <v>12.0</v>
      </c>
      <c r="AS262" s="44" t="s">
        <v>437</v>
      </c>
      <c r="AT262" s="44">
        <v>261.0</v>
      </c>
      <c r="AU262" s="44"/>
      <c r="AW262" s="93"/>
      <c r="AY262" s="93"/>
      <c r="AZ262" s="93"/>
      <c r="BA262" s="93"/>
      <c r="BB262" s="155"/>
      <c r="BC262" s="93"/>
      <c r="BE262" s="93"/>
      <c r="BG262" s="93"/>
      <c r="BH262" s="93"/>
      <c r="BI262" s="93"/>
      <c r="BJ262" s="155"/>
      <c r="BK262" s="93"/>
    </row>
    <row r="263">
      <c r="A263" s="140">
        <v>44241.99236111111</v>
      </c>
      <c r="B263" s="141" t="s">
        <v>61</v>
      </c>
      <c r="C263" s="128">
        <v>886.1295552277584</v>
      </c>
      <c r="D263" s="128">
        <v>19.0</v>
      </c>
      <c r="E263" s="142">
        <v>893.1711593454995</v>
      </c>
      <c r="F263" s="44" t="s">
        <v>92</v>
      </c>
      <c r="G263" s="128">
        <v>1038.3496698930887</v>
      </c>
      <c r="H263" s="128">
        <v>25.0</v>
      </c>
      <c r="I263" s="128">
        <v>1048.977310930179</v>
      </c>
      <c r="J263" s="141" t="s">
        <v>107</v>
      </c>
      <c r="K263" s="128">
        <v>1053.2706101033111</v>
      </c>
      <c r="L263" s="128">
        <v>21.0</v>
      </c>
      <c r="M263" s="142">
        <v>1060.4049456076098</v>
      </c>
      <c r="N263" s="44" t="s">
        <v>31</v>
      </c>
      <c r="O263" s="128">
        <v>1317.1585573434138</v>
      </c>
      <c r="P263" s="128">
        <v>32.0</v>
      </c>
      <c r="Q263" s="128">
        <v>1333.3549766842837</v>
      </c>
      <c r="R263" s="148"/>
      <c r="U263" s="149"/>
      <c r="V263" s="44" t="s">
        <v>78</v>
      </c>
      <c r="W263" s="128">
        <v>976.4209806570202</v>
      </c>
      <c r="X263" s="128">
        <v>13.0</v>
      </c>
      <c r="Y263" s="128">
        <v>964.6785522210565</v>
      </c>
      <c r="Z263" s="141" t="s">
        <v>100</v>
      </c>
      <c r="AA263" s="128">
        <v>987.8050802317214</v>
      </c>
      <c r="AB263" s="128">
        <v>6.0</v>
      </c>
      <c r="AC263" s="142">
        <v>970.0221325605056</v>
      </c>
      <c r="AD263" s="44" t="s">
        <v>47</v>
      </c>
      <c r="AE263" s="128">
        <v>1037.6232063336972</v>
      </c>
      <c r="AF263" s="128">
        <v>20.0</v>
      </c>
      <c r="AG263" s="128">
        <v>1031.5858821845638</v>
      </c>
      <c r="AH263" s="141" t="s">
        <v>23</v>
      </c>
      <c r="AI263" s="128">
        <v>1305.487334544223</v>
      </c>
      <c r="AJ263" s="128">
        <v>21.0</v>
      </c>
      <c r="AK263" s="142">
        <v>1300.0500348005357</v>
      </c>
      <c r="AP263" s="143">
        <v>22.0</v>
      </c>
      <c r="AQ263" s="128">
        <v>6.0</v>
      </c>
      <c r="AT263" s="44">
        <v>262.0</v>
      </c>
      <c r="AU263" s="44"/>
      <c r="AW263" s="93"/>
      <c r="AY263" s="93"/>
      <c r="AZ263" s="93"/>
      <c r="BA263" s="93"/>
      <c r="BB263" s="155"/>
      <c r="BC263" s="93"/>
      <c r="BE263" s="93"/>
      <c r="BG263" s="93"/>
      <c r="BH263" s="93"/>
      <c r="BI263" s="93"/>
      <c r="BJ263" s="155"/>
      <c r="BK263" s="93"/>
    </row>
    <row r="264">
      <c r="A264" s="140">
        <v>44242.03125</v>
      </c>
      <c r="B264" s="141" t="s">
        <v>61</v>
      </c>
      <c r="C264" s="128">
        <v>893.1711593454995</v>
      </c>
      <c r="D264" s="128">
        <v>24.0</v>
      </c>
      <c r="E264" s="142">
        <v>902.9479379536198</v>
      </c>
      <c r="F264" s="44" t="s">
        <v>107</v>
      </c>
      <c r="G264" s="128">
        <v>1060.4049456076098</v>
      </c>
      <c r="H264" s="128">
        <v>10.0</v>
      </c>
      <c r="I264" s="128">
        <v>1061.1458388363035</v>
      </c>
      <c r="J264" s="141" t="s">
        <v>31</v>
      </c>
      <c r="K264" s="128">
        <v>1333.3549766842837</v>
      </c>
      <c r="L264" s="128">
        <v>27.0</v>
      </c>
      <c r="M264" s="142">
        <v>1343.8373048474696</v>
      </c>
      <c r="R264" s="148"/>
      <c r="U264" s="149"/>
      <c r="V264" s="44" t="s">
        <v>78</v>
      </c>
      <c r="W264" s="128">
        <v>964.6785522210565</v>
      </c>
      <c r="X264" s="128">
        <v>10.0</v>
      </c>
      <c r="Y264" s="128">
        <v>954.2090987056695</v>
      </c>
      <c r="Z264" s="141" t="s">
        <v>47</v>
      </c>
      <c r="AA264" s="128">
        <v>1031.5858821845638</v>
      </c>
      <c r="AB264" s="128">
        <v>9.0</v>
      </c>
      <c r="AC264" s="142">
        <v>1020.29840168299</v>
      </c>
      <c r="AD264" s="44" t="s">
        <v>23</v>
      </c>
      <c r="AE264" s="128">
        <v>1300.0500348005357</v>
      </c>
      <c r="AF264" s="128">
        <v>30.0</v>
      </c>
      <c r="AG264" s="128">
        <v>1300.8069688174967</v>
      </c>
      <c r="AH264" s="148"/>
      <c r="AK264" s="149"/>
      <c r="AP264" s="143">
        <v>17.0</v>
      </c>
      <c r="AQ264" s="128">
        <v>11.0</v>
      </c>
      <c r="AT264" s="44">
        <v>263.0</v>
      </c>
      <c r="AU264" s="44"/>
      <c r="AW264" s="93"/>
      <c r="AY264" s="93"/>
      <c r="AZ264" s="93"/>
      <c r="BA264" s="93"/>
      <c r="BB264" s="155"/>
      <c r="BC264" s="93"/>
      <c r="BE264" s="93"/>
      <c r="BG264" s="93"/>
      <c r="BH264" s="93"/>
      <c r="BI264" s="93"/>
      <c r="BJ264" s="155"/>
      <c r="BK264" s="93"/>
    </row>
    <row r="265">
      <c r="A265" s="165">
        <v>44242.93402777778</v>
      </c>
      <c r="B265" s="141" t="s">
        <v>98</v>
      </c>
      <c r="C265" s="128">
        <v>911.3875595731691</v>
      </c>
      <c r="D265" s="128">
        <v>7.0</v>
      </c>
      <c r="E265" s="142">
        <v>907.4296789239835</v>
      </c>
      <c r="F265" s="44" t="s">
        <v>27</v>
      </c>
      <c r="G265" s="128">
        <v>1017.229256143689</v>
      </c>
      <c r="H265" s="128">
        <v>18.0</v>
      </c>
      <c r="I265" s="128">
        <v>1014.9443118975374</v>
      </c>
      <c r="J265" s="141" t="s">
        <v>47</v>
      </c>
      <c r="K265" s="128">
        <v>1020.29840168299</v>
      </c>
      <c r="L265" s="128">
        <v>31.0</v>
      </c>
      <c r="M265" s="142">
        <v>1020.1770071436928</v>
      </c>
      <c r="N265" s="44" t="s">
        <v>92</v>
      </c>
      <c r="O265" s="128">
        <v>1048.977310930179</v>
      </c>
      <c r="P265" s="128">
        <v>22.0</v>
      </c>
      <c r="Q265" s="128">
        <v>1047.3305167644753</v>
      </c>
      <c r="R265" s="141" t="s">
        <v>107</v>
      </c>
      <c r="S265" s="128">
        <v>1061.1458388363035</v>
      </c>
      <c r="T265" s="128">
        <v>20.0</v>
      </c>
      <c r="U265" s="142">
        <v>1059.1568524366417</v>
      </c>
      <c r="V265" s="44" t="s">
        <v>61</v>
      </c>
      <c r="W265" s="128">
        <v>902.9479379536198</v>
      </c>
      <c r="X265" s="128">
        <v>17.0</v>
      </c>
      <c r="Y265" s="128">
        <v>904.6599418183288</v>
      </c>
      <c r="Z265" s="141" t="s">
        <v>90</v>
      </c>
      <c r="AA265" s="128">
        <v>943.5409843454737</v>
      </c>
      <c r="AB265" s="128">
        <v>18.0</v>
      </c>
      <c r="AC265" s="142">
        <v>945.3418406678084</v>
      </c>
      <c r="AD265" s="44" t="s">
        <v>224</v>
      </c>
      <c r="AE265" s="128">
        <v>958.991632017613</v>
      </c>
      <c r="AF265" s="128">
        <v>8.0</v>
      </c>
      <c r="AG265" s="128">
        <v>959.1004384824932</v>
      </c>
      <c r="AH265" s="141" t="s">
        <v>112</v>
      </c>
      <c r="AI265" s="128">
        <v>966.4734930053297</v>
      </c>
      <c r="AJ265" s="128">
        <v>17.0</v>
      </c>
      <c r="AK265" s="142">
        <v>968.070836789641</v>
      </c>
      <c r="AL265" s="44" t="s">
        <v>23</v>
      </c>
      <c r="AM265" s="128">
        <v>1300.8069688174967</v>
      </c>
      <c r="AN265" s="128">
        <v>37.0</v>
      </c>
      <c r="AO265" s="128">
        <v>1305.5879583812614</v>
      </c>
      <c r="AP265" s="143">
        <v>13.0</v>
      </c>
      <c r="AQ265" s="128">
        <v>15.0</v>
      </c>
      <c r="AR265" s="44" t="s">
        <v>438</v>
      </c>
      <c r="AS265" s="44" t="s">
        <v>253</v>
      </c>
      <c r="AT265" s="44">
        <v>264.0</v>
      </c>
      <c r="AU265" s="44"/>
      <c r="AW265" s="93"/>
      <c r="AY265" s="93"/>
      <c r="AZ265" s="93"/>
      <c r="BA265" s="93"/>
      <c r="BB265" s="155"/>
      <c r="BC265" s="93"/>
      <c r="BE265" s="93"/>
      <c r="BG265" s="93"/>
      <c r="BH265" s="93"/>
      <c r="BI265" s="93"/>
      <c r="BJ265" s="155"/>
      <c r="BK265" s="93"/>
    </row>
    <row r="266">
      <c r="A266" s="165">
        <v>44242.99722222222</v>
      </c>
      <c r="B266" s="141" t="s">
        <v>27</v>
      </c>
      <c r="C266" s="128">
        <v>1014.9443118975374</v>
      </c>
      <c r="D266" s="128">
        <v>36.0</v>
      </c>
      <c r="E266" s="142">
        <v>1014.0062028018333</v>
      </c>
      <c r="F266" s="44" t="s">
        <v>47</v>
      </c>
      <c r="G266" s="128">
        <v>1020.1770071436928</v>
      </c>
      <c r="H266" s="128">
        <v>28.0</v>
      </c>
      <c r="I266" s="128">
        <v>1017.3950775804062</v>
      </c>
      <c r="J266" s="141" t="s">
        <v>92</v>
      </c>
      <c r="K266" s="128">
        <v>1047.3305167644753</v>
      </c>
      <c r="L266" s="128">
        <v>24.0</v>
      </c>
      <c r="M266" s="142">
        <v>1043.5845325812948</v>
      </c>
      <c r="N266" s="44" t="s">
        <v>107</v>
      </c>
      <c r="O266" s="128">
        <v>1059.1568524366417</v>
      </c>
      <c r="P266" s="128">
        <v>25.0</v>
      </c>
      <c r="Q266" s="128">
        <v>1055.622875278813</v>
      </c>
      <c r="R266" s="148"/>
      <c r="U266" s="149"/>
      <c r="V266" s="44" t="s">
        <v>61</v>
      </c>
      <c r="W266" s="128">
        <v>904.6599418183288</v>
      </c>
      <c r="X266" s="128">
        <v>24.0</v>
      </c>
      <c r="Y266" s="128">
        <v>905.9969431082686</v>
      </c>
      <c r="Z266" s="141" t="s">
        <v>90</v>
      </c>
      <c r="AA266" s="128">
        <v>945.3418406678084</v>
      </c>
      <c r="AB266" s="128">
        <v>25.0</v>
      </c>
      <c r="AC266" s="142">
        <v>946.7381677856031</v>
      </c>
      <c r="AD266" s="44" t="s">
        <v>112</v>
      </c>
      <c r="AE266" s="128">
        <v>968.070836789641</v>
      </c>
      <c r="AF266" s="128">
        <v>22.0</v>
      </c>
      <c r="AG266" s="128">
        <v>968.7001848849701</v>
      </c>
      <c r="AH266" s="141" t="s">
        <v>23</v>
      </c>
      <c r="AI266" s="128">
        <v>1305.5879583812614</v>
      </c>
      <c r="AJ266" s="128">
        <v>54.0</v>
      </c>
      <c r="AK266" s="142">
        <v>1313.2252818781978</v>
      </c>
      <c r="AP266" s="143">
        <v>19.0</v>
      </c>
      <c r="AQ266" s="128">
        <v>23.0</v>
      </c>
      <c r="AR266" s="44" t="s">
        <v>439</v>
      </c>
      <c r="AS266" s="44" t="s">
        <v>267</v>
      </c>
      <c r="AT266" s="44">
        <v>265.0</v>
      </c>
      <c r="AU266" s="44"/>
      <c r="AW266" s="93"/>
      <c r="AY266" s="93"/>
      <c r="AZ266" s="93"/>
      <c r="BA266" s="93"/>
      <c r="BB266" s="155"/>
      <c r="BC266" s="93"/>
      <c r="BE266" s="93"/>
      <c r="BG266" s="93"/>
      <c r="BH266" s="93"/>
      <c r="BI266" s="93"/>
      <c r="BJ266" s="155"/>
      <c r="BK266" s="93"/>
    </row>
    <row r="267">
      <c r="A267" s="165">
        <v>44243.018055555556</v>
      </c>
      <c r="B267" s="141" t="s">
        <v>107</v>
      </c>
      <c r="C267" s="128">
        <v>1055.622875278813</v>
      </c>
      <c r="D267" s="128">
        <v>22.0</v>
      </c>
      <c r="E267" s="142">
        <v>1061.622875278813</v>
      </c>
      <c r="J267" s="148"/>
      <c r="M267" s="149"/>
      <c r="R267" s="148"/>
      <c r="U267" s="149"/>
      <c r="V267" s="44" t="s">
        <v>61</v>
      </c>
      <c r="W267" s="128">
        <v>905.9969431082686</v>
      </c>
      <c r="X267" s="128">
        <v>17.0</v>
      </c>
      <c r="Y267" s="128">
        <v>899.9969431082686</v>
      </c>
      <c r="Z267" s="148"/>
      <c r="AC267" s="149"/>
      <c r="AH267" s="148"/>
      <c r="AK267" s="149"/>
      <c r="AP267" s="143">
        <v>23.0</v>
      </c>
      <c r="AQ267" s="128">
        <v>19.0</v>
      </c>
      <c r="AS267" s="44" t="s">
        <v>362</v>
      </c>
      <c r="AT267" s="44">
        <v>266.0</v>
      </c>
      <c r="AU267" s="44"/>
      <c r="AW267" s="93"/>
      <c r="AY267" s="93"/>
      <c r="AZ267" s="93"/>
      <c r="BA267" s="93"/>
      <c r="BB267" s="155"/>
      <c r="BC267" s="93"/>
      <c r="BE267" s="93"/>
      <c r="BG267" s="93"/>
      <c r="BH267" s="93"/>
      <c r="BI267" s="93"/>
      <c r="BJ267" s="155"/>
      <c r="BK267" s="93"/>
    </row>
    <row r="268">
      <c r="A268" s="166">
        <v>44243.93682787037</v>
      </c>
      <c r="B268" s="141" t="s">
        <v>224</v>
      </c>
      <c r="C268" s="128">
        <v>959.1004384824932</v>
      </c>
      <c r="D268" s="128">
        <v>8.0</v>
      </c>
      <c r="E268" s="142">
        <v>951.6798621043017</v>
      </c>
      <c r="F268" s="44" t="s">
        <v>58</v>
      </c>
      <c r="G268" s="128">
        <v>989.0690695490341</v>
      </c>
      <c r="H268" s="128">
        <v>13.0</v>
      </c>
      <c r="I268" s="128">
        <v>983.2359182237107</v>
      </c>
      <c r="J268" s="141" t="s">
        <v>27</v>
      </c>
      <c r="K268" s="128">
        <v>1014.0062028018333</v>
      </c>
      <c r="L268" s="128">
        <v>25.0</v>
      </c>
      <c r="M268" s="142">
        <v>1012.1186889322025</v>
      </c>
      <c r="N268" s="44" t="s">
        <v>47</v>
      </c>
      <c r="O268" s="128">
        <v>1017.3950775804062</v>
      </c>
      <c r="P268" s="128">
        <v>22.0</v>
      </c>
      <c r="Q268" s="128">
        <v>1014.5009528354093</v>
      </c>
      <c r="R268" s="141" t="s">
        <v>107</v>
      </c>
      <c r="S268" s="128">
        <v>1061.622875278813</v>
      </c>
      <c r="T268" s="128">
        <v>25.0</v>
      </c>
      <c r="U268" s="142">
        <v>1059.6582415969556</v>
      </c>
      <c r="V268" s="44" t="s">
        <v>61</v>
      </c>
      <c r="W268" s="128">
        <v>899.9969431082686</v>
      </c>
      <c r="X268" s="128">
        <v>21.0</v>
      </c>
      <c r="Y268" s="128">
        <v>903.8916832500033</v>
      </c>
      <c r="Z268" s="141" t="s">
        <v>98</v>
      </c>
      <c r="AA268" s="128">
        <v>907.4296789239835</v>
      </c>
      <c r="AB268" s="128">
        <v>14.0</v>
      </c>
      <c r="AC268" s="142">
        <v>908.956092269824</v>
      </c>
      <c r="AD268" s="44" t="s">
        <v>248</v>
      </c>
      <c r="AE268" s="128">
        <v>951.4214037532748</v>
      </c>
      <c r="AF268" s="128">
        <v>20.0</v>
      </c>
      <c r="AG268" s="128">
        <v>954.7652727835714</v>
      </c>
      <c r="AH268" s="141" t="s">
        <v>112</v>
      </c>
      <c r="AI268" s="128">
        <v>968.7001848849701</v>
      </c>
      <c r="AJ268" s="128">
        <v>18.0</v>
      </c>
      <c r="AK268" s="142">
        <v>971.3171125251959</v>
      </c>
      <c r="AL268" s="44" t="s">
        <v>23</v>
      </c>
      <c r="AM268" s="128">
        <v>1313.2252818781978</v>
      </c>
      <c r="AN268" s="128">
        <v>37.0</v>
      </c>
      <c r="AO268" s="128">
        <v>1321.8433317201004</v>
      </c>
      <c r="AP268" s="143">
        <v>11.0</v>
      </c>
      <c r="AQ268" s="128">
        <v>17.0</v>
      </c>
      <c r="AR268" s="44" t="s">
        <v>440</v>
      </c>
      <c r="AS268" s="44" t="s">
        <v>229</v>
      </c>
      <c r="AT268" s="44">
        <v>267.0</v>
      </c>
      <c r="AU268" s="44"/>
      <c r="AW268" s="93"/>
      <c r="AY268" s="93"/>
      <c r="AZ268" s="93"/>
      <c r="BA268" s="93"/>
      <c r="BB268" s="155"/>
      <c r="BC268" s="93"/>
      <c r="BE268" s="93"/>
      <c r="BG268" s="93"/>
      <c r="BH268" s="93"/>
      <c r="BI268" s="93"/>
      <c r="BJ268" s="155"/>
      <c r="BK268" s="93"/>
    </row>
    <row r="269">
      <c r="A269" s="166">
        <v>44243.99141523148</v>
      </c>
      <c r="B269" s="141" t="s">
        <v>248</v>
      </c>
      <c r="C269" s="128">
        <v>954.7652727835714</v>
      </c>
      <c r="D269" s="128">
        <v>17.0</v>
      </c>
      <c r="E269" s="142">
        <v>950.8536614434822</v>
      </c>
      <c r="F269" s="44" t="s">
        <v>112</v>
      </c>
      <c r="G269" s="128">
        <v>971.3171125251959</v>
      </c>
      <c r="H269" s="128">
        <v>24.0</v>
      </c>
      <c r="I269" s="128">
        <v>969.4640828580301</v>
      </c>
      <c r="J269" s="141" t="s">
        <v>47</v>
      </c>
      <c r="K269" s="128">
        <v>1014.5009528354093</v>
      </c>
      <c r="L269" s="128">
        <v>15.0</v>
      </c>
      <c r="M269" s="142">
        <v>1009.8592289054172</v>
      </c>
      <c r="N269" s="44" t="s">
        <v>92</v>
      </c>
      <c r="O269" s="128">
        <v>1043.5845325812948</v>
      </c>
      <c r="P269" s="128">
        <v>19.0</v>
      </c>
      <c r="Q269" s="128">
        <v>1040.0978314637446</v>
      </c>
      <c r="R269" s="141" t="s">
        <v>107</v>
      </c>
      <c r="S269" s="128">
        <v>1059.6582415969556</v>
      </c>
      <c r="T269" s="128">
        <v>17.0</v>
      </c>
      <c r="U269" s="142">
        <v>1055.5513076517527</v>
      </c>
      <c r="V269" s="44" t="s">
        <v>123</v>
      </c>
      <c r="W269" s="128">
        <v>891.2286941813146</v>
      </c>
      <c r="X269" s="128">
        <v>9.0</v>
      </c>
      <c r="Y269" s="128">
        <v>891.6403236095376</v>
      </c>
      <c r="Z269" s="141" t="s">
        <v>61</v>
      </c>
      <c r="AA269" s="128">
        <v>903.8916832500033</v>
      </c>
      <c r="AB269" s="128">
        <v>18.0</v>
      </c>
      <c r="AC269" s="142">
        <v>906.9528079005577</v>
      </c>
      <c r="AD269" s="44" t="s">
        <v>90</v>
      </c>
      <c r="AE269" s="128">
        <v>946.7381677856031</v>
      </c>
      <c r="AF269" s="128">
        <v>13.0</v>
      </c>
      <c r="AG269" s="128">
        <v>948.1495810067374</v>
      </c>
      <c r="AH269" s="141" t="s">
        <v>27</v>
      </c>
      <c r="AI269" s="128">
        <v>1012.1186889322025</v>
      </c>
      <c r="AJ269" s="128">
        <v>28.0</v>
      </c>
      <c r="AK269" s="142">
        <v>1017.8634407177227</v>
      </c>
      <c r="AL269" s="44" t="s">
        <v>23</v>
      </c>
      <c r="AM269" s="128">
        <v>1321.8433317201004</v>
      </c>
      <c r="AN269" s="128">
        <v>34.0</v>
      </c>
      <c r="AO269" s="128">
        <v>1329.2144126346686</v>
      </c>
      <c r="AP269" s="143">
        <v>12.0</v>
      </c>
      <c r="AQ269" s="128">
        <v>16.0</v>
      </c>
      <c r="AR269" s="44" t="s">
        <v>441</v>
      </c>
      <c r="AS269" s="44" t="s">
        <v>231</v>
      </c>
      <c r="AT269" s="44">
        <v>268.0</v>
      </c>
      <c r="AU269" s="44"/>
      <c r="AW269" s="93"/>
      <c r="AY269" s="93"/>
      <c r="AZ269" s="93"/>
      <c r="BA269" s="93"/>
      <c r="BB269" s="155"/>
      <c r="BC269" s="93"/>
      <c r="BE269" s="93"/>
      <c r="BG269" s="93"/>
      <c r="BH269" s="93"/>
      <c r="BI269" s="93"/>
      <c r="BJ269" s="155"/>
      <c r="BK269" s="93"/>
    </row>
    <row r="270">
      <c r="A270" s="166">
        <v>44244.03018134259</v>
      </c>
      <c r="B270" s="141" t="s">
        <v>123</v>
      </c>
      <c r="C270" s="128">
        <v>891.6403236095376</v>
      </c>
      <c r="D270" s="128">
        <v>11.0</v>
      </c>
      <c r="E270" s="142">
        <v>893.0648937173912</v>
      </c>
      <c r="F270" s="44" t="s">
        <v>61</v>
      </c>
      <c r="G270" s="128">
        <v>906.9528079005577</v>
      </c>
      <c r="H270" s="128">
        <v>20.0</v>
      </c>
      <c r="I270" s="128">
        <v>912.044271490638</v>
      </c>
      <c r="J270" s="141" t="s">
        <v>248</v>
      </c>
      <c r="K270" s="128">
        <v>950.8536614434822</v>
      </c>
      <c r="L270" s="128">
        <v>25.0</v>
      </c>
      <c r="M270" s="142">
        <v>957.8218268757897</v>
      </c>
      <c r="N270" s="44" t="s">
        <v>23</v>
      </c>
      <c r="O270" s="128">
        <v>1329.2144126346686</v>
      </c>
      <c r="P270" s="128">
        <v>25.0</v>
      </c>
      <c r="Q270" s="128">
        <v>1335.7302135044272</v>
      </c>
      <c r="R270" s="148"/>
      <c r="U270" s="149"/>
      <c r="V270" s="44" t="s">
        <v>112</v>
      </c>
      <c r="W270" s="128">
        <v>969.4640828580301</v>
      </c>
      <c r="X270" s="128">
        <v>20.0</v>
      </c>
      <c r="Y270" s="128">
        <v>965.8320882407897</v>
      </c>
      <c r="Z270" s="141" t="s">
        <v>47</v>
      </c>
      <c r="AA270" s="128">
        <v>1009.8592289054172</v>
      </c>
      <c r="AB270" s="128">
        <v>17.0</v>
      </c>
      <c r="AC270" s="142">
        <v>1004.8694928093286</v>
      </c>
      <c r="AD270" s="44" t="s">
        <v>92</v>
      </c>
      <c r="AE270" s="128">
        <v>1040.0978314637446</v>
      </c>
      <c r="AF270" s="128">
        <v>17.0</v>
      </c>
      <c r="AG270" s="128">
        <v>1035.046539803361</v>
      </c>
      <c r="AH270" s="141" t="s">
        <v>107</v>
      </c>
      <c r="AI270" s="128">
        <v>1055.5513076517527</v>
      </c>
      <c r="AJ270" s="128">
        <v>14.0</v>
      </c>
      <c r="AK270" s="142">
        <v>1049.2243300254654</v>
      </c>
      <c r="AP270" s="143">
        <v>16.0</v>
      </c>
      <c r="AQ270" s="128">
        <v>12.0</v>
      </c>
      <c r="AR270" s="44" t="s">
        <v>442</v>
      </c>
      <c r="AS270" s="44" t="s">
        <v>290</v>
      </c>
      <c r="AT270" s="44">
        <v>269.0</v>
      </c>
      <c r="AU270" s="44"/>
      <c r="AW270" s="93"/>
      <c r="AY270" s="93"/>
      <c r="AZ270" s="93"/>
      <c r="BA270" s="93"/>
      <c r="BB270" s="155"/>
      <c r="BC270" s="93"/>
      <c r="BE270" s="93"/>
      <c r="BG270" s="93"/>
      <c r="BH270" s="93"/>
      <c r="BI270" s="93"/>
      <c r="BJ270" s="155"/>
      <c r="BK270" s="93"/>
    </row>
    <row r="271">
      <c r="A271" s="166">
        <v>44244.05812287037</v>
      </c>
      <c r="B271" s="141" t="s">
        <v>123</v>
      </c>
      <c r="C271" s="128">
        <v>893.0648937173912</v>
      </c>
      <c r="D271" s="128">
        <v>10.0</v>
      </c>
      <c r="E271" s="142">
        <v>876.0959949607553</v>
      </c>
      <c r="F271" s="44" t="s">
        <v>107</v>
      </c>
      <c r="G271" s="128">
        <v>1049.2243300254654</v>
      </c>
      <c r="H271" s="128">
        <v>21.0</v>
      </c>
      <c r="I271" s="128">
        <v>1042.1932287821014</v>
      </c>
      <c r="J271" s="148"/>
      <c r="M271" s="149"/>
      <c r="R271" s="148"/>
      <c r="U271" s="149"/>
      <c r="V271" s="44" t="s">
        <v>61</v>
      </c>
      <c r="W271" s="128">
        <v>912.044271490638</v>
      </c>
      <c r="X271" s="128">
        <v>22.0</v>
      </c>
      <c r="Y271" s="128">
        <v>927.3151608036655</v>
      </c>
      <c r="Z271" s="141" t="s">
        <v>112</v>
      </c>
      <c r="AA271" s="128">
        <v>965.8320882407897</v>
      </c>
      <c r="AB271" s="128">
        <v>16.0</v>
      </c>
      <c r="AC271" s="142">
        <v>974.5611989277622</v>
      </c>
      <c r="AH271" s="148"/>
      <c r="AK271" s="149"/>
      <c r="AP271" s="143">
        <v>11.0</v>
      </c>
      <c r="AQ271" s="128">
        <v>17.0</v>
      </c>
      <c r="AS271" s="44" t="s">
        <v>255</v>
      </c>
      <c r="AT271" s="44">
        <v>270.0</v>
      </c>
      <c r="AU271" s="44"/>
      <c r="AW271" s="93"/>
      <c r="AY271" s="93"/>
      <c r="AZ271" s="93"/>
      <c r="BA271" s="93"/>
      <c r="BB271" s="155"/>
      <c r="BC271" s="93"/>
      <c r="BE271" s="93"/>
      <c r="BG271" s="93"/>
      <c r="BH271" s="93"/>
      <c r="BI271" s="93"/>
      <c r="BJ271" s="155"/>
      <c r="BK271" s="93"/>
    </row>
    <row r="272">
      <c r="A272" s="166">
        <v>44244.91689548611</v>
      </c>
      <c r="B272" s="141" t="s">
        <v>100</v>
      </c>
      <c r="C272" s="128">
        <v>970.0221325605056</v>
      </c>
      <c r="D272" s="128">
        <v>16.0</v>
      </c>
      <c r="E272" s="142">
        <v>977.2183789899979</v>
      </c>
      <c r="F272" s="44" t="s">
        <v>27</v>
      </c>
      <c r="G272" s="128">
        <v>1017.8634407177227</v>
      </c>
      <c r="H272" s="128">
        <v>15.0</v>
      </c>
      <c r="I272" s="128">
        <v>1024.023575089363</v>
      </c>
      <c r="J272" s="141" t="s">
        <v>92</v>
      </c>
      <c r="K272" s="128">
        <v>1035.046539803361</v>
      </c>
      <c r="L272" s="128">
        <v>26.0</v>
      </c>
      <c r="M272" s="142">
        <v>1049.6901590022285</v>
      </c>
      <c r="R272" s="148"/>
      <c r="U272" s="149"/>
      <c r="V272" s="44" t="s">
        <v>98</v>
      </c>
      <c r="W272" s="128">
        <v>908.956092269824</v>
      </c>
      <c r="X272" s="128">
        <v>10.0</v>
      </c>
      <c r="Y272" s="128">
        <v>895.5679473869345</v>
      </c>
      <c r="Z272" s="141" t="s">
        <v>61</v>
      </c>
      <c r="AA272" s="128">
        <v>927.3151608036655</v>
      </c>
      <c r="AB272" s="128">
        <v>17.0</v>
      </c>
      <c r="AC272" s="142">
        <v>919.2412790675437</v>
      </c>
      <c r="AD272" s="44" t="s">
        <v>23</v>
      </c>
      <c r="AE272" s="128">
        <v>1335.7302135044272</v>
      </c>
      <c r="AF272" s="128">
        <v>20.0</v>
      </c>
      <c r="AG272" s="128">
        <v>1329.1922401234385</v>
      </c>
      <c r="AH272" s="148"/>
      <c r="AK272" s="149"/>
      <c r="AP272" s="143">
        <v>17.0</v>
      </c>
      <c r="AQ272" s="128">
        <v>11.0</v>
      </c>
      <c r="AS272" s="44" t="s">
        <v>443</v>
      </c>
      <c r="AT272" s="44">
        <v>271.0</v>
      </c>
      <c r="AU272" s="44"/>
      <c r="AW272" s="93"/>
      <c r="AY272" s="93"/>
      <c r="AZ272" s="93"/>
      <c r="BA272" s="93"/>
      <c r="BB272" s="155"/>
      <c r="BC272" s="93"/>
      <c r="BE272" s="93"/>
      <c r="BG272" s="93"/>
      <c r="BH272" s="93"/>
      <c r="BI272" s="93"/>
      <c r="BJ272" s="155"/>
      <c r="BK272" s="93"/>
    </row>
    <row r="273">
      <c r="A273" s="166">
        <v>44244.978626724536</v>
      </c>
      <c r="B273" s="141" t="s">
        <v>61</v>
      </c>
      <c r="C273" s="128">
        <v>919.2412790675437</v>
      </c>
      <c r="D273" s="128">
        <v>19.0</v>
      </c>
      <c r="E273" s="142">
        <v>921.8022901111817</v>
      </c>
      <c r="F273" s="44" t="s">
        <v>112</v>
      </c>
      <c r="G273" s="128">
        <v>974.5611989277622</v>
      </c>
      <c r="H273" s="128">
        <v>23.0</v>
      </c>
      <c r="I273" s="128">
        <v>977.9681585287109</v>
      </c>
      <c r="J273" s="141" t="s">
        <v>121</v>
      </c>
      <c r="K273" s="128">
        <v>1000.0</v>
      </c>
      <c r="L273" s="128">
        <v>14.0</v>
      </c>
      <c r="M273" s="142">
        <v>1001.1023355148509</v>
      </c>
      <c r="N273" s="44" t="s">
        <v>23</v>
      </c>
      <c r="O273" s="128">
        <v>1329.1922401234385</v>
      </c>
      <c r="P273" s="128">
        <v>30.0</v>
      </c>
      <c r="Q273" s="128">
        <v>1334.1219339640008</v>
      </c>
      <c r="R273" s="148"/>
      <c r="U273" s="149"/>
      <c r="V273" s="44" t="s">
        <v>444</v>
      </c>
      <c r="W273" s="128">
        <v>1000.0</v>
      </c>
      <c r="X273" s="128">
        <v>13.0</v>
      </c>
      <c r="Y273" s="128">
        <v>995.2803239570674</v>
      </c>
      <c r="Z273" s="141" t="s">
        <v>47</v>
      </c>
      <c r="AA273" s="128">
        <v>1004.8694928093286</v>
      </c>
      <c r="AB273" s="128">
        <v>25.0</v>
      </c>
      <c r="AC273" s="142">
        <v>1003.141215132121</v>
      </c>
      <c r="AD273" s="44" t="s">
        <v>27</v>
      </c>
      <c r="AE273" s="128">
        <v>1024.023575089363</v>
      </c>
      <c r="AF273" s="128">
        <v>27.0</v>
      </c>
      <c r="AG273" s="128">
        <v>1022.7645309770551</v>
      </c>
      <c r="AH273" s="141" t="s">
        <v>92</v>
      </c>
      <c r="AI273" s="128">
        <v>1049.6901590022285</v>
      </c>
      <c r="AJ273" s="128">
        <v>15.0</v>
      </c>
      <c r="AK273" s="142">
        <v>1045.3971568346765</v>
      </c>
      <c r="AP273" s="143">
        <v>17.0</v>
      </c>
      <c r="AQ273" s="128">
        <v>11.0</v>
      </c>
      <c r="AS273" s="44" t="s">
        <v>229</v>
      </c>
      <c r="AT273" s="44">
        <v>272.0</v>
      </c>
      <c r="AU273" s="44"/>
      <c r="AW273" s="93"/>
      <c r="AY273" s="93"/>
      <c r="AZ273" s="93"/>
      <c r="BA273" s="93"/>
      <c r="BB273" s="155"/>
      <c r="BC273" s="93"/>
      <c r="BE273" s="93"/>
      <c r="BG273" s="93"/>
      <c r="BH273" s="93"/>
      <c r="BI273" s="93"/>
      <c r="BJ273" s="155"/>
      <c r="BK273" s="93"/>
    </row>
    <row r="274">
      <c r="A274" s="166">
        <v>44245.02540375</v>
      </c>
      <c r="B274" s="141" t="s">
        <v>61</v>
      </c>
      <c r="C274" s="128">
        <v>921.8022901111817</v>
      </c>
      <c r="D274" s="128">
        <v>7.0</v>
      </c>
      <c r="E274" s="142">
        <v>922.1647197396</v>
      </c>
      <c r="F274" s="44" t="s">
        <v>444</v>
      </c>
      <c r="G274" s="128">
        <v>995.2803239570674</v>
      </c>
      <c r="H274" s="128">
        <v>19.0</v>
      </c>
      <c r="I274" s="128">
        <v>998.7962905580086</v>
      </c>
      <c r="J274" s="141" t="s">
        <v>31</v>
      </c>
      <c r="K274" s="128">
        <v>1343.8373048474696</v>
      </c>
      <c r="L274" s="128">
        <v>29.0</v>
      </c>
      <c r="M274" s="142">
        <v>1349.9589086181102</v>
      </c>
      <c r="R274" s="148"/>
      <c r="U274" s="149"/>
      <c r="V274" s="44" t="s">
        <v>47</v>
      </c>
      <c r="W274" s="128">
        <v>1003.141215132121</v>
      </c>
      <c r="X274" s="128">
        <v>13.0</v>
      </c>
      <c r="Y274" s="128">
        <v>998.8184041490932</v>
      </c>
      <c r="Z274" s="141" t="s">
        <v>27</v>
      </c>
      <c r="AA274" s="128">
        <v>1022.7645309770551</v>
      </c>
      <c r="AB274" s="128">
        <v>21.0</v>
      </c>
      <c r="AC274" s="142">
        <v>1020.6345393403093</v>
      </c>
      <c r="AD274" s="44" t="s">
        <v>92</v>
      </c>
      <c r="AE274" s="128">
        <v>1045.3971568346765</v>
      </c>
      <c r="AF274" s="128">
        <v>16.0</v>
      </c>
      <c r="AG274" s="128">
        <v>1041.84995945445</v>
      </c>
      <c r="AH274" s="148"/>
      <c r="AK274" s="149"/>
      <c r="AP274" s="143">
        <v>16.0</v>
      </c>
      <c r="AQ274" s="128">
        <v>12.0</v>
      </c>
      <c r="AS274" s="44" t="s">
        <v>229</v>
      </c>
      <c r="AT274" s="44">
        <v>273.0</v>
      </c>
      <c r="AU274" s="44"/>
      <c r="AW274" s="93"/>
      <c r="AY274" s="93"/>
      <c r="AZ274" s="93"/>
      <c r="BA274" s="93"/>
      <c r="BB274" s="155"/>
      <c r="BC274" s="93"/>
      <c r="BE274" s="93"/>
      <c r="BG274" s="93"/>
      <c r="BH274" s="93"/>
      <c r="BI274" s="93"/>
      <c r="BJ274" s="155"/>
      <c r="BK274" s="93"/>
    </row>
    <row r="275">
      <c r="A275" s="166">
        <v>44245.93669649305</v>
      </c>
      <c r="B275" s="141" t="s">
        <v>228</v>
      </c>
      <c r="C275" s="128">
        <v>923.5668683740795</v>
      </c>
      <c r="D275" s="128">
        <v>7.0</v>
      </c>
      <c r="E275" s="142">
        <v>922.4305048631505</v>
      </c>
      <c r="F275" s="44" t="s">
        <v>112</v>
      </c>
      <c r="G275" s="128">
        <v>977.9681585287109</v>
      </c>
      <c r="H275" s="128">
        <v>24.0</v>
      </c>
      <c r="I275" s="128">
        <v>983.660894491418</v>
      </c>
      <c r="J275" s="141" t="s">
        <v>27</v>
      </c>
      <c r="K275" s="128">
        <v>1020.6345393403093</v>
      </c>
      <c r="L275" s="128">
        <v>15.0</v>
      </c>
      <c r="M275" s="142">
        <v>1022.432753308865</v>
      </c>
      <c r="N275" s="44" t="s">
        <v>23</v>
      </c>
      <c r="O275" s="128">
        <v>1334.1219339640008</v>
      </c>
      <c r="P275" s="128">
        <v>44.0</v>
      </c>
      <c r="Q275" s="128">
        <v>1347.7673475436668</v>
      </c>
      <c r="R275" s="148"/>
      <c r="U275" s="149"/>
      <c r="V275" s="44" t="s">
        <v>364</v>
      </c>
      <c r="W275" s="128">
        <v>946.6524802107914</v>
      </c>
      <c r="X275" s="128">
        <v>3.0</v>
      </c>
      <c r="Y275" s="128">
        <v>935.456987022787</v>
      </c>
      <c r="Z275" s="141" t="s">
        <v>248</v>
      </c>
      <c r="AA275" s="128">
        <v>957.8218268757897</v>
      </c>
      <c r="AB275" s="128">
        <v>24.0</v>
      </c>
      <c r="AC275" s="142">
        <v>955.3343442241005</v>
      </c>
      <c r="AD275" s="44" t="s">
        <v>47</v>
      </c>
      <c r="AE275" s="128">
        <v>998.8184041490932</v>
      </c>
      <c r="AF275" s="128">
        <v>19.0</v>
      </c>
      <c r="AG275" s="128">
        <v>994.1167742259637</v>
      </c>
      <c r="AH275" s="141" t="s">
        <v>31</v>
      </c>
      <c r="AI275" s="128">
        <v>1349.9589086181102</v>
      </c>
      <c r="AJ275" s="128">
        <v>27.0</v>
      </c>
      <c r="AK275" s="142">
        <v>1348.3435143809334</v>
      </c>
      <c r="AP275" s="143">
        <v>16.0</v>
      </c>
      <c r="AQ275" s="128">
        <v>12.0</v>
      </c>
      <c r="AR275" s="44" t="s">
        <v>445</v>
      </c>
      <c r="AS275" s="44" t="s">
        <v>446</v>
      </c>
      <c r="AT275" s="44">
        <v>274.0</v>
      </c>
      <c r="AU275" s="44"/>
      <c r="AW275" s="93"/>
      <c r="AY275" s="93"/>
      <c r="AZ275" s="93"/>
      <c r="BA275" s="93"/>
      <c r="BB275" s="155"/>
      <c r="BC275" s="93"/>
      <c r="BE275" s="93"/>
      <c r="BG275" s="93"/>
      <c r="BH275" s="93"/>
      <c r="BI275" s="93"/>
      <c r="BJ275" s="155"/>
      <c r="BK275" s="93"/>
    </row>
    <row r="276">
      <c r="A276" s="166">
        <v>44245.97646636574</v>
      </c>
      <c r="B276" s="141" t="s">
        <v>90</v>
      </c>
      <c r="C276" s="128">
        <v>948.1495810067374</v>
      </c>
      <c r="D276" s="128">
        <v>15.0</v>
      </c>
      <c r="E276" s="142">
        <v>949.2843899440813</v>
      </c>
      <c r="F276" s="44" t="s">
        <v>112</v>
      </c>
      <c r="G276" s="128">
        <v>983.660894491418</v>
      </c>
      <c r="H276" s="128">
        <v>22.0</v>
      </c>
      <c r="I276" s="128">
        <v>986.0903229576317</v>
      </c>
      <c r="J276" s="141" t="s">
        <v>31</v>
      </c>
      <c r="K276" s="128">
        <v>1348.3435143809334</v>
      </c>
      <c r="L276" s="128">
        <v>28.0</v>
      </c>
      <c r="M276" s="142">
        <v>1351.779276977376</v>
      </c>
      <c r="R276" s="148"/>
      <c r="U276" s="149"/>
      <c r="V276" s="44" t="s">
        <v>47</v>
      </c>
      <c r="W276" s="128">
        <v>994.1167742259637</v>
      </c>
      <c r="X276" s="128">
        <v>15.0</v>
      </c>
      <c r="Y276" s="128">
        <v>991.7941972880934</v>
      </c>
      <c r="Z276" s="141" t="s">
        <v>444</v>
      </c>
      <c r="AA276" s="128">
        <v>998.7962905580086</v>
      </c>
      <c r="AB276" s="128">
        <v>11.0</v>
      </c>
      <c r="AC276" s="142">
        <v>995.6910031094893</v>
      </c>
      <c r="AD276" s="44" t="s">
        <v>27</v>
      </c>
      <c r="AE276" s="128">
        <v>1022.432753308865</v>
      </c>
      <c r="AF276" s="128">
        <v>19.0</v>
      </c>
      <c r="AG276" s="128">
        <v>1020.8606176952546</v>
      </c>
      <c r="AH276" s="148"/>
      <c r="AK276" s="149"/>
      <c r="AP276" s="143">
        <v>17.0</v>
      </c>
      <c r="AQ276" s="128">
        <v>10.0</v>
      </c>
      <c r="AS276" s="44" t="s">
        <v>295</v>
      </c>
      <c r="AT276" s="44">
        <v>275.0</v>
      </c>
      <c r="AU276" s="44"/>
      <c r="AW276" s="93"/>
      <c r="AY276" s="93"/>
      <c r="AZ276" s="93"/>
      <c r="BA276" s="93"/>
      <c r="BB276" s="155"/>
      <c r="BC276" s="93"/>
      <c r="BE276" s="93"/>
      <c r="BG276" s="93"/>
      <c r="BH276" s="93"/>
      <c r="BI276" s="93"/>
      <c r="BJ276" s="155"/>
      <c r="BK276" s="93"/>
    </row>
    <row r="277">
      <c r="A277" s="166">
        <v>44246.01829234954</v>
      </c>
      <c r="B277" s="141" t="s">
        <v>90</v>
      </c>
      <c r="C277" s="128">
        <v>949.2843899440813</v>
      </c>
      <c r="D277" s="128">
        <v>15.0</v>
      </c>
      <c r="E277" s="142">
        <v>950.7169006569314</v>
      </c>
      <c r="F277" s="44" t="s">
        <v>248</v>
      </c>
      <c r="G277" s="128">
        <v>955.3343442241005</v>
      </c>
      <c r="H277" s="128">
        <v>12.0</v>
      </c>
      <c r="I277" s="128">
        <v>956.1291183159944</v>
      </c>
      <c r="J277" s="141" t="s">
        <v>112</v>
      </c>
      <c r="K277" s="128">
        <v>986.0903229576317</v>
      </c>
      <c r="L277" s="128">
        <v>24.0</v>
      </c>
      <c r="M277" s="142">
        <v>989.3272877866001</v>
      </c>
      <c r="N277" s="44" t="s">
        <v>31</v>
      </c>
      <c r="O277" s="128">
        <v>1351.779276977376</v>
      </c>
      <c r="P277" s="128">
        <v>31.0</v>
      </c>
      <c r="Q277" s="128">
        <v>1356.3150273436636</v>
      </c>
      <c r="R277" s="148"/>
      <c r="U277" s="149"/>
      <c r="V277" s="44" t="s">
        <v>444</v>
      </c>
      <c r="W277" s="128">
        <v>995.6910031094893</v>
      </c>
      <c r="X277" s="128">
        <v>10.0</v>
      </c>
      <c r="Y277" s="128">
        <v>991.391688702124</v>
      </c>
      <c r="Z277" s="141" t="s">
        <v>447</v>
      </c>
      <c r="AA277" s="128">
        <v>1000.0</v>
      </c>
      <c r="AB277" s="128">
        <v>21.0</v>
      </c>
      <c r="AC277" s="142">
        <v>997.9862657971629</v>
      </c>
      <c r="AD277" s="44" t="s">
        <v>27</v>
      </c>
      <c r="AE277" s="128">
        <v>1020.8606176952546</v>
      </c>
      <c r="AF277" s="128">
        <v>24.0</v>
      </c>
      <c r="AG277" s="128">
        <v>1019.445117478253</v>
      </c>
      <c r="AH277" s="141" t="s">
        <v>92</v>
      </c>
      <c r="AI277" s="128">
        <v>1041.84995945445</v>
      </c>
      <c r="AJ277" s="128">
        <v>20.0</v>
      </c>
      <c r="AK277" s="142">
        <v>1039.5785082816542</v>
      </c>
      <c r="AP277" s="143">
        <v>16.0</v>
      </c>
      <c r="AQ277" s="128">
        <v>12.0</v>
      </c>
      <c r="AS277" s="44" t="s">
        <v>413</v>
      </c>
      <c r="AT277" s="44">
        <v>276.0</v>
      </c>
      <c r="AU277" s="44"/>
      <c r="AW277" s="93"/>
      <c r="AY277" s="93"/>
      <c r="AZ277" s="93"/>
      <c r="BA277" s="93"/>
      <c r="BB277" s="155"/>
      <c r="BC277" s="93"/>
      <c r="BE277" s="93"/>
      <c r="BG277" s="93"/>
      <c r="BH277" s="93"/>
      <c r="BI277" s="93"/>
      <c r="BJ277" s="155"/>
      <c r="BK277" s="93"/>
    </row>
    <row r="278">
      <c r="A278" s="166">
        <v>44246.94760269676</v>
      </c>
      <c r="B278" s="141" t="s">
        <v>61</v>
      </c>
      <c r="C278" s="128">
        <v>922.1647197396</v>
      </c>
      <c r="D278" s="128">
        <v>16.0</v>
      </c>
      <c r="E278" s="142">
        <v>909.0794769028425</v>
      </c>
      <c r="F278" s="44" t="s">
        <v>364</v>
      </c>
      <c r="G278" s="128">
        <v>935.456987022787</v>
      </c>
      <c r="H278" s="128">
        <v>6.0</v>
      </c>
      <c r="I278" s="128">
        <v>910.9864357717847</v>
      </c>
      <c r="J278" s="141" t="s">
        <v>90</v>
      </c>
      <c r="K278" s="128">
        <v>950.7169006569314</v>
      </c>
      <c r="L278" s="128">
        <v>20.0</v>
      </c>
      <c r="M278" s="142">
        <v>941.8525768813125</v>
      </c>
      <c r="N278" s="44" t="s">
        <v>31</v>
      </c>
      <c r="O278" s="128">
        <v>1356.3150273436636</v>
      </c>
      <c r="P278" s="128">
        <v>22.0</v>
      </c>
      <c r="Q278" s="128">
        <v>1348.735145207042</v>
      </c>
      <c r="R278" s="148"/>
      <c r="U278" s="149"/>
      <c r="V278" s="44" t="s">
        <v>112</v>
      </c>
      <c r="W278" s="128">
        <v>989.3272877866001</v>
      </c>
      <c r="X278" s="128">
        <v>14.0</v>
      </c>
      <c r="Y278" s="128">
        <v>992.5996363461954</v>
      </c>
      <c r="Z278" s="141" t="s">
        <v>47</v>
      </c>
      <c r="AA278" s="128">
        <v>991.7941972880934</v>
      </c>
      <c r="AB278" s="128">
        <v>18.0</v>
      </c>
      <c r="AC278" s="142">
        <v>999.5419676380152</v>
      </c>
      <c r="AD278" s="44" t="s">
        <v>27</v>
      </c>
      <c r="AE278" s="128">
        <v>1019.445117478253</v>
      </c>
      <c r="AF278" s="128">
        <v>32.0</v>
      </c>
      <c r="AG278" s="128">
        <v>1042.696352962776</v>
      </c>
      <c r="AH278" s="141" t="s">
        <v>92</v>
      </c>
      <c r="AI278" s="128">
        <v>1039.5785082816542</v>
      </c>
      <c r="AJ278" s="128">
        <v>29.0</v>
      </c>
      <c r="AK278" s="142">
        <v>1059.3071538876143</v>
      </c>
      <c r="AP278" s="143">
        <v>7.0</v>
      </c>
      <c r="AQ278" s="128">
        <v>21.0</v>
      </c>
      <c r="AR278" s="44" t="s">
        <v>448</v>
      </c>
      <c r="AS278" s="44" t="s">
        <v>403</v>
      </c>
      <c r="AT278" s="44">
        <v>277.0</v>
      </c>
      <c r="AU278" s="44"/>
      <c r="AW278" s="93"/>
      <c r="AY278" s="93"/>
      <c r="AZ278" s="93"/>
      <c r="BA278" s="93"/>
      <c r="BB278" s="155"/>
      <c r="BC278" s="93"/>
      <c r="BE278" s="93"/>
      <c r="BG278" s="93"/>
      <c r="BH278" s="93"/>
      <c r="BI278" s="93"/>
      <c r="BJ278" s="155"/>
      <c r="BK278" s="93"/>
    </row>
    <row r="279">
      <c r="A279" s="166">
        <v>44246.993805879625</v>
      </c>
      <c r="B279" s="141" t="s">
        <v>112</v>
      </c>
      <c r="C279" s="128">
        <v>992.5996363461954</v>
      </c>
      <c r="D279" s="128">
        <v>24.0</v>
      </c>
      <c r="E279" s="142">
        <v>1000.2683434115261</v>
      </c>
      <c r="F279" s="44" t="s">
        <v>121</v>
      </c>
      <c r="G279" s="128">
        <v>1001.1023355148509</v>
      </c>
      <c r="H279" s="128">
        <v>12.0</v>
      </c>
      <c r="I279" s="128">
        <v>1000.7206241380469</v>
      </c>
      <c r="J279" s="141" t="s">
        <v>236</v>
      </c>
      <c r="K279" s="128">
        <v>1017.3385014162793</v>
      </c>
      <c r="L279" s="128">
        <v>20.0</v>
      </c>
      <c r="M279" s="142">
        <v>1022.2024101810431</v>
      </c>
      <c r="N279" s="44" t="s">
        <v>27</v>
      </c>
      <c r="O279" s="128">
        <v>1042.696352962776</v>
      </c>
      <c r="P279" s="128">
        <v>24.0</v>
      </c>
      <c r="Q279" s="128">
        <v>1050.1113561938648</v>
      </c>
      <c r="R279" s="141" t="s">
        <v>31</v>
      </c>
      <c r="S279" s="128">
        <v>1348.735145207042</v>
      </c>
      <c r="T279" s="128">
        <v>44.0</v>
      </c>
      <c r="U279" s="142">
        <v>1369.1692375226628</v>
      </c>
      <c r="V279" s="44" t="s">
        <v>47</v>
      </c>
      <c r="W279" s="128">
        <v>999.5419676380152</v>
      </c>
      <c r="X279" s="128">
        <v>39.0</v>
      </c>
      <c r="Y279" s="128">
        <v>1004.7348328631466</v>
      </c>
      <c r="Z279" s="141" t="s">
        <v>127</v>
      </c>
      <c r="AA279" s="128">
        <v>1000.0</v>
      </c>
      <c r="AB279" s="128">
        <v>6.0</v>
      </c>
      <c r="AC279" s="142">
        <v>983.1907860231015</v>
      </c>
      <c r="AD279" s="44" t="s">
        <v>129</v>
      </c>
      <c r="AE279" s="128">
        <v>1000.0</v>
      </c>
      <c r="AF279" s="128">
        <v>7.0</v>
      </c>
      <c r="AG279" s="128">
        <v>983.8574526897683</v>
      </c>
      <c r="AH279" s="141" t="s">
        <v>92</v>
      </c>
      <c r="AI279" s="128">
        <v>1059.3071538876143</v>
      </c>
      <c r="AJ279" s="128">
        <v>15.0</v>
      </c>
      <c r="AK279" s="142">
        <v>1048.28505666677</v>
      </c>
      <c r="AL279" s="44" t="s">
        <v>23</v>
      </c>
      <c r="AM279" s="128">
        <v>1347.7673475436668</v>
      </c>
      <c r="AN279" s="128">
        <v>30.0</v>
      </c>
      <c r="AO279" s="128">
        <v>1346.54834082651</v>
      </c>
      <c r="AP279" s="143">
        <v>19.0</v>
      </c>
      <c r="AQ279" s="128">
        <v>9.0</v>
      </c>
      <c r="AS279" s="44" t="s">
        <v>231</v>
      </c>
      <c r="AT279" s="44">
        <v>278.0</v>
      </c>
      <c r="AU279" s="44"/>
      <c r="AV279" s="44" t="s">
        <v>61</v>
      </c>
      <c r="AW279" s="142">
        <v>909.0794769028425</v>
      </c>
      <c r="AX279" s="44">
        <v>15.0</v>
      </c>
      <c r="AY279" s="145">
        <v>909.5</v>
      </c>
      <c r="AZ279" s="93"/>
      <c r="BA279" s="93"/>
      <c r="BB279" s="155"/>
      <c r="BC279" s="93"/>
      <c r="BD279" s="44" t="s">
        <v>110</v>
      </c>
      <c r="BE279" s="128">
        <v>933.1022432957001</v>
      </c>
      <c r="BF279" s="44">
        <v>16.0</v>
      </c>
      <c r="BG279" s="145">
        <v>922.1</v>
      </c>
      <c r="BH279" s="93"/>
      <c r="BI279" s="93"/>
      <c r="BJ279" s="155"/>
      <c r="BK279" s="93"/>
    </row>
    <row r="280">
      <c r="A280" s="166">
        <v>44247.03352362268</v>
      </c>
      <c r="B280" s="141" t="s">
        <v>98</v>
      </c>
      <c r="C280" s="128">
        <v>895.5679473869345</v>
      </c>
      <c r="D280" s="128">
        <v>23.0</v>
      </c>
      <c r="E280" s="142">
        <v>893.8850261991336</v>
      </c>
      <c r="F280" s="44" t="s">
        <v>129</v>
      </c>
      <c r="G280" s="128">
        <v>983.8574526897683</v>
      </c>
      <c r="H280" s="128">
        <v>7.0</v>
      </c>
      <c r="I280" s="128">
        <v>977.9664500766224</v>
      </c>
      <c r="J280" s="141" t="s">
        <v>47</v>
      </c>
      <c r="K280" s="128">
        <v>1004.7348328631466</v>
      </c>
      <c r="L280" s="128">
        <v>25.0</v>
      </c>
      <c r="M280" s="142">
        <v>1003.3087566640934</v>
      </c>
      <c r="R280" s="148"/>
      <c r="U280" s="149"/>
      <c r="V280" s="44" t="s">
        <v>110</v>
      </c>
      <c r="W280" s="128">
        <v>922.1022432957</v>
      </c>
      <c r="X280" s="128">
        <v>17.0</v>
      </c>
      <c r="Y280" s="128">
        <v>925.0305561028904</v>
      </c>
      <c r="Z280" s="141" t="s">
        <v>127</v>
      </c>
      <c r="AA280" s="128">
        <v>983.1907860231015</v>
      </c>
      <c r="AB280" s="128">
        <v>5.0</v>
      </c>
      <c r="AC280" s="142">
        <v>982.9906365791128</v>
      </c>
      <c r="AD280" s="44" t="s">
        <v>112</v>
      </c>
      <c r="AE280" s="128">
        <v>1000.2683434115261</v>
      </c>
      <c r="AF280" s="128">
        <v>31.0</v>
      </c>
      <c r="AG280" s="128">
        <v>1006.5401800483244</v>
      </c>
      <c r="AH280" s="148"/>
      <c r="AK280" s="149"/>
      <c r="AP280" s="143">
        <v>13.0</v>
      </c>
      <c r="AQ280" s="128">
        <v>15.0</v>
      </c>
      <c r="AS280" s="44" t="s">
        <v>244</v>
      </c>
      <c r="AT280" s="44">
        <v>279.0</v>
      </c>
      <c r="AU280" s="44"/>
      <c r="AW280" s="93"/>
      <c r="AY280" s="93"/>
      <c r="AZ280" s="93"/>
      <c r="BA280" s="93"/>
      <c r="BB280" s="155"/>
      <c r="BC280" s="93"/>
      <c r="BE280" s="93"/>
      <c r="BG280" s="93"/>
      <c r="BH280" s="93"/>
      <c r="BI280" s="93"/>
      <c r="BJ280" s="155"/>
      <c r="BK280" s="93"/>
    </row>
    <row r="281">
      <c r="A281" s="166">
        <v>44247.94698146991</v>
      </c>
      <c r="B281" s="141" t="s">
        <v>98</v>
      </c>
      <c r="C281" s="128">
        <v>893.8850261991336</v>
      </c>
      <c r="D281" s="128">
        <v>19.0</v>
      </c>
      <c r="E281" s="142">
        <v>900.9954742323706</v>
      </c>
      <c r="F281" s="44" t="s">
        <v>245</v>
      </c>
      <c r="G281" s="128">
        <v>1025.368725060218</v>
      </c>
      <c r="H281" s="128">
        <v>20.0</v>
      </c>
      <c r="I281" s="128">
        <v>1032.4005540275598</v>
      </c>
      <c r="J281" s="141" t="s">
        <v>92</v>
      </c>
      <c r="K281" s="128">
        <v>1048.28505666677</v>
      </c>
      <c r="L281" s="128">
        <v>18.0</v>
      </c>
      <c r="M281" s="142">
        <v>1054.1427796661912</v>
      </c>
      <c r="R281" s="148"/>
      <c r="U281" s="149"/>
      <c r="V281" s="44" t="s">
        <v>78</v>
      </c>
      <c r="W281" s="128">
        <v>954.2090987056695</v>
      </c>
      <c r="X281" s="128">
        <v>11.0</v>
      </c>
      <c r="Y281" s="128">
        <v>944.7021834097109</v>
      </c>
      <c r="Z281" s="141" t="s">
        <v>47</v>
      </c>
      <c r="AA281" s="128">
        <v>1003.3087566640934</v>
      </c>
      <c r="AB281" s="128">
        <v>24.0</v>
      </c>
      <c r="AC281" s="142">
        <v>1000.8448994619902</v>
      </c>
      <c r="AD281" s="44" t="s">
        <v>112</v>
      </c>
      <c r="AE281" s="128">
        <v>1006.5401800483244</v>
      </c>
      <c r="AF281" s="128">
        <v>14.0</v>
      </c>
      <c r="AG281" s="128">
        <v>998.5109525463862</v>
      </c>
      <c r="AH281" s="148"/>
      <c r="AK281" s="149"/>
      <c r="AP281" s="143">
        <v>16.0</v>
      </c>
      <c r="AQ281" s="128">
        <v>12.0</v>
      </c>
      <c r="AR281" s="44" t="s">
        <v>449</v>
      </c>
      <c r="AS281" s="44" t="s">
        <v>243</v>
      </c>
      <c r="AT281" s="44">
        <v>280.0</v>
      </c>
      <c r="AU281" s="44"/>
      <c r="AW281" s="93"/>
      <c r="AY281" s="93"/>
      <c r="AZ281" s="93"/>
      <c r="BA281" s="93"/>
      <c r="BB281" s="155"/>
      <c r="BC281" s="93"/>
      <c r="BE281" s="93"/>
      <c r="BG281" s="93"/>
      <c r="BH281" s="93"/>
      <c r="BI281" s="93"/>
      <c r="BJ281" s="155"/>
      <c r="BK281" s="93"/>
    </row>
    <row r="282">
      <c r="A282" s="166">
        <v>44248.02579327546</v>
      </c>
      <c r="B282" s="141" t="s">
        <v>129</v>
      </c>
      <c r="C282" s="128">
        <v>800.0</v>
      </c>
      <c r="D282" s="128">
        <v>13.0</v>
      </c>
      <c r="E282" s="142">
        <v>800.4503954745907</v>
      </c>
      <c r="F282" s="44" t="s">
        <v>98</v>
      </c>
      <c r="G282" s="128">
        <v>900.9954742323706</v>
      </c>
      <c r="H282" s="128">
        <v>22.0</v>
      </c>
      <c r="I282" s="128">
        <v>902.5753023173731</v>
      </c>
      <c r="J282" s="141" t="s">
        <v>90</v>
      </c>
      <c r="K282" s="128">
        <v>941.8525768813125</v>
      </c>
      <c r="L282" s="128">
        <v>13.0</v>
      </c>
      <c r="M282" s="142">
        <v>942.0145609090495</v>
      </c>
      <c r="N282" s="44" t="s">
        <v>112</v>
      </c>
      <c r="O282" s="128">
        <v>998.5109525463862</v>
      </c>
      <c r="P282" s="128">
        <v>26.0</v>
      </c>
      <c r="Q282" s="128">
        <v>1000.5491081114081</v>
      </c>
      <c r="R282" s="141" t="s">
        <v>23</v>
      </c>
      <c r="S282" s="128">
        <v>1346.54834082651</v>
      </c>
      <c r="T282" s="128">
        <v>45.0</v>
      </c>
      <c r="U282" s="142">
        <v>1351.3179776741579</v>
      </c>
      <c r="V282" s="44" t="s">
        <v>78</v>
      </c>
      <c r="W282" s="128">
        <v>944.7021834097109</v>
      </c>
      <c r="X282" s="128">
        <v>30.0</v>
      </c>
      <c r="Y282" s="128">
        <v>944.1229895925221</v>
      </c>
      <c r="Z282" s="141" t="s">
        <v>248</v>
      </c>
      <c r="AA282" s="128">
        <v>956.1291183159944</v>
      </c>
      <c r="AB282" s="128">
        <v>24.0</v>
      </c>
      <c r="AC282" s="142">
        <v>954.6348464717344</v>
      </c>
      <c r="AD282" s="44" t="s">
        <v>121</v>
      </c>
      <c r="AE282" s="128">
        <v>1000.7206241380469</v>
      </c>
      <c r="AF282" s="128">
        <v>13.0</v>
      </c>
      <c r="AG282" s="128">
        <v>997.5257245537093</v>
      </c>
      <c r="AH282" s="141" t="s">
        <v>47</v>
      </c>
      <c r="AI282" s="128">
        <v>1000.8448994619902</v>
      </c>
      <c r="AJ282" s="128">
        <v>25.0</v>
      </c>
      <c r="AK282" s="142">
        <v>999.4498765644355</v>
      </c>
      <c r="AL282" s="44" t="s">
        <v>27</v>
      </c>
      <c r="AM282" s="128">
        <v>1050.1113561938648</v>
      </c>
      <c r="AN282" s="128">
        <v>19.0</v>
      </c>
      <c r="AO282" s="128">
        <v>1047.774744337206</v>
      </c>
      <c r="AP282" s="143">
        <v>15.0</v>
      </c>
      <c r="AQ282" s="128">
        <v>13.0</v>
      </c>
      <c r="AR282" s="44" t="s">
        <v>450</v>
      </c>
      <c r="AS282" s="44" t="s">
        <v>266</v>
      </c>
      <c r="AT282" s="44">
        <v>281.0</v>
      </c>
      <c r="AU282" s="44"/>
      <c r="AV282" s="44" t="s">
        <v>451</v>
      </c>
      <c r="AW282" s="145">
        <v>800.0</v>
      </c>
      <c r="AX282" s="44">
        <v>8.0</v>
      </c>
      <c r="AY282" s="145">
        <v>800.01</v>
      </c>
      <c r="AZ282" s="93"/>
      <c r="BA282" s="93"/>
      <c r="BB282" s="155"/>
      <c r="BC282" s="93"/>
      <c r="BD282" s="44" t="s">
        <v>127</v>
      </c>
      <c r="BE282" s="145">
        <v>800.0</v>
      </c>
      <c r="BF282" s="44">
        <v>7.0</v>
      </c>
      <c r="BG282" s="145">
        <v>795.54</v>
      </c>
      <c r="BH282" s="93"/>
      <c r="BI282" s="93"/>
      <c r="BJ282" s="155"/>
      <c r="BK282" s="93"/>
    </row>
    <row r="283">
      <c r="A283" s="166">
        <v>44248.05856078704</v>
      </c>
      <c r="B283" s="141" t="s">
        <v>127</v>
      </c>
      <c r="C283" s="128">
        <v>795.54</v>
      </c>
      <c r="D283" s="128">
        <v>3.0</v>
      </c>
      <c r="E283" s="142">
        <v>793.3639755160217</v>
      </c>
      <c r="F283" s="44" t="s">
        <v>248</v>
      </c>
      <c r="G283" s="128">
        <v>954.6348464717344</v>
      </c>
      <c r="H283" s="128">
        <v>24.0</v>
      </c>
      <c r="I283" s="128">
        <v>958.7472619213146</v>
      </c>
      <c r="J283" s="141" t="s">
        <v>23</v>
      </c>
      <c r="K283" s="128">
        <v>1351.3179776741579</v>
      </c>
      <c r="L283" s="128">
        <v>43.0</v>
      </c>
      <c r="M283" s="142">
        <v>1361.381586708556</v>
      </c>
      <c r="R283" s="148"/>
      <c r="U283" s="149"/>
      <c r="V283" s="44" t="s">
        <v>129</v>
      </c>
      <c r="W283" s="128">
        <v>800.4503954745907</v>
      </c>
      <c r="X283" s="128">
        <v>10.0</v>
      </c>
      <c r="Y283" s="128">
        <v>794.9255479060969</v>
      </c>
      <c r="Z283" s="141" t="s">
        <v>47</v>
      </c>
      <c r="AA283" s="128">
        <v>999.4498765644355</v>
      </c>
      <c r="AB283" s="128">
        <v>20.0</v>
      </c>
      <c r="AC283" s="142">
        <v>996.7131989536351</v>
      </c>
      <c r="AD283" s="44" t="s">
        <v>112</v>
      </c>
      <c r="AE283" s="128">
        <v>1000.5491081114081</v>
      </c>
      <c r="AF283" s="128">
        <v>17.0</v>
      </c>
      <c r="AG283" s="128">
        <v>996.8106332907022</v>
      </c>
      <c r="AH283" s="148"/>
      <c r="AK283" s="149"/>
      <c r="AP283" s="143">
        <v>19.0</v>
      </c>
      <c r="AQ283" s="128">
        <v>9.0</v>
      </c>
      <c r="AR283" s="44" t="s">
        <v>452</v>
      </c>
      <c r="AS283" s="44" t="s">
        <v>229</v>
      </c>
      <c r="AT283" s="44">
        <v>282.0</v>
      </c>
      <c r="AU283" s="44"/>
      <c r="AW283" s="93"/>
      <c r="AY283" s="93"/>
      <c r="AZ283" s="93"/>
      <c r="BA283" s="93"/>
      <c r="BB283" s="155"/>
      <c r="BC283" s="93"/>
      <c r="BE283" s="93"/>
      <c r="BG283" s="93"/>
      <c r="BH283" s="93"/>
      <c r="BI283" s="93"/>
      <c r="BJ283" s="155"/>
      <c r="BK283" s="93"/>
    </row>
    <row r="284">
      <c r="A284" s="140">
        <v>44248.94305555556</v>
      </c>
      <c r="B284" s="141" t="s">
        <v>90</v>
      </c>
      <c r="C284" s="128">
        <v>942.0145609090495</v>
      </c>
      <c r="D284" s="128">
        <v>15.0</v>
      </c>
      <c r="E284" s="142">
        <v>935.134017083488</v>
      </c>
      <c r="F284" s="44" t="s">
        <v>47</v>
      </c>
      <c r="G284" s="128">
        <v>996.7131989536351</v>
      </c>
      <c r="H284" s="128">
        <v>18.0</v>
      </c>
      <c r="I284" s="128">
        <v>991.3280868664347</v>
      </c>
      <c r="J284" s="141" t="s">
        <v>92</v>
      </c>
      <c r="K284" s="128">
        <v>1054.1427796661912</v>
      </c>
      <c r="L284" s="128">
        <v>14.0</v>
      </c>
      <c r="M284" s="142">
        <v>1046.4084355789532</v>
      </c>
      <c r="R284" s="148"/>
      <c r="U284" s="149"/>
      <c r="V284" s="44" t="s">
        <v>61</v>
      </c>
      <c r="W284" s="128">
        <v>909.5</v>
      </c>
      <c r="X284" s="128">
        <v>16.0</v>
      </c>
      <c r="Y284" s="128">
        <v>914.2921053836748</v>
      </c>
      <c r="Z284" s="141" t="s">
        <v>107</v>
      </c>
      <c r="AA284" s="128">
        <v>1042.1932287821014</v>
      </c>
      <c r="AB284" s="128">
        <v>18.0</v>
      </c>
      <c r="AC284" s="142">
        <v>1047.581775623613</v>
      </c>
      <c r="AD284" s="44" t="s">
        <v>27</v>
      </c>
      <c r="AE284" s="128">
        <v>1047.774744337206</v>
      </c>
      <c r="AF284" s="128">
        <v>26.0</v>
      </c>
      <c r="AG284" s="128">
        <v>1057.5940921120196</v>
      </c>
      <c r="AH284" s="148"/>
      <c r="AK284" s="149"/>
      <c r="AP284" s="143">
        <v>12.0</v>
      </c>
      <c r="AQ284" s="128">
        <v>16.0</v>
      </c>
      <c r="AS284" s="44" t="s">
        <v>229</v>
      </c>
      <c r="AT284" s="44">
        <v>283.0</v>
      </c>
      <c r="AU284" s="44"/>
      <c r="AW284" s="93"/>
      <c r="AY284" s="93"/>
      <c r="AZ284" s="93"/>
      <c r="BA284" s="93"/>
      <c r="BB284" s="155"/>
      <c r="BC284" s="93"/>
      <c r="BE284" s="93"/>
      <c r="BG284" s="93"/>
      <c r="BH284" s="93"/>
      <c r="BI284" s="93"/>
      <c r="BJ284" s="155"/>
      <c r="BK284" s="93"/>
    </row>
    <row r="285">
      <c r="A285" s="166">
        <v>44248.98535879629</v>
      </c>
      <c r="B285" s="44" t="s">
        <v>61</v>
      </c>
      <c r="C285" s="128">
        <v>914.2921053836748</v>
      </c>
      <c r="D285" s="128">
        <v>20.0</v>
      </c>
      <c r="E285" s="128">
        <v>917.0948269400828</v>
      </c>
      <c r="F285" s="44" t="s">
        <v>90</v>
      </c>
      <c r="G285" s="128">
        <v>935.134017083488</v>
      </c>
      <c r="H285" s="128">
        <v>26.0</v>
      </c>
      <c r="I285" s="128">
        <v>941.7622881731686</v>
      </c>
      <c r="J285" s="44" t="s">
        <v>245</v>
      </c>
      <c r="K285" s="128">
        <v>1032.40055402756</v>
      </c>
      <c r="L285" s="128">
        <v>26.0</v>
      </c>
      <c r="M285" s="128">
        <v>1038.4245532470995</v>
      </c>
      <c r="N285" s="44" t="s">
        <v>107</v>
      </c>
      <c r="O285" s="128">
        <v>1047.58177562361</v>
      </c>
      <c r="P285" s="128">
        <v>25.0</v>
      </c>
      <c r="Q285" s="128">
        <v>1052.8738593518922</v>
      </c>
      <c r="R285" s="44" t="s">
        <v>27</v>
      </c>
      <c r="S285" s="128">
        <v>1057.5940921120196</v>
      </c>
      <c r="T285" s="128">
        <v>46.0</v>
      </c>
      <c r="U285" s="128">
        <v>1076.8470165181093</v>
      </c>
      <c r="V285" s="44" t="s">
        <v>127</v>
      </c>
      <c r="W285" s="128">
        <v>793.363975516022</v>
      </c>
      <c r="X285" s="128">
        <v>3.0</v>
      </c>
      <c r="Y285" s="128">
        <v>775.2349672013886</v>
      </c>
      <c r="Z285" s="44" t="s">
        <v>129</v>
      </c>
      <c r="AA285" s="128">
        <v>794.925547906097</v>
      </c>
      <c r="AB285" s="128">
        <v>7.0</v>
      </c>
      <c r="AC285" s="128">
        <v>779.4486989525307</v>
      </c>
      <c r="AD285" s="44" t="s">
        <v>47</v>
      </c>
      <c r="AE285" s="128">
        <v>991.3280868664347</v>
      </c>
      <c r="AF285" s="128">
        <v>25.0</v>
      </c>
      <c r="AG285" s="128">
        <v>986.5278810338118</v>
      </c>
      <c r="AH285" s="44" t="s">
        <v>92</v>
      </c>
      <c r="AI285" s="128">
        <v>1046.4084355789532</v>
      </c>
      <c r="AJ285" s="128">
        <v>26.0</v>
      </c>
      <c r="AK285" s="128">
        <v>1042.0810830432088</v>
      </c>
      <c r="AL285" s="44" t="s">
        <v>23</v>
      </c>
      <c r="AM285" s="128">
        <v>1361.381586708556</v>
      </c>
      <c r="AN285" s="128">
        <v>37.0</v>
      </c>
      <c r="AO285" s="128">
        <v>1364.1150023451232</v>
      </c>
      <c r="AP285" s="128">
        <v>21.0</v>
      </c>
      <c r="AQ285" s="128">
        <v>7.0</v>
      </c>
      <c r="AR285" s="44" t="s">
        <v>453</v>
      </c>
      <c r="AS285" s="44" t="s">
        <v>403</v>
      </c>
      <c r="AT285" s="44">
        <v>284.0</v>
      </c>
      <c r="AU285" s="44"/>
      <c r="AV285" s="44" t="s">
        <v>454</v>
      </c>
      <c r="AW285" s="44">
        <v>800.0</v>
      </c>
      <c r="AX285" s="44">
        <v>8.0</v>
      </c>
      <c r="AY285" s="44">
        <v>799.23</v>
      </c>
      <c r="BD285" s="44" t="s">
        <v>455</v>
      </c>
      <c r="BE285" s="44">
        <v>800.0</v>
      </c>
      <c r="BF285" s="44">
        <v>8.0</v>
      </c>
      <c r="BG285" s="44">
        <v>781.12</v>
      </c>
    </row>
    <row r="286">
      <c r="A286" s="166">
        <v>44249.05819444444</v>
      </c>
      <c r="B286" s="141" t="s">
        <v>455</v>
      </c>
      <c r="C286" s="44">
        <v>781.11</v>
      </c>
      <c r="D286" s="128">
        <v>8.0</v>
      </c>
      <c r="E286" s="147">
        <v>781.22</v>
      </c>
      <c r="F286" s="44" t="s">
        <v>245</v>
      </c>
      <c r="G286" s="128">
        <v>1038.4245532470995</v>
      </c>
      <c r="H286" s="128">
        <v>29.0</v>
      </c>
      <c r="I286" s="128">
        <v>1049.9999973993356</v>
      </c>
      <c r="J286" s="141" t="s">
        <v>107</v>
      </c>
      <c r="K286" s="128">
        <v>1052.8738593518922</v>
      </c>
      <c r="L286" s="128">
        <v>27.0</v>
      </c>
      <c r="M286" s="142">
        <v>1063.1864254811412</v>
      </c>
      <c r="R286" s="148"/>
      <c r="U286" s="149"/>
      <c r="V286" s="44" t="s">
        <v>127</v>
      </c>
      <c r="W286" s="128">
        <v>775.2349672013886</v>
      </c>
      <c r="X286" s="128">
        <v>5.0</v>
      </c>
      <c r="Y286" s="128">
        <v>760.3271625861884</v>
      </c>
      <c r="Z286" s="141" t="s">
        <v>129</v>
      </c>
      <c r="AA286" s="128">
        <v>779.4486989525307</v>
      </c>
      <c r="AB286" s="128">
        <v>7.0</v>
      </c>
      <c r="AC286" s="142">
        <v>765.7287691262497</v>
      </c>
      <c r="AD286" s="44" t="s">
        <v>31</v>
      </c>
      <c r="AE286" s="128">
        <v>1369.16923752266</v>
      </c>
      <c r="AF286" s="128">
        <v>43.0</v>
      </c>
      <c r="AG286" s="128">
        <v>1375.7969719641412</v>
      </c>
      <c r="AH286" s="148"/>
      <c r="AK286" s="149"/>
      <c r="AP286" s="143">
        <v>16.0</v>
      </c>
      <c r="AQ286" s="128">
        <v>12.0</v>
      </c>
      <c r="AS286" s="44" t="s">
        <v>456</v>
      </c>
      <c r="AT286" s="44">
        <v>285.0</v>
      </c>
      <c r="AU286" s="44"/>
      <c r="AW286" s="93"/>
      <c r="AY286" s="93"/>
      <c r="AZ286" s="93"/>
      <c r="BA286" s="93"/>
      <c r="BB286" s="155"/>
      <c r="BC286" s="93"/>
      <c r="BE286" s="93"/>
      <c r="BG286" s="93"/>
      <c r="BH286" s="93"/>
      <c r="BI286" s="93"/>
      <c r="BJ286" s="155"/>
      <c r="BK286" s="93"/>
    </row>
    <row r="287">
      <c r="A287" s="166">
        <v>44249.933111886574</v>
      </c>
      <c r="B287" s="141" t="s">
        <v>123</v>
      </c>
      <c r="C287" s="128">
        <v>876.0959949607553</v>
      </c>
      <c r="D287" s="128">
        <v>13.0</v>
      </c>
      <c r="E287" s="142">
        <v>870.0642106025074</v>
      </c>
      <c r="F287" s="44" t="s">
        <v>98</v>
      </c>
      <c r="G287" s="128">
        <v>902.5753023173731</v>
      </c>
      <c r="H287" s="128">
        <v>15.0</v>
      </c>
      <c r="I287" s="128">
        <v>897.2516518406628</v>
      </c>
      <c r="J287" s="141" t="s">
        <v>90</v>
      </c>
      <c r="K287" s="128">
        <v>941.7622881731686</v>
      </c>
      <c r="L287" s="128">
        <v>14.0</v>
      </c>
      <c r="M287" s="142">
        <v>935.9344766480084</v>
      </c>
      <c r="N287" s="44" t="s">
        <v>23</v>
      </c>
      <c r="O287" s="128">
        <v>1364.1150023451232</v>
      </c>
      <c r="P287" s="128">
        <v>25.0</v>
      </c>
      <c r="Q287" s="128">
        <v>1362.2982487052418</v>
      </c>
      <c r="R287" s="148"/>
      <c r="U287" s="149"/>
      <c r="V287" s="44" t="s">
        <v>47</v>
      </c>
      <c r="W287" s="128">
        <v>986.5278810338118</v>
      </c>
      <c r="X287" s="128">
        <v>25.0</v>
      </c>
      <c r="Y287" s="128">
        <v>993.1354817330813</v>
      </c>
      <c r="Z287" s="141" t="s">
        <v>112</v>
      </c>
      <c r="AA287" s="128">
        <v>996.8106332907022</v>
      </c>
      <c r="AB287" s="128">
        <v>13.0</v>
      </c>
      <c r="AC287" s="142">
        <v>998.644104416523</v>
      </c>
      <c r="AD287" s="44" t="s">
        <v>92</v>
      </c>
      <c r="AE287" s="128">
        <v>1042.0810830432088</v>
      </c>
      <c r="AF287" s="128">
        <v>19.0</v>
      </c>
      <c r="AG287" s="128">
        <v>1046.1994056114936</v>
      </c>
      <c r="AH287" s="141" t="s">
        <v>27</v>
      </c>
      <c r="AI287" s="128">
        <v>1076.8470165181093</v>
      </c>
      <c r="AJ287" s="128">
        <v>25.0</v>
      </c>
      <c r="AK287" s="142">
        <v>1083.2876221247343</v>
      </c>
      <c r="AP287" s="143">
        <v>11.0</v>
      </c>
      <c r="AQ287" s="128">
        <v>17.0</v>
      </c>
      <c r="AS287" s="44" t="s">
        <v>360</v>
      </c>
      <c r="AT287" s="44">
        <v>286.0</v>
      </c>
      <c r="AU287" s="44"/>
      <c r="AW287" s="93"/>
      <c r="AY287" s="93"/>
      <c r="AZ287" s="93"/>
      <c r="BA287" s="93"/>
      <c r="BB287" s="155"/>
      <c r="BC287" s="93"/>
      <c r="BE287" s="93"/>
      <c r="BG287" s="93"/>
      <c r="BH287" s="93"/>
      <c r="BI287" s="93"/>
      <c r="BJ287" s="155"/>
      <c r="BK287" s="93"/>
    </row>
    <row r="288">
      <c r="A288" s="166">
        <v>44249.99166534722</v>
      </c>
      <c r="B288" s="141" t="s">
        <v>455</v>
      </c>
      <c r="C288" s="128">
        <v>781.22</v>
      </c>
      <c r="D288" s="128">
        <v>8.0</v>
      </c>
      <c r="E288" s="142">
        <v>781.3151516006161</v>
      </c>
      <c r="F288" s="44" t="s">
        <v>123</v>
      </c>
      <c r="G288" s="128">
        <v>870.0642106025074</v>
      </c>
      <c r="H288" s="128">
        <v>22.0</v>
      </c>
      <c r="I288" s="128">
        <v>872.094217314467</v>
      </c>
      <c r="J288" s="141" t="s">
        <v>90</v>
      </c>
      <c r="K288" s="128">
        <v>935.9344766480084</v>
      </c>
      <c r="L288" s="128">
        <v>20.0</v>
      </c>
      <c r="M288" s="142">
        <v>937.5704420328665</v>
      </c>
      <c r="N288" s="44" t="s">
        <v>121</v>
      </c>
      <c r="O288" s="128">
        <v>997.5257245537093</v>
      </c>
      <c r="P288" s="128">
        <v>14.0</v>
      </c>
      <c r="Q288" s="128">
        <v>998.1956679312681</v>
      </c>
      <c r="R288" s="141" t="s">
        <v>112</v>
      </c>
      <c r="S288" s="128">
        <v>998.644104416523</v>
      </c>
      <c r="T288" s="128">
        <v>40.0</v>
      </c>
      <c r="U288" s="142">
        <v>1003.2130373415306</v>
      </c>
      <c r="V288" s="44" t="s">
        <v>127</v>
      </c>
      <c r="W288" s="128">
        <v>760.3271625861884</v>
      </c>
      <c r="X288" s="128">
        <v>11.0</v>
      </c>
      <c r="Y288" s="128">
        <v>757.2869165976241</v>
      </c>
      <c r="Z288" s="141" t="s">
        <v>129</v>
      </c>
      <c r="AA288" s="128">
        <v>765.7287691262497</v>
      </c>
      <c r="AB288" s="128">
        <v>16.0</v>
      </c>
      <c r="AC288" s="142">
        <v>763.4265833605117</v>
      </c>
      <c r="AD288" s="44" t="s">
        <v>100</v>
      </c>
      <c r="AE288" s="128">
        <v>977.2183789899979</v>
      </c>
      <c r="AF288" s="128">
        <v>18.0</v>
      </c>
      <c r="AG288" s="128">
        <v>974.8738171349756</v>
      </c>
      <c r="AH288" s="141" t="s">
        <v>47</v>
      </c>
      <c r="AI288" s="128">
        <v>993.1354817330813</v>
      </c>
      <c r="AJ288" s="128">
        <v>19.0</v>
      </c>
      <c r="AK288" s="142">
        <v>990.9252919942508</v>
      </c>
      <c r="AL288" s="44" t="s">
        <v>92</v>
      </c>
      <c r="AM288" s="128">
        <v>1046.1994056114936</v>
      </c>
      <c r="AN288" s="128">
        <v>40.0</v>
      </c>
      <c r="AO288" s="128">
        <v>1047.0965889596487</v>
      </c>
      <c r="AP288" s="143">
        <v>15.0</v>
      </c>
      <c r="AQ288" s="128">
        <v>13.0</v>
      </c>
      <c r="AS288" s="44" t="s">
        <v>244</v>
      </c>
      <c r="AT288" s="44">
        <v>287.0</v>
      </c>
      <c r="AU288" s="44"/>
      <c r="AW288" s="93"/>
      <c r="AY288" s="93"/>
      <c r="AZ288" s="93"/>
      <c r="BA288" s="93"/>
      <c r="BB288" s="155"/>
      <c r="BC288" s="93"/>
      <c r="BE288" s="93"/>
      <c r="BG288" s="93"/>
      <c r="BH288" s="93"/>
      <c r="BI288" s="93"/>
      <c r="BJ288" s="155"/>
      <c r="BK288" s="93"/>
    </row>
    <row r="289">
      <c r="A289" s="166">
        <v>44250.91974603009</v>
      </c>
      <c r="B289" s="141" t="s">
        <v>61</v>
      </c>
      <c r="C289" s="128">
        <v>917.0948269400828</v>
      </c>
      <c r="D289" s="128">
        <v>22.0</v>
      </c>
      <c r="E289" s="142">
        <v>920.9511661702618</v>
      </c>
      <c r="F289" s="44" t="s">
        <v>58</v>
      </c>
      <c r="G289" s="128">
        <v>983.2359182237107</v>
      </c>
      <c r="H289" s="128">
        <v>15.0</v>
      </c>
      <c r="I289" s="128">
        <v>985.2287425709123</v>
      </c>
      <c r="J289" s="141" t="s">
        <v>107</v>
      </c>
      <c r="K289" s="128">
        <v>1063.1864254811412</v>
      </c>
      <c r="L289" s="128">
        <v>20.0</v>
      </c>
      <c r="M289" s="142">
        <v>1066.3372619037607</v>
      </c>
      <c r="R289" s="148"/>
      <c r="U289" s="149"/>
      <c r="V289" s="44" t="s">
        <v>224</v>
      </c>
      <c r="W289" s="128">
        <v>951.6798621043017</v>
      </c>
      <c r="X289" s="128">
        <v>9.0</v>
      </c>
      <c r="Y289" s="128">
        <v>946.4733213188488</v>
      </c>
      <c r="Z289" s="141" t="s">
        <v>47</v>
      </c>
      <c r="AA289" s="128">
        <v>990.9252919942508</v>
      </c>
      <c r="AB289" s="128">
        <v>26.0</v>
      </c>
      <c r="AC289" s="142">
        <v>989.9113663323036</v>
      </c>
      <c r="AD289" s="44" t="s">
        <v>112</v>
      </c>
      <c r="AE289" s="128">
        <v>1003.2130373415306</v>
      </c>
      <c r="AF289" s="128">
        <v>19.0</v>
      </c>
      <c r="AG289" s="128">
        <v>1000.4335037889307</v>
      </c>
      <c r="AH289" s="148"/>
      <c r="AK289" s="149"/>
      <c r="AP289" s="143">
        <v>15.0</v>
      </c>
      <c r="AQ289" s="128">
        <v>13.0</v>
      </c>
      <c r="AS289" s="44" t="s">
        <v>229</v>
      </c>
      <c r="AT289" s="44">
        <v>288.0</v>
      </c>
      <c r="AU289" s="44"/>
      <c r="AW289" s="93"/>
      <c r="AY289" s="93"/>
      <c r="AZ289" s="93"/>
      <c r="BA289" s="93"/>
      <c r="BB289" s="155"/>
      <c r="BC289" s="93"/>
      <c r="BE289" s="93"/>
      <c r="BG289" s="93"/>
      <c r="BH289" s="93"/>
      <c r="BI289" s="93"/>
      <c r="BJ289" s="155"/>
      <c r="BK289" s="93"/>
    </row>
    <row r="290">
      <c r="A290" s="166">
        <v>44250.98810430555</v>
      </c>
      <c r="B290" s="141" t="s">
        <v>61</v>
      </c>
      <c r="C290" s="128">
        <v>920.9511661702618</v>
      </c>
      <c r="D290" s="128">
        <v>32.0</v>
      </c>
      <c r="E290" s="142">
        <v>927.1187234358862</v>
      </c>
      <c r="F290" s="44" t="s">
        <v>90</v>
      </c>
      <c r="G290" s="128">
        <v>937.5704420328665</v>
      </c>
      <c r="H290" s="128">
        <v>28.0</v>
      </c>
      <c r="I290" s="128">
        <v>942.4905903015158</v>
      </c>
      <c r="J290" s="141" t="s">
        <v>248</v>
      </c>
      <c r="K290" s="128">
        <v>958.7472619213146</v>
      </c>
      <c r="L290" s="128">
        <v>22.0</v>
      </c>
      <c r="M290" s="142">
        <v>961.8119867411187</v>
      </c>
      <c r="N290" s="44" t="s">
        <v>121</v>
      </c>
      <c r="O290" s="128">
        <v>998.1956679312681</v>
      </c>
      <c r="P290" s="128">
        <v>11.0</v>
      </c>
      <c r="Q290" s="128">
        <v>997.8716927826039</v>
      </c>
      <c r="R290" s="141" t="s">
        <v>112</v>
      </c>
      <c r="S290" s="128">
        <v>1000.4335037889307</v>
      </c>
      <c r="T290" s="128">
        <v>26.0</v>
      </c>
      <c r="U290" s="142">
        <v>1004.6050485835171</v>
      </c>
      <c r="V290" s="44" t="s">
        <v>129</v>
      </c>
      <c r="W290" s="128">
        <v>763.4265833605117</v>
      </c>
      <c r="X290" s="128">
        <v>17.0</v>
      </c>
      <c r="Y290" s="128">
        <v>758.9906717324579</v>
      </c>
      <c r="Z290" s="141" t="s">
        <v>100</v>
      </c>
      <c r="AA290" s="128">
        <v>974.8738171349756</v>
      </c>
      <c r="AB290" s="128">
        <v>23.0</v>
      </c>
      <c r="AC290" s="142">
        <v>971.5332571596484</v>
      </c>
      <c r="AD290" s="44" t="s">
        <v>58</v>
      </c>
      <c r="AE290" s="128">
        <v>985.2287425709123</v>
      </c>
      <c r="AF290" s="128">
        <v>22.0</v>
      </c>
      <c r="AG290" s="128">
        <v>981.5668209601602</v>
      </c>
      <c r="AH290" s="141" t="s">
        <v>47</v>
      </c>
      <c r="AI290" s="128">
        <v>989.9113663323036</v>
      </c>
      <c r="AJ290" s="128">
        <v>28.0</v>
      </c>
      <c r="AK290" s="142">
        <v>988.0401719879694</v>
      </c>
      <c r="AL290" s="44" t="s">
        <v>107</v>
      </c>
      <c r="AM290" s="128">
        <v>1066.3372619037607</v>
      </c>
      <c r="AN290" s="128">
        <v>19.0</v>
      </c>
      <c r="AO290" s="128">
        <v>1061.6468494622281</v>
      </c>
      <c r="AP290" s="143">
        <v>16.0</v>
      </c>
      <c r="AQ290" s="128">
        <v>12.0</v>
      </c>
      <c r="AS290" s="44" t="s">
        <v>266</v>
      </c>
      <c r="AT290" s="44">
        <v>289.0</v>
      </c>
      <c r="AU290" s="44"/>
      <c r="AV290" s="44" t="s">
        <v>451</v>
      </c>
      <c r="AW290" s="145">
        <v>800.01</v>
      </c>
      <c r="AX290" s="44">
        <v>8.0</v>
      </c>
      <c r="AY290" s="145">
        <v>798.15</v>
      </c>
      <c r="AZ290" s="93"/>
      <c r="BA290" s="93"/>
      <c r="BB290" s="155"/>
      <c r="BC290" s="93"/>
      <c r="BD290" s="44" t="s">
        <v>127</v>
      </c>
      <c r="BE290" s="145">
        <v>757.29</v>
      </c>
      <c r="BF290" s="44">
        <v>5.0</v>
      </c>
      <c r="BG290" s="145">
        <v>749.21</v>
      </c>
      <c r="BH290" s="93"/>
      <c r="BI290" s="93"/>
      <c r="BJ290" s="155"/>
      <c r="BK290" s="93"/>
    </row>
    <row r="291">
      <c r="A291" s="166">
        <v>44251.034179375</v>
      </c>
      <c r="B291" s="141" t="s">
        <v>127</v>
      </c>
      <c r="C291" s="128">
        <v>749.21</v>
      </c>
      <c r="D291" s="128">
        <v>7.0</v>
      </c>
      <c r="E291" s="142">
        <v>741.9451364583693</v>
      </c>
      <c r="F291" s="44" t="s">
        <v>61</v>
      </c>
      <c r="G291" s="128">
        <v>927.1187234358862</v>
      </c>
      <c r="H291" s="128">
        <v>23.0</v>
      </c>
      <c r="I291" s="128">
        <v>924.5659435674052</v>
      </c>
      <c r="J291" s="141" t="s">
        <v>58</v>
      </c>
      <c r="K291" s="128">
        <v>981.5668209601602</v>
      </c>
      <c r="L291" s="128">
        <v>23.0</v>
      </c>
      <c r="M291" s="142">
        <v>978.8925128533933</v>
      </c>
      <c r="N291" s="44" t="s">
        <v>47</v>
      </c>
      <c r="O291" s="128">
        <v>988.0401719879694</v>
      </c>
      <c r="P291" s="128">
        <v>17.0</v>
      </c>
      <c r="Q291" s="128">
        <v>983.3535123065274</v>
      </c>
      <c r="R291" s="141" t="s">
        <v>27</v>
      </c>
      <c r="S291" s="128">
        <v>1083.2876221247343</v>
      </c>
      <c r="T291" s="128">
        <v>23.0</v>
      </c>
      <c r="U291" s="142">
        <v>1080.466233323055</v>
      </c>
      <c r="V291" s="44" t="s">
        <v>129</v>
      </c>
      <c r="W291" s="128">
        <v>758.9906717324579</v>
      </c>
      <c r="X291" s="128">
        <v>23.0</v>
      </c>
      <c r="Y291" s="128">
        <v>764.479771550314</v>
      </c>
      <c r="Z291" s="141" t="s">
        <v>90</v>
      </c>
      <c r="AA291" s="128">
        <v>942.4905903015158</v>
      </c>
      <c r="AB291" s="128">
        <v>13.0</v>
      </c>
      <c r="AC291" s="142">
        <v>943.9715859993827</v>
      </c>
      <c r="AD291" s="44" t="s">
        <v>248</v>
      </c>
      <c r="AE291" s="128">
        <v>961.8119867411187</v>
      </c>
      <c r="AF291" s="128">
        <v>18.0</v>
      </c>
      <c r="AG291" s="128">
        <v>964.911943589051</v>
      </c>
      <c r="AH291" s="141" t="s">
        <v>112</v>
      </c>
      <c r="AI291" s="128">
        <v>1004.6050485835171</v>
      </c>
      <c r="AJ291" s="128">
        <v>29.0</v>
      </c>
      <c r="AK291" s="142">
        <v>1011.2814195293</v>
      </c>
      <c r="AL291" s="44" t="s">
        <v>107</v>
      </c>
      <c r="AM291" s="128">
        <v>1061.6468494622281</v>
      </c>
      <c r="AN291" s="128">
        <v>19.0</v>
      </c>
      <c r="AO291" s="128">
        <v>1064.90042615279</v>
      </c>
      <c r="AP291" s="143">
        <v>12.0</v>
      </c>
      <c r="AQ291" s="128">
        <v>16.0</v>
      </c>
      <c r="AS291" s="44" t="s">
        <v>229</v>
      </c>
      <c r="AT291" s="44">
        <v>290.0</v>
      </c>
      <c r="AU291" s="44"/>
      <c r="AW291" s="93"/>
      <c r="AY291" s="93"/>
      <c r="AZ291" s="93"/>
      <c r="BA291" s="93"/>
      <c r="BB291" s="155"/>
      <c r="BC291" s="93"/>
      <c r="BE291" s="93"/>
      <c r="BG291" s="93"/>
      <c r="BH291" s="93"/>
      <c r="BI291" s="93"/>
      <c r="BJ291" s="155"/>
      <c r="BK291" s="93"/>
    </row>
    <row r="292">
      <c r="A292" s="166">
        <v>44251.969703124996</v>
      </c>
      <c r="B292" s="141" t="s">
        <v>61</v>
      </c>
      <c r="C292" s="128">
        <v>924.5659435674052</v>
      </c>
      <c r="D292" s="128">
        <v>11.0</v>
      </c>
      <c r="E292" s="142">
        <v>919.4709710377081</v>
      </c>
      <c r="F292" s="44" t="s">
        <v>58</v>
      </c>
      <c r="G292" s="128">
        <v>978.8925128533933</v>
      </c>
      <c r="H292" s="128">
        <v>13.0</v>
      </c>
      <c r="I292" s="128">
        <v>974.2458224967213</v>
      </c>
      <c r="J292" s="141" t="s">
        <v>47</v>
      </c>
      <c r="K292" s="128">
        <v>983.3535123065274</v>
      </c>
      <c r="L292" s="128">
        <v>19.0</v>
      </c>
      <c r="M292" s="142">
        <v>980.3252042831654</v>
      </c>
      <c r="N292" s="44" t="s">
        <v>23</v>
      </c>
      <c r="O292" s="128">
        <v>1362.2982487052418</v>
      </c>
      <c r="P292" s="128">
        <v>30.0</v>
      </c>
      <c r="Q292" s="128">
        <v>1362.068219614973</v>
      </c>
      <c r="R292" s="148"/>
      <c r="U292" s="149"/>
      <c r="V292" s="44" t="s">
        <v>447</v>
      </c>
      <c r="W292" s="128">
        <v>997.9862657971629</v>
      </c>
      <c r="X292" s="128">
        <v>14.0</v>
      </c>
      <c r="Y292" s="128">
        <v>999.9952990908502</v>
      </c>
      <c r="Z292" s="141" t="s">
        <v>112</v>
      </c>
      <c r="AA292" s="128">
        <v>1011.2814195293</v>
      </c>
      <c r="AB292" s="128">
        <v>25.0</v>
      </c>
      <c r="AC292" s="142">
        <v>1016.2519909671603</v>
      </c>
      <c r="AD292" s="44" t="s">
        <v>107</v>
      </c>
      <c r="AE292" s="128">
        <v>1064.90042615279</v>
      </c>
      <c r="AF292" s="128">
        <v>12.0</v>
      </c>
      <c r="AG292" s="128">
        <v>1066.2922074088476</v>
      </c>
      <c r="AH292" s="141" t="s">
        <v>27</v>
      </c>
      <c r="AI292" s="128">
        <v>1080.466233323055</v>
      </c>
      <c r="AJ292" s="128">
        <v>24.0</v>
      </c>
      <c r="AK292" s="142">
        <v>1085.09484733545</v>
      </c>
      <c r="AP292" s="143">
        <v>13.0</v>
      </c>
      <c r="AQ292" s="128">
        <v>15.0</v>
      </c>
      <c r="AR292" s="44" t="s">
        <v>457</v>
      </c>
      <c r="AS292" s="44" t="s">
        <v>243</v>
      </c>
      <c r="AT292" s="44">
        <v>291.0</v>
      </c>
      <c r="AU292" s="44"/>
      <c r="AW292" s="93"/>
      <c r="AY292" s="93"/>
      <c r="AZ292" s="93"/>
      <c r="BA292" s="93"/>
      <c r="BB292" s="155"/>
      <c r="BC292" s="93"/>
      <c r="BE292" s="93"/>
      <c r="BG292" s="93"/>
      <c r="BH292" s="93"/>
      <c r="BI292" s="93"/>
      <c r="BJ292" s="155"/>
      <c r="BK292" s="93"/>
    </row>
    <row r="293">
      <c r="A293" s="166">
        <v>44252.02199386574</v>
      </c>
      <c r="B293" s="141" t="s">
        <v>61</v>
      </c>
      <c r="C293" s="128">
        <v>919.4709710377081</v>
      </c>
      <c r="D293" s="128">
        <v>8.0</v>
      </c>
      <c r="E293" s="142">
        <v>919.6467330933413</v>
      </c>
      <c r="F293" s="44" t="s">
        <v>90</v>
      </c>
      <c r="G293" s="128">
        <v>943.9715859993827</v>
      </c>
      <c r="H293" s="128">
        <v>14.0</v>
      </c>
      <c r="I293" s="128">
        <v>945.238200074824</v>
      </c>
      <c r="J293" s="141" t="s">
        <v>47</v>
      </c>
      <c r="K293" s="128">
        <v>980.3252042831654</v>
      </c>
      <c r="L293" s="128">
        <v>21.0</v>
      </c>
      <c r="M293" s="142">
        <v>982.8602980677167</v>
      </c>
      <c r="N293" s="44" t="s">
        <v>23</v>
      </c>
      <c r="O293" s="128">
        <v>1362.068219614973</v>
      </c>
      <c r="P293" s="128">
        <v>35.0</v>
      </c>
      <c r="Q293" s="128">
        <v>1367.0907496993473</v>
      </c>
      <c r="R293" s="148"/>
      <c r="U293" s="149"/>
      <c r="V293" s="44" t="s">
        <v>447</v>
      </c>
      <c r="W293" s="128">
        <v>999.9952990908502</v>
      </c>
      <c r="X293" s="128">
        <v>17.0</v>
      </c>
      <c r="Y293" s="128">
        <v>997.3097490482716</v>
      </c>
      <c r="Z293" s="141" t="s">
        <v>112</v>
      </c>
      <c r="AA293" s="128">
        <v>1016.2519909671603</v>
      </c>
      <c r="AB293" s="128">
        <v>17.0</v>
      </c>
      <c r="AC293" s="142">
        <v>1013.5512680834565</v>
      </c>
      <c r="AD293" s="44" t="s">
        <v>107</v>
      </c>
      <c r="AE293" s="128">
        <v>1066.2922074088476</v>
      </c>
      <c r="AF293" s="128">
        <v>17.0</v>
      </c>
      <c r="AG293" s="128">
        <v>1063.5534338582102</v>
      </c>
      <c r="AH293" s="141" t="s">
        <v>27</v>
      </c>
      <c r="AI293" s="128">
        <v>1085.09484733545</v>
      </c>
      <c r="AJ293" s="128">
        <v>27.0</v>
      </c>
      <c r="AK293" s="142">
        <v>1084.2198938123697</v>
      </c>
      <c r="AP293" s="143">
        <v>15.0</v>
      </c>
      <c r="AQ293" s="128">
        <v>13.0</v>
      </c>
      <c r="AR293" s="44" t="s">
        <v>458</v>
      </c>
      <c r="AS293" s="44" t="s">
        <v>339</v>
      </c>
      <c r="AT293" s="44">
        <v>292.0</v>
      </c>
      <c r="AU293" s="44"/>
      <c r="AW293" s="93"/>
      <c r="AY293" s="93"/>
      <c r="AZ293" s="93"/>
      <c r="BA293" s="93"/>
      <c r="BB293" s="155"/>
      <c r="BC293" s="93"/>
      <c r="BE293" s="93"/>
      <c r="BG293" s="93"/>
      <c r="BH293" s="93"/>
      <c r="BI293" s="93"/>
      <c r="BJ293" s="155"/>
      <c r="BK293" s="93"/>
    </row>
    <row r="294">
      <c r="A294" s="166">
        <v>44252.93935054398</v>
      </c>
      <c r="B294" s="141" t="s">
        <v>98</v>
      </c>
      <c r="C294" s="128">
        <v>897.2516518406628</v>
      </c>
      <c r="D294" s="128">
        <v>17.0</v>
      </c>
      <c r="E294" s="142">
        <v>891.7559559563524</v>
      </c>
      <c r="F294" s="44" t="s">
        <v>61</v>
      </c>
      <c r="G294" s="128">
        <v>919.6467330933413</v>
      </c>
      <c r="H294" s="128">
        <v>19.0</v>
      </c>
      <c r="I294" s="128">
        <v>914.9516347958548</v>
      </c>
      <c r="J294" s="141" t="s">
        <v>90</v>
      </c>
      <c r="K294" s="128">
        <v>945.238200074824</v>
      </c>
      <c r="L294" s="128">
        <v>9.0</v>
      </c>
      <c r="M294" s="142">
        <v>936.0911846567187</v>
      </c>
      <c r="N294" s="44" t="s">
        <v>23</v>
      </c>
      <c r="O294" s="128">
        <v>1367.0907496993473</v>
      </c>
      <c r="P294" s="128">
        <v>27.0</v>
      </c>
      <c r="Q294" s="128">
        <v>1365.4285592992494</v>
      </c>
      <c r="R294" s="148"/>
      <c r="U294" s="149"/>
      <c r="V294" s="44" t="s">
        <v>47</v>
      </c>
      <c r="W294" s="128">
        <v>982.8602980677167</v>
      </c>
      <c r="X294" s="128">
        <v>25.0</v>
      </c>
      <c r="Y294" s="128">
        <v>990.3918525691097</v>
      </c>
      <c r="Z294" s="141" t="s">
        <v>112</v>
      </c>
      <c r="AA294" s="128">
        <v>1013.5512680834565</v>
      </c>
      <c r="AB294" s="128">
        <v>18.0</v>
      </c>
      <c r="AC294" s="142">
        <v>1017.9476865775957</v>
      </c>
      <c r="AD294" s="44" t="s">
        <v>92</v>
      </c>
      <c r="AE294" s="128">
        <v>1047.0965889596487</v>
      </c>
      <c r="AF294" s="128">
        <v>21.0</v>
      </c>
      <c r="AG294" s="128">
        <v>1052.739956726099</v>
      </c>
      <c r="AH294" s="141" t="s">
        <v>107</v>
      </c>
      <c r="AI294" s="128">
        <v>1063.5534338582102</v>
      </c>
      <c r="AJ294" s="128">
        <v>16.0</v>
      </c>
      <c r="AK294" s="142">
        <v>1066.9820930962276</v>
      </c>
      <c r="AP294" s="143">
        <v>11.0</v>
      </c>
      <c r="AQ294" s="128">
        <v>17.0</v>
      </c>
      <c r="AS294" s="44" t="s">
        <v>229</v>
      </c>
      <c r="AT294" s="44">
        <v>293.0</v>
      </c>
      <c r="AU294" s="44"/>
      <c r="AW294" s="93"/>
      <c r="AY294" s="93"/>
      <c r="AZ294" s="93"/>
      <c r="BA294" s="93"/>
      <c r="BB294" s="155"/>
      <c r="BC294" s="93"/>
      <c r="BE294" s="93"/>
      <c r="BG294" s="93"/>
      <c r="BH294" s="93"/>
      <c r="BI294" s="93"/>
      <c r="BJ294" s="155"/>
      <c r="BK294" s="93"/>
    </row>
    <row r="295">
      <c r="A295" s="166">
        <v>44252.986912395834</v>
      </c>
      <c r="B295" s="141" t="s">
        <v>127</v>
      </c>
      <c r="C295" s="128">
        <v>741.9451364583693</v>
      </c>
      <c r="D295" s="128">
        <v>10.0</v>
      </c>
      <c r="E295" s="142">
        <v>735.8712966787173</v>
      </c>
      <c r="F295" s="44" t="s">
        <v>129</v>
      </c>
      <c r="G295" s="128">
        <v>764.479771550314</v>
      </c>
      <c r="H295" s="128">
        <v>14.0</v>
      </c>
      <c r="I295" s="128">
        <v>759.6473547884896</v>
      </c>
      <c r="J295" s="141" t="s">
        <v>121</v>
      </c>
      <c r="K295" s="128">
        <v>997.8716927826039</v>
      </c>
      <c r="L295" s="128">
        <v>9.0</v>
      </c>
      <c r="M295" s="142">
        <v>990.7109630138514</v>
      </c>
      <c r="N295" s="44" t="s">
        <v>92</v>
      </c>
      <c r="O295" s="128">
        <v>1052.739956726099</v>
      </c>
      <c r="P295" s="128">
        <v>21.0</v>
      </c>
      <c r="Q295" s="128">
        <v>1049.500874678959</v>
      </c>
      <c r="R295" s="141" t="s">
        <v>23</v>
      </c>
      <c r="S295" s="128">
        <v>1365.4285592992494</v>
      </c>
      <c r="T295" s="128">
        <v>35.0</v>
      </c>
      <c r="U295" s="142">
        <v>1366.7346276566184</v>
      </c>
      <c r="V295" s="44" t="s">
        <v>61</v>
      </c>
      <c r="W295" s="128">
        <v>914.9516347958548</v>
      </c>
      <c r="X295" s="128">
        <v>33.0</v>
      </c>
      <c r="Y295" s="128">
        <v>922.4555291081898</v>
      </c>
      <c r="Z295" s="141" t="s">
        <v>90</v>
      </c>
      <c r="AA295" s="128">
        <v>936.0911846567187</v>
      </c>
      <c r="AB295" s="128">
        <v>16.0</v>
      </c>
      <c r="AC295" s="142">
        <v>937.8652381653123</v>
      </c>
      <c r="AD295" s="44" t="s">
        <v>47</v>
      </c>
      <c r="AE295" s="128">
        <v>990.3918525691097</v>
      </c>
      <c r="AF295" s="128">
        <v>24.0</v>
      </c>
      <c r="AG295" s="128">
        <v>994.6959038179697</v>
      </c>
      <c r="AH295" s="141" t="s">
        <v>112</v>
      </c>
      <c r="AI295" s="128">
        <v>1017.9476865775957</v>
      </c>
      <c r="AJ295" s="128">
        <v>20.0</v>
      </c>
      <c r="AK295" s="142">
        <v>1020.862607246943</v>
      </c>
      <c r="AL295" s="44" t="s">
        <v>107</v>
      </c>
      <c r="AM295" s="128">
        <v>1066.9820930962276</v>
      </c>
      <c r="AN295" s="128">
        <v>22.0</v>
      </c>
      <c r="AO295" s="128">
        <v>1070.4851733570918</v>
      </c>
      <c r="AP295" s="143">
        <v>10.0</v>
      </c>
      <c r="AQ295" s="128">
        <v>18.0</v>
      </c>
      <c r="AR295" s="44" t="s">
        <v>459</v>
      </c>
      <c r="AS295" s="44" t="s">
        <v>460</v>
      </c>
      <c r="AT295" s="44">
        <v>294.0</v>
      </c>
      <c r="AU295" s="44"/>
      <c r="AW295" s="93"/>
      <c r="AY295" s="93"/>
      <c r="AZ295" s="93"/>
      <c r="BA295" s="93"/>
      <c r="BB295" s="155"/>
      <c r="BC295" s="93"/>
      <c r="BE295" s="93"/>
      <c r="BG295" s="93"/>
      <c r="BH295" s="93"/>
      <c r="BI295" s="93"/>
      <c r="BJ295" s="155"/>
      <c r="BK295" s="93"/>
    </row>
    <row r="296">
      <c r="A296" s="166">
        <v>44253.03380399305</v>
      </c>
      <c r="B296" s="141" t="s">
        <v>127</v>
      </c>
      <c r="C296" s="128">
        <v>735.8712966787173</v>
      </c>
      <c r="D296" s="128">
        <v>6.0</v>
      </c>
      <c r="E296" s="142">
        <v>726.2463879964071</v>
      </c>
      <c r="F296" s="44" t="s">
        <v>61</v>
      </c>
      <c r="G296" s="128">
        <v>922.4555291081898</v>
      </c>
      <c r="H296" s="128">
        <v>13.0</v>
      </c>
      <c r="I296" s="128">
        <v>915.0862415288483</v>
      </c>
      <c r="J296" s="141" t="s">
        <v>121</v>
      </c>
      <c r="K296" s="128">
        <v>990.7109630138514</v>
      </c>
      <c r="L296" s="128">
        <v>8.0</v>
      </c>
      <c r="M296" s="142">
        <v>980.9709452361551</v>
      </c>
      <c r="N296" s="44" t="s">
        <v>31</v>
      </c>
      <c r="O296" s="128">
        <v>1375.7969719641412</v>
      </c>
      <c r="P296" s="128">
        <v>44.0</v>
      </c>
      <c r="Q296" s="128">
        <v>1381.5311860034892</v>
      </c>
      <c r="R296" s="148"/>
      <c r="U296" s="149"/>
      <c r="V296" s="44" t="s">
        <v>90</v>
      </c>
      <c r="W296" s="128">
        <v>937.8652381653123</v>
      </c>
      <c r="X296" s="128">
        <v>21.0</v>
      </c>
      <c r="Y296" s="128">
        <v>943.0659809149914</v>
      </c>
      <c r="Z296" s="141" t="s">
        <v>47</v>
      </c>
      <c r="AA296" s="128">
        <v>994.6959038179697</v>
      </c>
      <c r="AB296" s="128">
        <v>29.0</v>
      </c>
      <c r="AC296" s="142">
        <v>1003.2254836287951</v>
      </c>
      <c r="AD296" s="44" t="s">
        <v>447</v>
      </c>
      <c r="AE296" s="128">
        <v>997.3097490482716</v>
      </c>
      <c r="AF296" s="128">
        <v>19.0</v>
      </c>
      <c r="AG296" s="128">
        <v>1001.4575951499114</v>
      </c>
      <c r="AH296" s="141" t="s">
        <v>107</v>
      </c>
      <c r="AI296" s="128">
        <v>1070.4851733570918</v>
      </c>
      <c r="AJ296" s="128">
        <v>17.0</v>
      </c>
      <c r="AK296" s="142">
        <v>1073.6070046949474</v>
      </c>
      <c r="AP296" s="143">
        <v>12.0</v>
      </c>
      <c r="AQ296" s="128">
        <v>16.0</v>
      </c>
      <c r="AS296" s="44" t="s">
        <v>243</v>
      </c>
      <c r="AT296" s="44">
        <v>295.0</v>
      </c>
      <c r="AU296" s="44"/>
      <c r="AW296" s="93"/>
      <c r="AY296" s="93"/>
      <c r="AZ296" s="93"/>
      <c r="BA296" s="93"/>
      <c r="BB296" s="155"/>
      <c r="BC296" s="93"/>
      <c r="BE296" s="93"/>
      <c r="BG296" s="93"/>
      <c r="BH296" s="93"/>
      <c r="BI296" s="93"/>
      <c r="BJ296" s="155"/>
      <c r="BK296" s="93"/>
    </row>
    <row r="297">
      <c r="A297" s="166">
        <v>44253.96500715278</v>
      </c>
      <c r="B297" s="44" t="s">
        <v>127</v>
      </c>
      <c r="C297" s="128">
        <v>726.2463879964071</v>
      </c>
      <c r="D297" s="128">
        <v>6.0</v>
      </c>
      <c r="E297" s="128">
        <v>713.7901447664962</v>
      </c>
      <c r="F297" s="44" t="s">
        <v>123</v>
      </c>
      <c r="G297" s="128">
        <v>872.094217314467</v>
      </c>
      <c r="H297" s="128">
        <v>15.0</v>
      </c>
      <c r="I297" s="128">
        <v>863.3785518114821</v>
      </c>
      <c r="J297" s="44" t="s">
        <v>228</v>
      </c>
      <c r="K297" s="128">
        <v>922.4305048631505</v>
      </c>
      <c r="L297" s="128">
        <v>9.0</v>
      </c>
      <c r="M297" s="128">
        <v>910.3840216714931</v>
      </c>
      <c r="N297" s="44" t="s">
        <v>27</v>
      </c>
      <c r="O297" s="128">
        <v>1084.2198938123697</v>
      </c>
      <c r="P297" s="128">
        <v>31.0</v>
      </c>
      <c r="Q297" s="128">
        <v>1083.0817838538826</v>
      </c>
      <c r="R297" s="44" t="s">
        <v>23</v>
      </c>
      <c r="S297" s="128">
        <v>1366.7346276566184</v>
      </c>
      <c r="T297" s="128">
        <v>40.0</v>
      </c>
      <c r="U297" s="128">
        <v>1370.0911295396586</v>
      </c>
      <c r="V297" s="44" t="s">
        <v>98</v>
      </c>
      <c r="W297" s="128">
        <v>891.7559559563524</v>
      </c>
      <c r="X297" s="128">
        <v>18.0</v>
      </c>
      <c r="Y297" s="128">
        <v>897.4617947732982</v>
      </c>
      <c r="Z297" s="44" t="s">
        <v>90</v>
      </c>
      <c r="AA297" s="128">
        <v>943.0659809149914</v>
      </c>
      <c r="AB297" s="128">
        <v>30.0</v>
      </c>
      <c r="AC297" s="128">
        <v>954.7663257265424</v>
      </c>
      <c r="AD297" s="44" t="s">
        <v>224</v>
      </c>
      <c r="AE297" s="128">
        <v>946.4733213188488</v>
      </c>
      <c r="AF297" s="128">
        <v>4.0</v>
      </c>
      <c r="AG297" s="128">
        <v>944.7282027175614</v>
      </c>
      <c r="AH297" s="44" t="s">
        <v>121</v>
      </c>
      <c r="AI297" s="128">
        <v>980.9709452361551</v>
      </c>
      <c r="AJ297" s="128">
        <v>16.0</v>
      </c>
      <c r="AK297" s="128">
        <v>985.3134258101625</v>
      </c>
      <c r="AL297" s="44" t="s">
        <v>47</v>
      </c>
      <c r="AM297" s="128">
        <v>1003.2254836287951</v>
      </c>
      <c r="AN297" s="128">
        <v>29.0</v>
      </c>
      <c r="AO297" s="128">
        <v>1014.2219380275784</v>
      </c>
      <c r="AP297" s="128">
        <v>12.0</v>
      </c>
      <c r="AQ297" s="128">
        <v>16.0</v>
      </c>
      <c r="AT297" s="44">
        <v>296.0</v>
      </c>
      <c r="AU297" s="44"/>
      <c r="AW297" s="93"/>
      <c r="AY297" s="93"/>
      <c r="AZ297" s="93"/>
      <c r="BA297" s="93"/>
      <c r="BB297" s="155"/>
      <c r="BC297" s="93"/>
      <c r="BE297" s="93"/>
      <c r="BG297" s="93"/>
      <c r="BH297" s="93"/>
      <c r="BI297" s="93"/>
      <c r="BJ297" s="155"/>
      <c r="BK297" s="93"/>
    </row>
    <row r="298">
      <c r="A298" s="166">
        <v>44254.01169008102</v>
      </c>
      <c r="B298" s="44" t="s">
        <v>90</v>
      </c>
      <c r="C298" s="128">
        <v>954.7663257265424</v>
      </c>
      <c r="D298" s="128">
        <v>20.0</v>
      </c>
      <c r="E298" s="128">
        <v>949.553444085193</v>
      </c>
      <c r="F298" s="44" t="s">
        <v>121</v>
      </c>
      <c r="G298" s="128">
        <v>985.3134258101625</v>
      </c>
      <c r="H298" s="128">
        <v>13.0</v>
      </c>
      <c r="I298" s="128">
        <v>977.6923195128003</v>
      </c>
      <c r="J298" s="44" t="s">
        <v>47</v>
      </c>
      <c r="K298" s="128">
        <v>1014.2219380275784</v>
      </c>
      <c r="L298" s="128">
        <v>26.0</v>
      </c>
      <c r="M298" s="128">
        <v>1010.8734606604185</v>
      </c>
      <c r="N298" s="44" t="s">
        <v>112</v>
      </c>
      <c r="O298" s="128">
        <v>1020.862607246943</v>
      </c>
      <c r="P298" s="128">
        <v>30.0</v>
      </c>
      <c r="Q298" s="128">
        <v>1018.8348649704701</v>
      </c>
      <c r="R298" s="44" t="s">
        <v>27</v>
      </c>
      <c r="S298" s="128">
        <v>1083.0817838538826</v>
      </c>
      <c r="T298" s="128">
        <v>31.0</v>
      </c>
      <c r="U298" s="128">
        <v>1081.291991436227</v>
      </c>
      <c r="V298" s="44" t="s">
        <v>123</v>
      </c>
      <c r="W298" s="128">
        <v>863.3785518114821</v>
      </c>
      <c r="X298" s="128">
        <v>12.0</v>
      </c>
      <c r="Y298" s="128">
        <v>863.9818718862462</v>
      </c>
      <c r="Z298" s="44" t="s">
        <v>98</v>
      </c>
      <c r="AA298" s="128">
        <v>897.4617947732982</v>
      </c>
      <c r="AB298" s="128">
        <v>28.0</v>
      </c>
      <c r="AC298" s="128">
        <v>903.2798260992836</v>
      </c>
      <c r="AD298" s="44" t="s">
        <v>224</v>
      </c>
      <c r="AE298" s="128">
        <v>944.7282027175614</v>
      </c>
      <c r="AF298" s="128">
        <v>3.0</v>
      </c>
      <c r="AG298" s="128">
        <v>942.0720263956077</v>
      </c>
      <c r="AH298" s="44" t="s">
        <v>58</v>
      </c>
      <c r="AI298" s="128">
        <v>974.2458224967213</v>
      </c>
      <c r="AJ298" s="128">
        <v>32.0</v>
      </c>
      <c r="AK298" s="128">
        <v>981.1820645663757</v>
      </c>
      <c r="AL298" s="44" t="s">
        <v>23</v>
      </c>
      <c r="AM298" s="128">
        <v>1370.0911295396586</v>
      </c>
      <c r="AN298" s="128">
        <v>40.0</v>
      </c>
      <c r="AO298" s="128">
        <v>1379.3897123912084</v>
      </c>
      <c r="AP298" s="128">
        <v>11.0</v>
      </c>
      <c r="AQ298" s="128">
        <v>17.0</v>
      </c>
      <c r="AT298" s="44">
        <v>297.0</v>
      </c>
      <c r="AU298" s="44"/>
      <c r="AV298" s="44" t="s">
        <v>127</v>
      </c>
      <c r="AW298" s="145">
        <v>713.79</v>
      </c>
      <c r="AX298" s="44">
        <v>3.0</v>
      </c>
      <c r="AY298" s="145">
        <v>701.45</v>
      </c>
      <c r="AZ298" s="93"/>
      <c r="BA298" s="93"/>
      <c r="BB298" s="155"/>
      <c r="BC298" s="93"/>
      <c r="BD298" s="44" t="s">
        <v>129</v>
      </c>
      <c r="BE298" s="145">
        <v>759.65</v>
      </c>
      <c r="BF298" s="44">
        <v>17.0</v>
      </c>
      <c r="BG298" s="145">
        <v>762.45</v>
      </c>
      <c r="BH298" s="93"/>
      <c r="BI298" s="93"/>
      <c r="BJ298" s="155"/>
      <c r="BK298" s="93"/>
    </row>
    <row r="299">
      <c r="A299" s="166">
        <v>44254.0723741088</v>
      </c>
      <c r="B299" s="44" t="s">
        <v>248</v>
      </c>
      <c r="C299" s="128">
        <v>964.911943589051</v>
      </c>
      <c r="D299" s="128">
        <v>22.0</v>
      </c>
      <c r="E299" s="128">
        <v>967.6223402473805</v>
      </c>
      <c r="F299" s="44" t="s">
        <v>58</v>
      </c>
      <c r="G299" s="128">
        <v>981.1820645663757</v>
      </c>
      <c r="H299" s="128">
        <v>18.0</v>
      </c>
      <c r="I299" s="128">
        <v>982.5861708943636</v>
      </c>
      <c r="J299" s="44" t="s">
        <v>47</v>
      </c>
      <c r="K299" s="128">
        <v>1010.8734606604185</v>
      </c>
      <c r="L299" s="128">
        <v>33.0</v>
      </c>
      <c r="M299" s="128">
        <v>1016.9633276228184</v>
      </c>
      <c r="N299" s="44" t="s">
        <v>107</v>
      </c>
      <c r="O299" s="128">
        <v>1073.6070046949474</v>
      </c>
      <c r="P299" s="128">
        <v>27.0</v>
      </c>
      <c r="Q299" s="128">
        <v>1077.6931364639736</v>
      </c>
      <c r="R299" s="44" t="s">
        <v>27</v>
      </c>
      <c r="S299" s="128">
        <v>1081.291991436227</v>
      </c>
      <c r="T299" s="128">
        <v>29.0</v>
      </c>
      <c r="U299" s="128">
        <v>1086.0014897184835</v>
      </c>
      <c r="V299" s="44" t="s">
        <v>123</v>
      </c>
      <c r="W299" s="128">
        <v>863.9818718862462</v>
      </c>
      <c r="X299" s="128">
        <v>16.0</v>
      </c>
      <c r="Y299" s="128">
        <v>858.5939861138289</v>
      </c>
      <c r="Z299" s="44" t="s">
        <v>98</v>
      </c>
      <c r="AA299" s="128">
        <v>903.2798260992836</v>
      </c>
      <c r="AB299" s="128">
        <v>24.0</v>
      </c>
      <c r="AC299" s="128">
        <v>900.3052957659733</v>
      </c>
      <c r="AD299" s="44" t="s">
        <v>110</v>
      </c>
      <c r="AE299" s="128">
        <v>925.0305561028904</v>
      </c>
      <c r="AF299" s="128">
        <v>16.0</v>
      </c>
      <c r="AG299" s="128">
        <v>919.4634975263766</v>
      </c>
      <c r="AH299" s="44" t="s">
        <v>112</v>
      </c>
      <c r="AI299" s="128">
        <v>1018.8348649704701</v>
      </c>
      <c r="AJ299" s="128">
        <v>25.0</v>
      </c>
      <c r="AK299" s="128">
        <v>1015.919809586403</v>
      </c>
      <c r="AL299" s="44" t="s">
        <v>23</v>
      </c>
      <c r="AM299" s="128">
        <v>1379.3897123912084</v>
      </c>
      <c r="AN299" s="128">
        <v>28.0</v>
      </c>
      <c r="AO299" s="128">
        <v>1377.2342424575168</v>
      </c>
      <c r="AP299" s="128">
        <v>17.0</v>
      </c>
      <c r="AQ299" s="128">
        <v>11.0</v>
      </c>
      <c r="AS299" s="44" t="s">
        <v>253</v>
      </c>
      <c r="AT299" s="44">
        <v>298.0</v>
      </c>
      <c r="AU299" s="44"/>
      <c r="AV299" s="44" t="s">
        <v>127</v>
      </c>
      <c r="AW299" s="145">
        <v>701.45</v>
      </c>
      <c r="AX299" s="44">
        <v>5.0</v>
      </c>
      <c r="AY299" s="145">
        <v>697.88</v>
      </c>
      <c r="AZ299" s="93"/>
      <c r="BA299" s="93"/>
      <c r="BB299" s="155"/>
      <c r="BC299" s="93"/>
      <c r="BD299" s="44" t="s">
        <v>129</v>
      </c>
      <c r="BE299" s="145">
        <v>762.45</v>
      </c>
      <c r="BF299" s="44">
        <v>8.0</v>
      </c>
      <c r="BG299" s="145">
        <v>753.14</v>
      </c>
      <c r="BH299" s="93"/>
      <c r="BI299" s="93"/>
      <c r="BJ299" s="155"/>
      <c r="BK299" s="93"/>
    </row>
    <row r="300">
      <c r="A300" s="166">
        <v>44254.10827986111</v>
      </c>
      <c r="B300" s="44" t="s">
        <v>123</v>
      </c>
      <c r="C300" s="128">
        <v>858.5939861138289</v>
      </c>
      <c r="D300" s="128">
        <v>6.0</v>
      </c>
      <c r="E300" s="128">
        <v>843.5029631250776</v>
      </c>
      <c r="F300" s="44" t="s">
        <v>110</v>
      </c>
      <c r="G300" s="128">
        <v>919.4634975263766</v>
      </c>
      <c r="H300" s="128">
        <v>11.0</v>
      </c>
      <c r="I300" s="128">
        <v>907.5476433002776</v>
      </c>
      <c r="J300" s="44" t="s">
        <v>23</v>
      </c>
      <c r="K300" s="128">
        <v>1377.2342424575168</v>
      </c>
      <c r="L300" s="128">
        <v>32.0</v>
      </c>
      <c r="M300" s="128">
        <v>1379.241119672367</v>
      </c>
      <c r="N300" s="44"/>
      <c r="O300" s="128"/>
      <c r="P300" s="128"/>
      <c r="Q300" s="128"/>
      <c r="V300" s="44" t="s">
        <v>248</v>
      </c>
      <c r="W300" s="128">
        <v>967.6223402473805</v>
      </c>
      <c r="X300" s="128">
        <v>16.0</v>
      </c>
      <c r="Y300" s="128">
        <v>973.8124227046803</v>
      </c>
      <c r="Z300" s="44" t="s">
        <v>47</v>
      </c>
      <c r="AA300" s="128">
        <v>1016.9633276228184</v>
      </c>
      <c r="AB300" s="128">
        <v>24.0</v>
      </c>
      <c r="AC300" s="128">
        <v>1028.5311125865205</v>
      </c>
      <c r="AD300" s="44" t="s">
        <v>107</v>
      </c>
      <c r="AE300" s="128">
        <v>1077.6931364639736</v>
      </c>
      <c r="AF300" s="128">
        <v>18.0</v>
      </c>
      <c r="AG300" s="128">
        <v>1084.9352690429714</v>
      </c>
      <c r="AH300" s="44"/>
      <c r="AI300" s="128"/>
      <c r="AJ300" s="128"/>
      <c r="AK300" s="128"/>
      <c r="AP300" s="128">
        <v>12.0</v>
      </c>
      <c r="AQ300" s="128">
        <v>16.0</v>
      </c>
      <c r="AT300" s="44">
        <v>299.0</v>
      </c>
      <c r="AU300" s="44"/>
      <c r="AW300" s="93"/>
      <c r="AY300" s="93"/>
      <c r="AZ300" s="93"/>
      <c r="BA300" s="93"/>
      <c r="BB300" s="155"/>
      <c r="BC300" s="93"/>
      <c r="BE300" s="93"/>
      <c r="BG300" s="93"/>
      <c r="BH300" s="93"/>
      <c r="BI300" s="93"/>
      <c r="BJ300" s="155"/>
      <c r="BK300" s="93"/>
    </row>
    <row r="301">
      <c r="A301" s="166">
        <v>44254.97743067129</v>
      </c>
      <c r="B301" s="44" t="s">
        <v>61</v>
      </c>
      <c r="C301" s="128">
        <v>915.0862415288483</v>
      </c>
      <c r="D301" s="128">
        <v>13.0</v>
      </c>
      <c r="E301" s="128">
        <v>916.7188539991276</v>
      </c>
      <c r="F301" s="44" t="s">
        <v>112</v>
      </c>
      <c r="G301" s="128">
        <v>1015.919809586403</v>
      </c>
      <c r="H301" s="128">
        <v>22.0</v>
      </c>
      <c r="I301" s="128">
        <v>1021.0238128792193</v>
      </c>
      <c r="J301" s="44" t="s">
        <v>47</v>
      </c>
      <c r="K301" s="128">
        <v>1028.5311125865205</v>
      </c>
      <c r="L301" s="128">
        <v>18.0</v>
      </c>
      <c r="M301" s="128">
        <v>1031.9426723863096</v>
      </c>
      <c r="N301" s="44" t="s">
        <v>31</v>
      </c>
      <c r="O301" s="128">
        <v>1381.5311860034892</v>
      </c>
      <c r="P301" s="128">
        <v>34.0</v>
      </c>
      <c r="Q301" s="128">
        <v>1391.3830104406045</v>
      </c>
      <c r="V301" s="44" t="s">
        <v>98</v>
      </c>
      <c r="W301" s="128">
        <v>900.3052957659733</v>
      </c>
      <c r="X301" s="128">
        <v>12.0</v>
      </c>
      <c r="Y301" s="128">
        <v>892.7676265803667</v>
      </c>
      <c r="Z301" s="44" t="s">
        <v>121</v>
      </c>
      <c r="AA301" s="128">
        <v>977.6923195128003</v>
      </c>
      <c r="AB301" s="128">
        <v>2.0</v>
      </c>
      <c r="AC301" s="128">
        <v>965.780170272597</v>
      </c>
      <c r="AD301" s="44" t="s">
        <v>107</v>
      </c>
      <c r="AE301" s="128">
        <v>1084.9352690429714</v>
      </c>
      <c r="AF301" s="128">
        <v>15.0</v>
      </c>
      <c r="AG301" s="128">
        <v>1078.2592894951567</v>
      </c>
      <c r="AH301" s="44" t="s">
        <v>23</v>
      </c>
      <c r="AI301" s="128">
        <v>1379.241119672367</v>
      </c>
      <c r="AJ301" s="128">
        <v>46.0</v>
      </c>
      <c r="AK301" s="128">
        <v>1385.3669176459914</v>
      </c>
      <c r="AP301" s="128">
        <v>16.0</v>
      </c>
      <c r="AQ301" s="128">
        <v>12.0</v>
      </c>
      <c r="AR301" s="44" t="s">
        <v>461</v>
      </c>
      <c r="AS301" s="44" t="s">
        <v>255</v>
      </c>
      <c r="AT301" s="44">
        <v>300.0</v>
      </c>
      <c r="AU301" s="44"/>
      <c r="AW301" s="93"/>
      <c r="AY301" s="93"/>
      <c r="AZ301" s="93"/>
      <c r="BA301" s="93"/>
      <c r="BB301" s="155"/>
      <c r="BC301" s="93"/>
      <c r="BE301" s="93"/>
      <c r="BG301" s="93"/>
      <c r="BH301" s="93"/>
      <c r="BI301" s="93"/>
      <c r="BJ301" s="155"/>
      <c r="BK301" s="93"/>
    </row>
    <row r="302">
      <c r="A302" s="166">
        <v>44255.056510173614</v>
      </c>
      <c r="B302" s="44" t="s">
        <v>98</v>
      </c>
      <c r="C302" s="128">
        <v>892.7676265803667</v>
      </c>
      <c r="D302" s="128">
        <v>25.0</v>
      </c>
      <c r="E302" s="128">
        <v>903.7298435819185</v>
      </c>
      <c r="F302" s="44" t="s">
        <v>61</v>
      </c>
      <c r="G302" s="128">
        <v>916.7188539991276</v>
      </c>
      <c r="H302" s="128">
        <v>14.0</v>
      </c>
      <c r="I302" s="128">
        <v>919.2650651274795</v>
      </c>
      <c r="J302" s="44" t="s">
        <v>248</v>
      </c>
      <c r="K302" s="128">
        <v>973.8124227046803</v>
      </c>
      <c r="L302" s="128">
        <v>26.0</v>
      </c>
      <c r="M302" s="128">
        <v>985.0235920833171</v>
      </c>
      <c r="N302" s="44" t="s">
        <v>23</v>
      </c>
      <c r="O302" s="128">
        <v>1385.3669176459914</v>
      </c>
      <c r="P302" s="128">
        <v>27.0</v>
      </c>
      <c r="Q302" s="128">
        <v>1396.6473201374508</v>
      </c>
      <c r="V302" s="44" t="s">
        <v>88</v>
      </c>
      <c r="W302" s="128">
        <v>1000.0</v>
      </c>
      <c r="X302" s="128">
        <v>5.0</v>
      </c>
      <c r="Y302" s="128">
        <v>983.3941489592568</v>
      </c>
      <c r="Z302" s="44" t="s">
        <v>112</v>
      </c>
      <c r="AA302" s="128">
        <v>1021.0238128792193</v>
      </c>
      <c r="AB302" s="128">
        <v>15.0</v>
      </c>
      <c r="AC302" s="128">
        <v>1011.8599251713966</v>
      </c>
      <c r="AD302" s="44" t="s">
        <v>47</v>
      </c>
      <c r="AE302" s="128">
        <v>1031.9426723863096</v>
      </c>
      <c r="AF302" s="128">
        <v>23.0</v>
      </c>
      <c r="AG302" s="128">
        <v>1028.7513082427295</v>
      </c>
      <c r="AH302" s="44" t="s">
        <v>107</v>
      </c>
      <c r="AI302" s="128">
        <v>1078.2592894951567</v>
      </c>
      <c r="AJ302" s="128">
        <v>18.0</v>
      </c>
      <c r="AK302" s="128">
        <v>1071.220392387303</v>
      </c>
      <c r="AP302" s="128">
        <v>19.0</v>
      </c>
      <c r="AQ302" s="128">
        <v>9.0</v>
      </c>
      <c r="AS302" s="44" t="s">
        <v>229</v>
      </c>
      <c r="AT302" s="44">
        <v>301.0</v>
      </c>
      <c r="AU302" s="44"/>
      <c r="AW302" s="93"/>
      <c r="AY302" s="93"/>
      <c r="AZ302" s="93"/>
      <c r="BA302" s="93"/>
      <c r="BB302" s="155"/>
      <c r="BC302" s="93"/>
      <c r="BE302" s="93"/>
      <c r="BG302" s="93"/>
      <c r="BH302" s="93"/>
      <c r="BI302" s="93"/>
      <c r="BJ302" s="155"/>
      <c r="BK302" s="93"/>
    </row>
    <row r="303">
      <c r="A303" s="166">
        <v>44255.10482057871</v>
      </c>
      <c r="B303" s="44" t="s">
        <v>61</v>
      </c>
      <c r="C303" s="128">
        <v>919.2650651274795</v>
      </c>
      <c r="D303" s="128">
        <v>9.0</v>
      </c>
      <c r="E303" s="128">
        <v>906.8914489707756</v>
      </c>
      <c r="F303" s="44" t="s">
        <v>88</v>
      </c>
      <c r="G303" s="128">
        <v>983.3941489592568</v>
      </c>
      <c r="H303" s="128">
        <v>9.0</v>
      </c>
      <c r="I303" s="128">
        <v>970.7907898425127</v>
      </c>
      <c r="J303" s="44" t="s">
        <v>34</v>
      </c>
      <c r="K303" s="128">
        <v>1000.0</v>
      </c>
      <c r="L303" s="128">
        <v>11.0</v>
      </c>
      <c r="M303" s="128">
        <v>988.5979084407327</v>
      </c>
      <c r="N303" s="44" t="s">
        <v>23</v>
      </c>
      <c r="O303" s="128">
        <v>1396.6473201374508</v>
      </c>
      <c r="P303" s="128">
        <v>40.0</v>
      </c>
      <c r="Q303" s="128">
        <v>1403.0263869701662</v>
      </c>
      <c r="V303" s="44" t="s">
        <v>248</v>
      </c>
      <c r="W303" s="128">
        <v>985.0235920833171</v>
      </c>
      <c r="X303" s="128">
        <v>22.0</v>
      </c>
      <c r="Y303" s="128">
        <v>993.4247842725218</v>
      </c>
      <c r="Z303" s="44" t="s">
        <v>112</v>
      </c>
      <c r="AA303" s="128">
        <v>1011.8599251713966</v>
      </c>
      <c r="AB303" s="128">
        <v>18.0</v>
      </c>
      <c r="AC303" s="128">
        <v>1017.6701759323994</v>
      </c>
      <c r="AD303" s="44" t="s">
        <v>47</v>
      </c>
      <c r="AE303" s="128">
        <v>1028.7513082427295</v>
      </c>
      <c r="AF303" s="128">
        <v>23.0</v>
      </c>
      <c r="AG303" s="128">
        <v>1037.635990407428</v>
      </c>
      <c r="AH303" s="44" t="s">
        <v>107</v>
      </c>
      <c r="AI303" s="128">
        <v>1071.220392387303</v>
      </c>
      <c r="AJ303" s="128">
        <v>20.0</v>
      </c>
      <c r="AK303" s="128">
        <v>1078.1242672723972</v>
      </c>
      <c r="AP303" s="128">
        <v>10.0</v>
      </c>
      <c r="AQ303" s="128">
        <v>18.0</v>
      </c>
      <c r="AR303" s="44" t="s">
        <v>462</v>
      </c>
      <c r="AS303" s="44" t="s">
        <v>229</v>
      </c>
      <c r="AT303" s="44">
        <v>302.0</v>
      </c>
      <c r="AU303" s="44"/>
      <c r="AW303" s="93"/>
      <c r="AY303" s="93"/>
      <c r="AZ303" s="93"/>
      <c r="BA303" s="93"/>
      <c r="BB303" s="155"/>
      <c r="BC303" s="93"/>
      <c r="BE303" s="93"/>
      <c r="BG303" s="93"/>
      <c r="BH303" s="93"/>
      <c r="BI303" s="93"/>
      <c r="BJ303" s="155"/>
      <c r="BK303" s="93"/>
    </row>
    <row r="304">
      <c r="A304" s="166">
        <v>44255.14859115741</v>
      </c>
      <c r="B304" s="44" t="s">
        <v>61</v>
      </c>
      <c r="C304" s="128">
        <v>906.8914489707756</v>
      </c>
      <c r="D304" s="128">
        <v>17.0</v>
      </c>
      <c r="E304" s="128">
        <v>912.7179340372705</v>
      </c>
      <c r="F304" s="44" t="s">
        <v>112</v>
      </c>
      <c r="G304" s="128">
        <v>1017.6701759323994</v>
      </c>
      <c r="H304" s="128">
        <v>20.0</v>
      </c>
      <c r="I304" s="128">
        <v>1025.3799703216398</v>
      </c>
      <c r="J304" s="44" t="s">
        <v>107</v>
      </c>
      <c r="K304" s="128">
        <v>1078.1242672723972</v>
      </c>
      <c r="L304" s="128">
        <v>14.0</v>
      </c>
      <c r="M304" s="128">
        <v>1080.478653002232</v>
      </c>
      <c r="N304" s="44" t="s">
        <v>31</v>
      </c>
      <c r="O304" s="128">
        <v>1391.3830104406045</v>
      </c>
      <c r="P304" s="128">
        <v>41.0</v>
      </c>
      <c r="Q304" s="128">
        <v>1416.4923452550343</v>
      </c>
      <c r="V304" s="44" t="s">
        <v>88</v>
      </c>
      <c r="W304" s="128">
        <v>970.7907898425127</v>
      </c>
      <c r="X304" s="128">
        <v>6.0</v>
      </c>
      <c r="Y304" s="128">
        <v>951.7892766129561</v>
      </c>
      <c r="Z304" s="44" t="s">
        <v>34</v>
      </c>
      <c r="AA304" s="128">
        <v>988.5979084407327</v>
      </c>
      <c r="AB304" s="128">
        <v>7.0</v>
      </c>
      <c r="AC304" s="128">
        <v>970.378935556157</v>
      </c>
      <c r="AD304" s="44" t="s">
        <v>47</v>
      </c>
      <c r="AE304" s="128">
        <v>1037.635990407428</v>
      </c>
      <c r="AF304" s="128">
        <v>11.0</v>
      </c>
      <c r="AG304" s="128">
        <v>1022.6686179933596</v>
      </c>
      <c r="AH304" s="44" t="s">
        <v>23</v>
      </c>
      <c r="AI304" s="128">
        <v>1403.0263869701662</v>
      </c>
      <c r="AJ304" s="128">
        <v>42.0</v>
      </c>
      <c r="AK304" s="128">
        <v>1414.2142454983668</v>
      </c>
      <c r="AP304" s="128">
        <v>20.0</v>
      </c>
      <c r="AQ304" s="128">
        <v>8.0</v>
      </c>
      <c r="AR304" s="44" t="s">
        <v>463</v>
      </c>
      <c r="AS304" s="44" t="s">
        <v>403</v>
      </c>
      <c r="AT304" s="44">
        <v>303.0</v>
      </c>
      <c r="AU304" s="44"/>
      <c r="AW304" s="93"/>
      <c r="AY304" s="93"/>
      <c r="AZ304" s="93"/>
      <c r="BA304" s="93"/>
      <c r="BB304" s="155"/>
      <c r="BC304" s="93"/>
      <c r="BE304" s="93"/>
      <c r="BG304" s="93"/>
      <c r="BH304" s="93"/>
      <c r="BI304" s="93"/>
      <c r="BJ304" s="155"/>
      <c r="BK304" s="93"/>
    </row>
    <row r="305">
      <c r="A305" s="166">
        <v>44255.91946109953</v>
      </c>
      <c r="B305" s="44" t="s">
        <v>98</v>
      </c>
      <c r="C305" s="128">
        <v>903.7298435819185</v>
      </c>
      <c r="D305" s="128">
        <v>6.0</v>
      </c>
      <c r="E305" s="128">
        <v>881.7719783405245</v>
      </c>
      <c r="F305" s="44" t="s">
        <v>112</v>
      </c>
      <c r="G305" s="128">
        <v>1025.3799703216398</v>
      </c>
      <c r="H305" s="128">
        <v>24.0</v>
      </c>
      <c r="I305" s="128">
        <v>1022.35556604271</v>
      </c>
      <c r="J305" s="44" t="s">
        <v>107</v>
      </c>
      <c r="K305" s="128">
        <v>1080.478653002232</v>
      </c>
      <c r="L305" s="128">
        <v>14.0</v>
      </c>
      <c r="M305" s="128">
        <v>1066.4609225225558</v>
      </c>
      <c r="N305" s="44"/>
      <c r="O305" s="128"/>
      <c r="P305" s="128"/>
      <c r="Q305" s="128"/>
      <c r="V305" s="44" t="s">
        <v>90</v>
      </c>
      <c r="W305" s="128">
        <v>949.553444085193</v>
      </c>
      <c r="X305" s="128">
        <v>26.0</v>
      </c>
      <c r="Y305" s="128">
        <v>966.5240573656865</v>
      </c>
      <c r="Z305" s="44" t="s">
        <v>47</v>
      </c>
      <c r="AA305" s="128">
        <v>1022.6686179933596</v>
      </c>
      <c r="AB305" s="128">
        <v>18.0</v>
      </c>
      <c r="AC305" s="128">
        <v>1030.4996121381876</v>
      </c>
      <c r="AD305" s="44" t="s">
        <v>92</v>
      </c>
      <c r="AE305" s="128">
        <v>1049.500874678959</v>
      </c>
      <c r="AF305" s="128">
        <v>24.0</v>
      </c>
      <c r="AG305" s="128">
        <v>1063.6992672536373</v>
      </c>
      <c r="AH305" s="44"/>
      <c r="AI305" s="128"/>
      <c r="AJ305" s="128"/>
      <c r="AK305" s="128"/>
      <c r="AP305" s="128">
        <v>9.0</v>
      </c>
      <c r="AQ305" s="128">
        <v>19.0</v>
      </c>
      <c r="AS305" s="44" t="s">
        <v>255</v>
      </c>
      <c r="AT305" s="44">
        <v>304.0</v>
      </c>
      <c r="AU305" s="44"/>
      <c r="AW305" s="93"/>
      <c r="AY305" s="93"/>
      <c r="AZ305" s="93"/>
      <c r="BA305" s="93"/>
      <c r="BB305" s="155"/>
      <c r="BC305" s="93"/>
      <c r="BE305" s="93"/>
      <c r="BG305" s="93"/>
      <c r="BH305" s="93"/>
      <c r="BI305" s="93"/>
      <c r="BJ305" s="155"/>
      <c r="BK305" s="93"/>
    </row>
    <row r="306">
      <c r="A306" s="166">
        <v>44255.95139822917</v>
      </c>
      <c r="B306" s="44" t="s">
        <v>100</v>
      </c>
      <c r="C306" s="128">
        <v>971.5332571596484</v>
      </c>
      <c r="D306" s="128">
        <v>20.0</v>
      </c>
      <c r="E306" s="128">
        <v>977.958241695405</v>
      </c>
      <c r="F306" s="44" t="s">
        <v>112</v>
      </c>
      <c r="G306" s="128">
        <v>1022.35556604271</v>
      </c>
      <c r="H306" s="128">
        <v>18.0</v>
      </c>
      <c r="I306" s="128">
        <v>1027.5247177661727</v>
      </c>
      <c r="J306" s="44" t="s">
        <v>107</v>
      </c>
      <c r="K306" s="128">
        <v>1066.4609225225558</v>
      </c>
      <c r="L306" s="128">
        <v>24.0</v>
      </c>
      <c r="M306" s="128">
        <v>1074.8667862633367</v>
      </c>
      <c r="N306" s="44"/>
      <c r="O306" s="128"/>
      <c r="P306" s="128"/>
      <c r="Q306" s="128"/>
      <c r="V306" s="44" t="s">
        <v>90</v>
      </c>
      <c r="W306" s="128">
        <v>966.5240573656865</v>
      </c>
      <c r="X306" s="128">
        <v>17.0</v>
      </c>
      <c r="Y306" s="128">
        <v>959.6104577360086</v>
      </c>
      <c r="Z306" s="44" t="s">
        <v>47</v>
      </c>
      <c r="AA306" s="128">
        <v>1030.4996121381876</v>
      </c>
      <c r="AB306" s="128">
        <v>14.0</v>
      </c>
      <c r="AC306" s="128">
        <v>1021.7647616942148</v>
      </c>
      <c r="AD306" s="44" t="s">
        <v>92</v>
      </c>
      <c r="AE306" s="128">
        <v>1063.6992672536373</v>
      </c>
      <c r="AF306" s="128">
        <v>22.0</v>
      </c>
      <c r="AG306" s="128">
        <v>1059.3477173272881</v>
      </c>
      <c r="AH306" s="44"/>
      <c r="AI306" s="128"/>
      <c r="AJ306" s="128"/>
      <c r="AK306" s="128"/>
      <c r="AP306" s="128">
        <v>16.0</v>
      </c>
      <c r="AQ306" s="128">
        <v>12.0</v>
      </c>
      <c r="AS306" s="44" t="s">
        <v>253</v>
      </c>
      <c r="AT306" s="44">
        <v>305.0</v>
      </c>
      <c r="AU306" s="44"/>
      <c r="AW306" s="93"/>
      <c r="AY306" s="93"/>
      <c r="AZ306" s="93"/>
      <c r="BA306" s="93"/>
      <c r="BB306" s="155"/>
      <c r="BC306" s="93"/>
      <c r="BE306" s="93"/>
      <c r="BG306" s="93"/>
      <c r="BH306" s="93"/>
      <c r="BI306" s="93"/>
      <c r="BJ306" s="155"/>
      <c r="BK306" s="93"/>
    </row>
    <row r="307">
      <c r="A307" s="166">
        <v>44255.99518518519</v>
      </c>
      <c r="B307" s="44" t="s">
        <v>100</v>
      </c>
      <c r="C307" s="128">
        <v>977.958241695405</v>
      </c>
      <c r="D307" s="128">
        <v>9.0</v>
      </c>
      <c r="E307" s="128">
        <v>964.7363701785628</v>
      </c>
      <c r="F307" s="44" t="s">
        <v>107</v>
      </c>
      <c r="G307" s="128">
        <v>1074.8667862633367</v>
      </c>
      <c r="H307" s="128">
        <v>17.0</v>
      </c>
      <c r="I307" s="128">
        <v>1068.088657780179</v>
      </c>
      <c r="J307" s="44"/>
      <c r="K307" s="128"/>
      <c r="L307" s="128"/>
      <c r="M307" s="128"/>
      <c r="N307" s="44"/>
      <c r="O307" s="128"/>
      <c r="P307" s="128"/>
      <c r="Q307" s="128"/>
      <c r="V307" s="44" t="s">
        <v>90</v>
      </c>
      <c r="W307" s="128">
        <v>959.6104577360086</v>
      </c>
      <c r="X307" s="128">
        <v>20.0</v>
      </c>
      <c r="Y307" s="128">
        <v>970.2506774153007</v>
      </c>
      <c r="Z307" s="44" t="s">
        <v>27</v>
      </c>
      <c r="AA307" s="128">
        <v>1086.0014897184835</v>
      </c>
      <c r="AB307" s="128">
        <v>19.0</v>
      </c>
      <c r="AC307" s="128">
        <v>1095.3612700391914</v>
      </c>
      <c r="AD307" s="44"/>
      <c r="AE307" s="128"/>
      <c r="AF307" s="128"/>
      <c r="AG307" s="128"/>
      <c r="AH307" s="44"/>
      <c r="AI307" s="128"/>
      <c r="AJ307" s="128"/>
      <c r="AK307" s="128"/>
      <c r="AP307" s="128">
        <v>10.0</v>
      </c>
      <c r="AQ307" s="128">
        <v>18.0</v>
      </c>
      <c r="AT307" s="44">
        <v>306.0</v>
      </c>
      <c r="AU307" s="44"/>
      <c r="AW307" s="93"/>
      <c r="AY307" s="93"/>
      <c r="AZ307" s="93"/>
      <c r="BA307" s="93"/>
      <c r="BB307" s="155"/>
      <c r="BC307" s="93"/>
      <c r="BE307" s="93"/>
      <c r="BG307" s="93"/>
      <c r="BH307" s="93"/>
      <c r="BI307" s="93"/>
      <c r="BJ307" s="155"/>
      <c r="BK307" s="93"/>
    </row>
    <row r="308">
      <c r="A308" s="166">
        <v>44256.959450497685</v>
      </c>
      <c r="B308" s="44" t="s">
        <v>100</v>
      </c>
      <c r="C308" s="128">
        <v>964.7363701785628</v>
      </c>
      <c r="D308" s="128">
        <v>9.0</v>
      </c>
      <c r="E308" s="128">
        <v>955.2164870122512</v>
      </c>
      <c r="F308" s="44" t="s">
        <v>47</v>
      </c>
      <c r="G308" s="128">
        <v>1021.7647616942148</v>
      </c>
      <c r="H308" s="128">
        <v>16.0</v>
      </c>
      <c r="I308" s="128">
        <v>1015.3363136014394</v>
      </c>
      <c r="J308" s="44" t="s">
        <v>112</v>
      </c>
      <c r="K308" s="128">
        <v>1027.5247177661727</v>
      </c>
      <c r="L308" s="128">
        <v>24.0</v>
      </c>
      <c r="M308" s="128">
        <v>1024.7529232244572</v>
      </c>
      <c r="N308" s="44" t="s">
        <v>92</v>
      </c>
      <c r="O308" s="128">
        <v>1059.3477173272881</v>
      </c>
      <c r="P308" s="128">
        <v>23.0</v>
      </c>
      <c r="Q308" s="128">
        <v>1056.0678431280908</v>
      </c>
      <c r="V308" s="44" t="s">
        <v>61</v>
      </c>
      <c r="W308" s="128">
        <v>912.7179340372705</v>
      </c>
      <c r="X308" s="128">
        <v>28.0</v>
      </c>
      <c r="Y308" s="128">
        <v>921.3350234824677</v>
      </c>
      <c r="Z308" s="44" t="s">
        <v>90</v>
      </c>
      <c r="AA308" s="128">
        <v>970.2506774153007</v>
      </c>
      <c r="AB308" s="128">
        <v>27.0</v>
      </c>
      <c r="AC308" s="128">
        <v>978.2286513275391</v>
      </c>
      <c r="AD308" s="44" t="s">
        <v>107</v>
      </c>
      <c r="AE308" s="128">
        <v>1068.088657780179</v>
      </c>
      <c r="AF308" s="128">
        <v>17.0</v>
      </c>
      <c r="AG308" s="128">
        <v>1071.2698013969452</v>
      </c>
      <c r="AH308" s="44" t="s">
        <v>27</v>
      </c>
      <c r="AI308" s="128">
        <v>1095.3612700391914</v>
      </c>
      <c r="AJ308" s="128">
        <v>15.0</v>
      </c>
      <c r="AK308" s="128">
        <v>1097.5850630649895</v>
      </c>
      <c r="AP308" s="128">
        <v>11.0</v>
      </c>
      <c r="AQ308" s="128">
        <v>17.0</v>
      </c>
      <c r="AT308" s="44">
        <v>307.0</v>
      </c>
      <c r="AU308" s="44"/>
      <c r="AW308" s="93"/>
      <c r="AY308" s="93"/>
      <c r="AZ308" s="93"/>
      <c r="BA308" s="93"/>
      <c r="BB308" s="155"/>
      <c r="BC308" s="93"/>
      <c r="BE308" s="93"/>
      <c r="BG308" s="93"/>
      <c r="BH308" s="93"/>
      <c r="BI308" s="93"/>
      <c r="BJ308" s="155"/>
      <c r="BK308" s="93"/>
    </row>
    <row r="309">
      <c r="A309" s="166">
        <v>44257.02002314815</v>
      </c>
      <c r="B309" s="44" t="s">
        <v>245</v>
      </c>
      <c r="C309" s="128">
        <v>1049.9999973993356</v>
      </c>
      <c r="D309" s="128">
        <v>18.0</v>
      </c>
      <c r="E309" s="128">
        <v>1056.7277608885856</v>
      </c>
      <c r="F309" s="44" t="s">
        <v>107</v>
      </c>
      <c r="G309" s="128">
        <v>1071.2698013969452</v>
      </c>
      <c r="H309" s="128">
        <v>19.0</v>
      </c>
      <c r="I309" s="128">
        <v>1078.5420379076952</v>
      </c>
      <c r="J309" s="44"/>
      <c r="K309" s="128"/>
      <c r="L309" s="128"/>
      <c r="M309" s="128"/>
      <c r="N309" s="44"/>
      <c r="O309" s="128"/>
      <c r="P309" s="128"/>
      <c r="Q309" s="128"/>
      <c r="V309" s="44" t="s">
        <v>61</v>
      </c>
      <c r="W309" s="128">
        <v>921.3350234824677</v>
      </c>
      <c r="X309" s="128">
        <v>15.0</v>
      </c>
      <c r="Y309" s="128">
        <v>914.80027763867</v>
      </c>
      <c r="Z309" s="44" t="s">
        <v>27</v>
      </c>
      <c r="AA309" s="128">
        <v>1097.5850630649895</v>
      </c>
      <c r="AB309" s="128">
        <v>14.0</v>
      </c>
      <c r="AC309" s="128">
        <v>1090.1198089087873</v>
      </c>
      <c r="AD309" s="44"/>
      <c r="AE309" s="128"/>
      <c r="AF309" s="128"/>
      <c r="AG309" s="128"/>
      <c r="AH309" s="44"/>
      <c r="AI309" s="128"/>
      <c r="AJ309" s="128"/>
      <c r="AK309" s="128"/>
      <c r="AP309" s="128">
        <v>16.0</v>
      </c>
      <c r="AQ309" s="128">
        <v>12.0</v>
      </c>
      <c r="AR309" s="44" t="s">
        <v>464</v>
      </c>
      <c r="AS309" s="44" t="s">
        <v>231</v>
      </c>
      <c r="AT309" s="44">
        <v>308.0</v>
      </c>
      <c r="AU309" s="44"/>
      <c r="AW309" s="93"/>
      <c r="AY309" s="93"/>
      <c r="AZ309" s="93"/>
      <c r="BA309" s="93"/>
      <c r="BB309" s="155"/>
      <c r="BC309" s="93"/>
      <c r="BE309" s="93"/>
      <c r="BG309" s="93"/>
      <c r="BH309" s="93"/>
      <c r="BI309" s="93"/>
      <c r="BJ309" s="155"/>
      <c r="BK309" s="93"/>
    </row>
    <row r="310">
      <c r="A310" s="166">
        <v>44257.93946541667</v>
      </c>
      <c r="B310" s="44" t="s">
        <v>47</v>
      </c>
      <c r="C310" s="128">
        <v>1015.3363136014394</v>
      </c>
      <c r="D310" s="128">
        <v>15.0</v>
      </c>
      <c r="E310" s="128">
        <v>1022.2393377066712</v>
      </c>
      <c r="F310" s="44" t="s">
        <v>112</v>
      </c>
      <c r="G310" s="128">
        <v>1024.7529232244572</v>
      </c>
      <c r="H310" s="128">
        <v>24.0</v>
      </c>
      <c r="I310" s="128">
        <v>1039.6211716393755</v>
      </c>
      <c r="J310" s="44" t="s">
        <v>27</v>
      </c>
      <c r="K310" s="128">
        <v>1090.1198089087873</v>
      </c>
      <c r="L310" s="128">
        <v>19.0</v>
      </c>
      <c r="M310" s="128">
        <v>1100.348536388637</v>
      </c>
      <c r="N310" s="44"/>
      <c r="O310" s="128"/>
      <c r="P310" s="128"/>
      <c r="Q310" s="128"/>
      <c r="V310" s="44" t="s">
        <v>34</v>
      </c>
      <c r="W310" s="128">
        <v>970.378935556157</v>
      </c>
      <c r="X310" s="128">
        <v>10.0</v>
      </c>
      <c r="Y310" s="128">
        <v>954.57531173311</v>
      </c>
      <c r="Z310" s="44" t="s">
        <v>90</v>
      </c>
      <c r="AA310" s="128">
        <v>978.2286513275391</v>
      </c>
      <c r="AB310" s="128">
        <v>15.0</v>
      </c>
      <c r="AC310" s="128">
        <v>966.8392249398237</v>
      </c>
      <c r="AD310" s="44" t="s">
        <v>23</v>
      </c>
      <c r="AE310" s="128">
        <v>1414.2142454983668</v>
      </c>
      <c r="AF310" s="128">
        <v>23.0</v>
      </c>
      <c r="AG310" s="128">
        <v>1409.4072957091294</v>
      </c>
      <c r="AH310" s="44"/>
      <c r="AI310" s="128"/>
      <c r="AJ310" s="128"/>
      <c r="AK310" s="128"/>
      <c r="AP310" s="128">
        <v>16.0</v>
      </c>
      <c r="AQ310" s="128">
        <v>12.0</v>
      </c>
      <c r="AS310" s="44" t="s">
        <v>232</v>
      </c>
      <c r="AT310" s="44">
        <v>309.0</v>
      </c>
      <c r="AU310" s="44"/>
      <c r="AW310" s="93"/>
      <c r="AY310" s="93"/>
      <c r="AZ310" s="93"/>
      <c r="BA310" s="93"/>
      <c r="BB310" s="155"/>
      <c r="BC310" s="93"/>
      <c r="BE310" s="93"/>
      <c r="BG310" s="93"/>
      <c r="BH310" s="93"/>
      <c r="BI310" s="93"/>
      <c r="BJ310" s="155"/>
      <c r="BK310" s="93"/>
    </row>
    <row r="311">
      <c r="A311" s="166">
        <v>44257.98786222222</v>
      </c>
      <c r="B311" s="44" t="s">
        <v>34</v>
      </c>
      <c r="C311" s="128">
        <v>954.57531173311</v>
      </c>
      <c r="D311" s="128">
        <v>10.0</v>
      </c>
      <c r="E311" s="128">
        <v>954.8236746779161</v>
      </c>
      <c r="F311" s="44" t="s">
        <v>47</v>
      </c>
      <c r="G311" s="128">
        <v>1022.2393377066712</v>
      </c>
      <c r="H311" s="128">
        <v>31.0</v>
      </c>
      <c r="I311" s="128">
        <v>1029.020294211051</v>
      </c>
      <c r="J311" s="44" t="s">
        <v>112</v>
      </c>
      <c r="K311" s="128">
        <v>1039.6211716393755</v>
      </c>
      <c r="L311" s="128">
        <v>17.0</v>
      </c>
      <c r="M311" s="128">
        <v>1041.9446734637525</v>
      </c>
      <c r="N311" s="44" t="s">
        <v>92</v>
      </c>
      <c r="O311" s="128">
        <v>1056.0678431280908</v>
      </c>
      <c r="P311" s="128">
        <v>32.0</v>
      </c>
      <c r="Q311" s="128">
        <v>1063.1206473773823</v>
      </c>
      <c r="R311" s="44" t="s">
        <v>107</v>
      </c>
      <c r="S311" s="128">
        <v>1078.5420379076952</v>
      </c>
      <c r="T311" s="128">
        <v>18.0</v>
      </c>
      <c r="U311" s="128">
        <v>1081.136412384841</v>
      </c>
      <c r="V311" s="44" t="s">
        <v>127</v>
      </c>
      <c r="W311" s="128">
        <v>697.88</v>
      </c>
      <c r="X311" s="128">
        <v>2.0</v>
      </c>
      <c r="Y311" s="128">
        <v>689.8870917482443</v>
      </c>
      <c r="Z311" s="44" t="s">
        <v>121</v>
      </c>
      <c r="AA311" s="128">
        <v>965.780170272597</v>
      </c>
      <c r="AB311" s="128">
        <v>10.0</v>
      </c>
      <c r="AC311" s="128">
        <v>959.6402026333027</v>
      </c>
      <c r="AD311" s="44" t="s">
        <v>90</v>
      </c>
      <c r="AE311" s="128">
        <v>966.8392249398237</v>
      </c>
      <c r="AF311" s="128">
        <v>19.0</v>
      </c>
      <c r="AG311" s="128">
        <v>963.5475948138468</v>
      </c>
      <c r="AH311" s="44" t="s">
        <v>27</v>
      </c>
      <c r="AI311" s="128">
        <v>1100.348536388637</v>
      </c>
      <c r="AJ311" s="128">
        <v>14.0</v>
      </c>
      <c r="AK311" s="128">
        <v>1095.3230919102205</v>
      </c>
      <c r="AL311" s="44" t="s">
        <v>23</v>
      </c>
      <c r="AM311" s="128">
        <v>1409.4072957091294</v>
      </c>
      <c r="AN311" s="128">
        <v>41.0</v>
      </c>
      <c r="AO311" s="128">
        <v>1412.857246204573</v>
      </c>
      <c r="AP311" s="128">
        <v>18.0</v>
      </c>
      <c r="AQ311" s="128">
        <v>10.0</v>
      </c>
      <c r="AS311" s="44" t="s">
        <v>295</v>
      </c>
      <c r="AT311" s="44">
        <v>310.0</v>
      </c>
      <c r="AU311" s="44"/>
      <c r="AW311" s="93"/>
      <c r="AY311" s="93"/>
      <c r="AZ311" s="93"/>
      <c r="BA311" s="93"/>
      <c r="BB311" s="155"/>
      <c r="BC311" s="93"/>
      <c r="BE311" s="93"/>
      <c r="BG311" s="93"/>
      <c r="BH311" s="93"/>
      <c r="BI311" s="93"/>
      <c r="BJ311" s="155"/>
      <c r="BK311" s="93"/>
    </row>
    <row r="312">
      <c r="A312" s="166">
        <v>44258.01548960648</v>
      </c>
      <c r="B312" s="44" t="s">
        <v>112</v>
      </c>
      <c r="C312" s="128">
        <v>1041.9446734637525</v>
      </c>
      <c r="D312" s="128">
        <v>18.0</v>
      </c>
      <c r="E312" s="128">
        <v>1034.0832891855512</v>
      </c>
      <c r="F312" s="44" t="s">
        <v>27</v>
      </c>
      <c r="G312" s="128">
        <v>1095.3230919102205</v>
      </c>
      <c r="H312" s="128">
        <v>13.0</v>
      </c>
      <c r="I312" s="128">
        <v>1083.1844761884217</v>
      </c>
      <c r="J312" s="44"/>
      <c r="K312" s="128"/>
      <c r="L312" s="128"/>
      <c r="M312" s="128"/>
      <c r="N312" s="44"/>
      <c r="O312" s="128"/>
      <c r="P312" s="128"/>
      <c r="Q312" s="128"/>
      <c r="V312" s="44" t="s">
        <v>245</v>
      </c>
      <c r="W312" s="128">
        <v>1056.7277608885856</v>
      </c>
      <c r="X312" s="128">
        <v>19.0</v>
      </c>
      <c r="Y312" s="128">
        <v>1067.1744802269207</v>
      </c>
      <c r="Z312" s="44" t="s">
        <v>107</v>
      </c>
      <c r="AA312" s="128">
        <v>1081.136412384841</v>
      </c>
      <c r="AB312" s="128">
        <v>18.0</v>
      </c>
      <c r="AC312" s="128">
        <v>1090.689693046506</v>
      </c>
      <c r="AD312" s="44"/>
      <c r="AE312" s="128"/>
      <c r="AF312" s="128"/>
      <c r="AG312" s="128"/>
      <c r="AH312" s="44"/>
      <c r="AI312" s="128"/>
      <c r="AJ312" s="128"/>
      <c r="AK312" s="128"/>
      <c r="AP312" s="128">
        <v>10.0</v>
      </c>
      <c r="AQ312" s="128">
        <v>17.0</v>
      </c>
      <c r="AR312" s="44" t="s">
        <v>465</v>
      </c>
      <c r="AS312" s="44" t="s">
        <v>257</v>
      </c>
      <c r="AT312" s="44">
        <v>311.0</v>
      </c>
      <c r="AU312" s="44"/>
      <c r="AW312" s="93"/>
      <c r="AY312" s="93"/>
      <c r="AZ312" s="93"/>
      <c r="BA312" s="93"/>
      <c r="BB312" s="155"/>
      <c r="BC312" s="93"/>
      <c r="BE312" s="93"/>
      <c r="BG312" s="93"/>
      <c r="BH312" s="93"/>
      <c r="BI312" s="93"/>
      <c r="BJ312" s="155"/>
      <c r="BK312" s="93"/>
    </row>
    <row r="313">
      <c r="A313" s="166">
        <v>44258.88456618055</v>
      </c>
      <c r="B313" s="44" t="s">
        <v>61</v>
      </c>
      <c r="C313" s="128">
        <v>914.80027763867</v>
      </c>
      <c r="D313" s="128">
        <v>13.0</v>
      </c>
      <c r="E313" s="128">
        <v>916.035742578349</v>
      </c>
      <c r="F313" s="44" t="s">
        <v>88</v>
      </c>
      <c r="G313" s="128">
        <v>951.7892766129561</v>
      </c>
      <c r="H313" s="128">
        <v>8.0</v>
      </c>
      <c r="I313" s="128">
        <v>952.1555486597504</v>
      </c>
      <c r="J313" s="44" t="s">
        <v>23</v>
      </c>
      <c r="K313" s="128">
        <v>1412.857246204573</v>
      </c>
      <c r="L313" s="128">
        <v>33.0</v>
      </c>
      <c r="M313" s="128">
        <v>1417.2555092180996</v>
      </c>
      <c r="N313" s="44"/>
      <c r="O313" s="128"/>
      <c r="P313" s="128"/>
      <c r="Q313" s="128"/>
      <c r="V313" s="44" t="s">
        <v>47</v>
      </c>
      <c r="W313" s="128">
        <v>1029.020294211051</v>
      </c>
      <c r="X313" s="128">
        <v>30.0</v>
      </c>
      <c r="Y313" s="128">
        <v>1028.805921172747</v>
      </c>
      <c r="Z313" s="44" t="s">
        <v>112</v>
      </c>
      <c r="AA313" s="128">
        <v>1034.0832891855512</v>
      </c>
      <c r="AB313" s="128">
        <v>14.0</v>
      </c>
      <c r="AC313" s="128">
        <v>1031.198979941615</v>
      </c>
      <c r="AD313" s="44" t="s">
        <v>92</v>
      </c>
      <c r="AE313" s="128">
        <v>1063.1206473773823</v>
      </c>
      <c r="AF313" s="128">
        <v>14.0</v>
      </c>
      <c r="AG313" s="128">
        <v>1060.2193296596222</v>
      </c>
      <c r="AH313" s="44"/>
      <c r="AI313" s="128"/>
      <c r="AJ313" s="128"/>
      <c r="AK313" s="128"/>
      <c r="AP313" s="128">
        <v>15.0</v>
      </c>
      <c r="AQ313" s="128">
        <v>13.0</v>
      </c>
      <c r="AS313" s="44" t="s">
        <v>232</v>
      </c>
      <c r="AT313" s="44">
        <v>312.0</v>
      </c>
      <c r="AU313" s="44"/>
      <c r="AW313" s="93"/>
      <c r="AY313" s="93"/>
      <c r="AZ313" s="93"/>
      <c r="BA313" s="93"/>
      <c r="BB313" s="155"/>
      <c r="BC313" s="93"/>
      <c r="BE313" s="93"/>
      <c r="BG313" s="93"/>
      <c r="BH313" s="93"/>
      <c r="BI313" s="93"/>
      <c r="BJ313" s="155"/>
      <c r="BK313" s="93"/>
    </row>
    <row r="314">
      <c r="A314" s="166">
        <v>44258.940138391205</v>
      </c>
      <c r="B314" s="44" t="s">
        <v>88</v>
      </c>
      <c r="C314" s="128">
        <v>952.1555486597504</v>
      </c>
      <c r="D314" s="128">
        <v>9.0</v>
      </c>
      <c r="E314" s="128">
        <v>938.5076458329102</v>
      </c>
      <c r="F314" s="44" t="s">
        <v>121</v>
      </c>
      <c r="G314" s="128">
        <v>959.6402026333027</v>
      </c>
      <c r="H314" s="128">
        <v>8.0</v>
      </c>
      <c r="I314" s="128">
        <v>945.2832175123086</v>
      </c>
      <c r="J314" s="44" t="s">
        <v>47</v>
      </c>
      <c r="K314" s="128">
        <v>1028.805921172747</v>
      </c>
      <c r="L314" s="128">
        <v>23.0</v>
      </c>
      <c r="M314" s="128">
        <v>1024.4992032996518</v>
      </c>
      <c r="N314" s="44" t="s">
        <v>112</v>
      </c>
      <c r="O314" s="128">
        <v>1031.198979941615</v>
      </c>
      <c r="P314" s="128">
        <v>15.0</v>
      </c>
      <c r="Q314" s="128">
        <v>1021.419871051818</v>
      </c>
      <c r="R314" s="44" t="s">
        <v>92</v>
      </c>
      <c r="S314" s="128">
        <v>1060.2193296596222</v>
      </c>
      <c r="T314" s="128">
        <v>31.0</v>
      </c>
      <c r="U314" s="128">
        <v>1061.3100443703488</v>
      </c>
      <c r="V314" s="44" t="s">
        <v>123</v>
      </c>
      <c r="W314" s="128">
        <v>843.5029631250776</v>
      </c>
      <c r="X314" s="128">
        <v>15.0</v>
      </c>
      <c r="Y314" s="128">
        <v>846.5236422256137</v>
      </c>
      <c r="Z314" s="44" t="s">
        <v>98</v>
      </c>
      <c r="AA314" s="128">
        <v>881.7719783405245</v>
      </c>
      <c r="AB314" s="128">
        <v>24.0</v>
      </c>
      <c r="AC314" s="128">
        <v>890.6848531032704</v>
      </c>
      <c r="AD314" s="44" t="s">
        <v>61</v>
      </c>
      <c r="AE314" s="128">
        <v>916.035742578349</v>
      </c>
      <c r="AF314" s="128">
        <v>16.0</v>
      </c>
      <c r="AG314" s="128">
        <v>919.2775326784327</v>
      </c>
      <c r="AH314" s="44" t="s">
        <v>90</v>
      </c>
      <c r="AI314" s="128">
        <v>963.5475948138468</v>
      </c>
      <c r="AJ314" s="128">
        <v>17.0</v>
      </c>
      <c r="AK314" s="128">
        <v>967.2301717902394</v>
      </c>
      <c r="AL314" s="44" t="s">
        <v>23</v>
      </c>
      <c r="AM314" s="128">
        <v>1417.2555092180996</v>
      </c>
      <c r="AN314" s="128">
        <v>45.0</v>
      </c>
      <c r="AO314" s="128">
        <v>1439.3975882783413</v>
      </c>
      <c r="AP314" s="128">
        <v>8.0</v>
      </c>
      <c r="AQ314" s="128">
        <v>20.0</v>
      </c>
      <c r="AS314" s="44" t="s">
        <v>255</v>
      </c>
      <c r="AT314" s="44">
        <v>313.0</v>
      </c>
      <c r="AU314" s="44"/>
      <c r="AW314" s="93"/>
      <c r="AY314" s="93"/>
      <c r="AZ314" s="93"/>
      <c r="BA314" s="93"/>
      <c r="BB314" s="155"/>
      <c r="BC314" s="93"/>
      <c r="BE314" s="93"/>
      <c r="BG314" s="93"/>
      <c r="BH314" s="93"/>
      <c r="BI314" s="93"/>
      <c r="BJ314" s="155"/>
      <c r="BK314" s="93"/>
    </row>
    <row r="315">
      <c r="A315" s="166">
        <v>44258.99679075231</v>
      </c>
      <c r="B315" s="44" t="s">
        <v>127</v>
      </c>
      <c r="C315" s="128">
        <v>689.8870917482443</v>
      </c>
      <c r="D315" s="128">
        <v>5.0</v>
      </c>
      <c r="E315" s="128">
        <v>681.6849278682342</v>
      </c>
      <c r="F315" s="44" t="s">
        <v>61</v>
      </c>
      <c r="G315" s="128">
        <v>919.2775326784327</v>
      </c>
      <c r="H315" s="128">
        <v>28.0</v>
      </c>
      <c r="I315" s="128">
        <v>918.0013867373548</v>
      </c>
      <c r="J315" s="44" t="s">
        <v>88</v>
      </c>
      <c r="K315" s="128">
        <v>938.5076458329102</v>
      </c>
      <c r="L315" s="128">
        <v>14.0</v>
      </c>
      <c r="M315" s="128">
        <v>932.5229014263864</v>
      </c>
      <c r="N315" s="44" t="s">
        <v>121</v>
      </c>
      <c r="O315" s="128">
        <v>945.2832175123086</v>
      </c>
      <c r="P315" s="128">
        <v>11.0</v>
      </c>
      <c r="Q315" s="128">
        <v>938.2844460223985</v>
      </c>
      <c r="R315" s="44" t="s">
        <v>27</v>
      </c>
      <c r="S315" s="128">
        <v>1083.1844761884217</v>
      </c>
      <c r="T315" s="128">
        <v>40.0</v>
      </c>
      <c r="U315" s="128">
        <v>1085.6463019059438</v>
      </c>
      <c r="V315" s="44" t="s">
        <v>129</v>
      </c>
      <c r="W315" s="128">
        <v>753.14</v>
      </c>
      <c r="X315" s="128">
        <v>16.0</v>
      </c>
      <c r="Y315" s="128">
        <v>755.1978772456606</v>
      </c>
      <c r="Z315" s="44" t="s">
        <v>123</v>
      </c>
      <c r="AA315" s="128">
        <v>846.5236422256137</v>
      </c>
      <c r="AB315" s="128">
        <v>33.0</v>
      </c>
      <c r="AC315" s="128">
        <v>853.8837314852002</v>
      </c>
      <c r="AD315" s="44" t="s">
        <v>90</v>
      </c>
      <c r="AE315" s="128">
        <v>967.2301717902394</v>
      </c>
      <c r="AF315" s="128">
        <v>21.0</v>
      </c>
      <c r="AG315" s="128">
        <v>970.2498785010479</v>
      </c>
      <c r="AH315" s="44" t="s">
        <v>58</v>
      </c>
      <c r="AI315" s="128">
        <v>982.5861708943636</v>
      </c>
      <c r="AJ315" s="128">
        <v>21.0</v>
      </c>
      <c r="AK315" s="128">
        <v>985.5730715865236</v>
      </c>
      <c r="AL315" s="44" t="s">
        <v>47</v>
      </c>
      <c r="AM315" s="128">
        <v>1024.4992032996518</v>
      </c>
      <c r="AN315" s="128">
        <v>26.0</v>
      </c>
      <c r="AO315" s="128">
        <v>1029.074629391436</v>
      </c>
      <c r="AP315" s="128">
        <v>12.0</v>
      </c>
      <c r="AQ315" s="128">
        <v>16.0</v>
      </c>
      <c r="AT315" s="44">
        <v>314.0</v>
      </c>
      <c r="AU315" s="44"/>
      <c r="AW315" s="93"/>
      <c r="AY315" s="93"/>
      <c r="AZ315" s="93"/>
      <c r="BA315" s="93"/>
      <c r="BB315" s="155"/>
      <c r="BC315" s="93"/>
      <c r="BE315" s="93"/>
      <c r="BG315" s="93"/>
      <c r="BH315" s="93"/>
      <c r="BI315" s="93"/>
      <c r="BJ315" s="155"/>
      <c r="BK315" s="93"/>
    </row>
    <row r="316">
      <c r="A316" s="166">
        <v>44259.92811184027</v>
      </c>
      <c r="B316" s="44" t="s">
        <v>61</v>
      </c>
      <c r="C316" s="128">
        <v>918.0013867373548</v>
      </c>
      <c r="D316" s="128">
        <v>17.0</v>
      </c>
      <c r="E316" s="128">
        <v>905.1645882102175</v>
      </c>
      <c r="F316" s="44" t="s">
        <v>88</v>
      </c>
      <c r="G316" s="128">
        <v>932.5229014263864</v>
      </c>
      <c r="H316" s="128">
        <v>8.0</v>
      </c>
      <c r="I316" s="128">
        <v>906.3382849254533</v>
      </c>
      <c r="J316" s="44" t="s">
        <v>23</v>
      </c>
      <c r="K316" s="128">
        <v>1439.3975882783413</v>
      </c>
      <c r="L316" s="128">
        <v>17.0</v>
      </c>
      <c r="M316" s="128">
        <v>1425.4190033064117</v>
      </c>
      <c r="N316" s="44"/>
      <c r="O316" s="128"/>
      <c r="P316" s="128"/>
      <c r="Q316" s="128"/>
      <c r="V316" s="44" t="s">
        <v>47</v>
      </c>
      <c r="W316" s="128">
        <v>1029.074629391436</v>
      </c>
      <c r="X316" s="128">
        <v>21.0</v>
      </c>
      <c r="Y316" s="128">
        <v>1045.4367283366303</v>
      </c>
      <c r="Z316" s="44" t="s">
        <v>92</v>
      </c>
      <c r="AA316" s="128">
        <v>1061.3100443703488</v>
      </c>
      <c r="AB316" s="128">
        <v>24.0</v>
      </c>
      <c r="AC316" s="128">
        <v>1081.8980517262426</v>
      </c>
      <c r="AD316" s="44" t="s">
        <v>27</v>
      </c>
      <c r="AE316" s="128">
        <v>1085.6463019059438</v>
      </c>
      <c r="AF316" s="128">
        <v>21.0</v>
      </c>
      <c r="AG316" s="128">
        <v>1101.6961956048558</v>
      </c>
      <c r="AH316" s="44"/>
      <c r="AI316" s="128"/>
      <c r="AJ316" s="128"/>
      <c r="AK316" s="128"/>
      <c r="AP316" s="128">
        <v>8.0</v>
      </c>
      <c r="AQ316" s="128">
        <v>20.0</v>
      </c>
      <c r="AT316" s="44">
        <v>315.0</v>
      </c>
      <c r="AU316" s="44"/>
      <c r="AW316" s="93"/>
      <c r="AY316" s="93"/>
      <c r="AZ316" s="93"/>
      <c r="BA316" s="93"/>
      <c r="BB316" s="155"/>
      <c r="BC316" s="93"/>
      <c r="BE316" s="93"/>
      <c r="BG316" s="93"/>
      <c r="BH316" s="93"/>
      <c r="BI316" s="93"/>
      <c r="BJ316" s="155"/>
      <c r="BK316" s="93"/>
    </row>
    <row r="317">
      <c r="A317" s="166">
        <v>44259.975085150465</v>
      </c>
      <c r="B317" s="44" t="s">
        <v>129</v>
      </c>
      <c r="C317" s="128">
        <v>755.1978772456606</v>
      </c>
      <c r="D317" s="128">
        <v>12.0</v>
      </c>
      <c r="E317" s="128">
        <v>757.3332728689885</v>
      </c>
      <c r="F317" s="44" t="s">
        <v>61</v>
      </c>
      <c r="G317" s="128">
        <v>905.1645882102175</v>
      </c>
      <c r="H317" s="128">
        <v>24.0</v>
      </c>
      <c r="I317" s="128">
        <v>914.279679003997</v>
      </c>
      <c r="J317" s="44" t="s">
        <v>47</v>
      </c>
      <c r="K317" s="128">
        <v>1045.4367283366303</v>
      </c>
      <c r="L317" s="128">
        <v>23.0</v>
      </c>
      <c r="M317" s="128">
        <v>1053.3160204638518</v>
      </c>
      <c r="N317" s="44" t="s">
        <v>23</v>
      </c>
      <c r="O317" s="128">
        <v>1425.4190033064117</v>
      </c>
      <c r="P317" s="128">
        <v>31.0</v>
      </c>
      <c r="Q317" s="128">
        <v>1438.2892247620828</v>
      </c>
      <c r="V317" s="44" t="s">
        <v>88</v>
      </c>
      <c r="W317" s="128">
        <v>906.3382849254533</v>
      </c>
      <c r="X317" s="128">
        <v>9.0</v>
      </c>
      <c r="Y317" s="128">
        <v>893.4734945483932</v>
      </c>
      <c r="Z317" s="44" t="s">
        <v>90</v>
      </c>
      <c r="AA317" s="128">
        <v>970.2498785010479</v>
      </c>
      <c r="AB317" s="128">
        <v>14.0</v>
      </c>
      <c r="AC317" s="128">
        <v>960.4977091124128</v>
      </c>
      <c r="AD317" s="44" t="s">
        <v>92</v>
      </c>
      <c r="AE317" s="128">
        <v>1081.8980517262426</v>
      </c>
      <c r="AF317" s="128">
        <v>22.0</v>
      </c>
      <c r="AG317" s="128">
        <v>1077.2218201870453</v>
      </c>
      <c r="AH317" s="44" t="s">
        <v>27</v>
      </c>
      <c r="AI317" s="128">
        <v>1101.6961956048558</v>
      </c>
      <c r="AJ317" s="128">
        <v>22.0</v>
      </c>
      <c r="AK317" s="128">
        <v>1096.9893869097484</v>
      </c>
      <c r="AP317" s="128">
        <v>19.0</v>
      </c>
      <c r="AQ317" s="128">
        <v>9.0</v>
      </c>
      <c r="AT317" s="44">
        <v>316.0</v>
      </c>
      <c r="AU317" s="44"/>
      <c r="AW317" s="93"/>
      <c r="AY317" s="93"/>
      <c r="AZ317" s="93"/>
      <c r="BA317" s="93"/>
      <c r="BB317" s="155"/>
      <c r="BC317" s="93"/>
      <c r="BE317" s="93"/>
      <c r="BG317" s="93"/>
      <c r="BH317" s="93"/>
      <c r="BI317" s="93"/>
      <c r="BJ317" s="155"/>
      <c r="BK317" s="93"/>
    </row>
    <row r="318">
      <c r="A318" s="166">
        <v>44260.00973849537</v>
      </c>
      <c r="B318" s="44" t="s">
        <v>129</v>
      </c>
      <c r="C318" s="128">
        <v>757.3332728689885</v>
      </c>
      <c r="D318" s="128">
        <v>9.0</v>
      </c>
      <c r="E318" s="128">
        <v>753.318440654802</v>
      </c>
      <c r="F318" s="44" t="s">
        <v>61</v>
      </c>
      <c r="G318" s="128">
        <v>914.279679003997</v>
      </c>
      <c r="H318" s="128">
        <v>8.0</v>
      </c>
      <c r="I318" s="128">
        <v>909.8028436287256</v>
      </c>
      <c r="J318" s="44" t="s">
        <v>90</v>
      </c>
      <c r="K318" s="128">
        <v>960.4977091124128</v>
      </c>
      <c r="L318" s="128">
        <v>25.0</v>
      </c>
      <c r="M318" s="128">
        <v>959.5094770772653</v>
      </c>
      <c r="N318" s="44" t="s">
        <v>23</v>
      </c>
      <c r="O318" s="128">
        <v>1438.2892247620828</v>
      </c>
      <c r="P318" s="128">
        <v>28.0</v>
      </c>
      <c r="Q318" s="128">
        <v>1437.7691243866882</v>
      </c>
      <c r="V318" s="44" t="s">
        <v>88</v>
      </c>
      <c r="W318" s="128">
        <v>893.4734945483932</v>
      </c>
      <c r="X318" s="128">
        <v>4.0</v>
      </c>
      <c r="Y318" s="128">
        <v>892.6724922123594</v>
      </c>
      <c r="Z318" s="44" t="s">
        <v>112</v>
      </c>
      <c r="AA318" s="128">
        <v>1021.419871051818</v>
      </c>
      <c r="AB318" s="128">
        <v>27.0</v>
      </c>
      <c r="AC318" s="128">
        <v>1025.255513640166</v>
      </c>
      <c r="AD318" s="44" t="s">
        <v>47</v>
      </c>
      <c r="AE318" s="128">
        <v>1053.3160204638518</v>
      </c>
      <c r="AF318" s="128">
        <v>19.0</v>
      </c>
      <c r="AG318" s="128">
        <v>1055.458862570974</v>
      </c>
      <c r="AH318" s="44" t="s">
        <v>27</v>
      </c>
      <c r="AI318" s="128">
        <v>1096.9893869097484</v>
      </c>
      <c r="AJ318" s="128">
        <v>32.0</v>
      </c>
      <c r="AK318" s="128">
        <v>1101.8119045503117</v>
      </c>
      <c r="AP318" s="128">
        <v>13.0</v>
      </c>
      <c r="AQ318" s="128">
        <v>15.0</v>
      </c>
      <c r="AS318" s="44" t="s">
        <v>466</v>
      </c>
      <c r="AT318" s="44">
        <v>317.0</v>
      </c>
      <c r="AU318" s="44"/>
      <c r="AW318" s="93"/>
      <c r="AY318" s="93"/>
      <c r="AZ318" s="93"/>
      <c r="BA318" s="93"/>
      <c r="BB318" s="155"/>
      <c r="BC318" s="93"/>
      <c r="BE318" s="93"/>
      <c r="BG318" s="93"/>
      <c r="BH318" s="93"/>
      <c r="BI318" s="93"/>
      <c r="BJ318" s="155"/>
      <c r="BK318" s="93"/>
    </row>
    <row r="319">
      <c r="A319" s="166">
        <v>44260.96422083333</v>
      </c>
      <c r="B319" s="44" t="s">
        <v>58</v>
      </c>
      <c r="C319" s="128">
        <v>985.5730715865236</v>
      </c>
      <c r="D319" s="128">
        <v>21.0</v>
      </c>
      <c r="E319" s="128">
        <v>988.4648252614238</v>
      </c>
      <c r="F319" s="44" t="s">
        <v>112</v>
      </c>
      <c r="G319" s="128">
        <v>1025.255513640166</v>
      </c>
      <c r="H319" s="128">
        <v>15.0</v>
      </c>
      <c r="I319" s="128">
        <v>1026.5989587733807</v>
      </c>
      <c r="J319" s="44" t="s">
        <v>47</v>
      </c>
      <c r="K319" s="128">
        <v>1055.458862570974</v>
      </c>
      <c r="L319" s="128">
        <v>24.0</v>
      </c>
      <c r="M319" s="128">
        <v>1059.0217213677736</v>
      </c>
      <c r="N319" s="44" t="s">
        <v>31</v>
      </c>
      <c r="O319" s="128">
        <v>1416.4923452550343</v>
      </c>
      <c r="P319" s="128">
        <v>27.0</v>
      </c>
      <c r="Q319" s="128">
        <v>1420.6942876501198</v>
      </c>
      <c r="V319" s="44" t="s">
        <v>245</v>
      </c>
      <c r="W319" s="128">
        <v>1067.1744802269207</v>
      </c>
      <c r="X319" s="128">
        <v>11.0</v>
      </c>
      <c r="Y319" s="128">
        <v>1063.7449015257662</v>
      </c>
      <c r="Z319" s="44" t="s">
        <v>92</v>
      </c>
      <c r="AA319" s="128">
        <v>1077.2218201870453</v>
      </c>
      <c r="AB319" s="128">
        <v>14.0</v>
      </c>
      <c r="AC319" s="128">
        <v>1074.537319142998</v>
      </c>
      <c r="AD319" s="44" t="s">
        <v>107</v>
      </c>
      <c r="AE319" s="128">
        <v>1090.689693046506</v>
      </c>
      <c r="AF319" s="128">
        <v>7.0</v>
      </c>
      <c r="AG319" s="128">
        <v>1086.2490659165019</v>
      </c>
      <c r="AH319" s="44" t="s">
        <v>27</v>
      </c>
      <c r="AI319" s="128">
        <v>1101.8119045503117</v>
      </c>
      <c r="AJ319" s="128">
        <v>19.0</v>
      </c>
      <c r="AK319" s="128">
        <v>1100.3666114255175</v>
      </c>
      <c r="AP319" s="128">
        <v>18.0</v>
      </c>
      <c r="AQ319" s="128">
        <v>10.0</v>
      </c>
      <c r="AT319" s="44">
        <v>318.0</v>
      </c>
      <c r="AU319" s="44"/>
      <c r="AW319" s="93"/>
      <c r="AY319" s="93"/>
      <c r="AZ319" s="93"/>
      <c r="BA319" s="93"/>
      <c r="BB319" s="155"/>
      <c r="BC319" s="93"/>
      <c r="BE319" s="93"/>
      <c r="BG319" s="93"/>
      <c r="BH319" s="93"/>
      <c r="BI319" s="93"/>
      <c r="BJ319" s="155"/>
      <c r="BK319" s="93"/>
    </row>
    <row r="320">
      <c r="A320" s="166">
        <v>44260.97162491898</v>
      </c>
      <c r="B320" s="44" t="s">
        <v>88</v>
      </c>
      <c r="C320" s="128">
        <v>892.6724922123594</v>
      </c>
      <c r="D320" s="128">
        <v>19.0</v>
      </c>
      <c r="E320" s="128">
        <v>899.0405076724358</v>
      </c>
      <c r="F320" s="44" t="s">
        <v>61</v>
      </c>
      <c r="G320" s="128">
        <v>909.8028436287256</v>
      </c>
      <c r="H320" s="128">
        <v>37.0</v>
      </c>
      <c r="I320" s="128">
        <v>931.4212982720555</v>
      </c>
      <c r="J320" s="44" t="s">
        <v>364</v>
      </c>
      <c r="K320" s="128">
        <v>910.9864357717847</v>
      </c>
      <c r="L320" s="128">
        <v>14.0</v>
      </c>
      <c r="M320" s="128">
        <v>912.9507282259132</v>
      </c>
      <c r="N320" s="44" t="s">
        <v>90</v>
      </c>
      <c r="O320" s="128">
        <v>959.5094770772653</v>
      </c>
      <c r="P320" s="128">
        <v>25.0</v>
      </c>
      <c r="Q320" s="128">
        <v>970.5587145197305</v>
      </c>
      <c r="V320" s="44" t="s">
        <v>123</v>
      </c>
      <c r="W320" s="128">
        <v>853.8837314852002</v>
      </c>
      <c r="X320" s="128">
        <v>23.0</v>
      </c>
      <c r="Y320" s="128">
        <v>849.0968742102672</v>
      </c>
      <c r="Z320" s="44" t="s">
        <v>98</v>
      </c>
      <c r="AA320" s="128">
        <v>890.6848531032704</v>
      </c>
      <c r="AB320" s="128">
        <v>19.0</v>
      </c>
      <c r="AC320" s="128">
        <v>882.2700750082223</v>
      </c>
      <c r="AD320" s="44" t="s">
        <v>121</v>
      </c>
      <c r="AE320" s="128">
        <v>938.2844460223985</v>
      </c>
      <c r="AF320" s="128">
        <v>13.0</v>
      </c>
      <c r="AG320" s="128">
        <v>924.508283366206</v>
      </c>
      <c r="AH320" s="44" t="s">
        <v>467</v>
      </c>
      <c r="AI320" s="128">
        <v>1000.0</v>
      </c>
      <c r="AJ320" s="128">
        <v>13.0</v>
      </c>
      <c r="AK320" s="128">
        <v>985.9777980261736</v>
      </c>
      <c r="AP320" s="128">
        <v>20.0</v>
      </c>
      <c r="AQ320" s="128">
        <v>8.0</v>
      </c>
      <c r="AT320" s="44">
        <v>319.0</v>
      </c>
      <c r="AU320" s="44"/>
      <c r="AW320" s="93"/>
      <c r="AY320" s="93"/>
      <c r="AZ320" s="93"/>
      <c r="BA320" s="93"/>
      <c r="BB320" s="155"/>
      <c r="BC320" s="93"/>
      <c r="BE320" s="93"/>
      <c r="BG320" s="93"/>
      <c r="BH320" s="93"/>
      <c r="BI320" s="93"/>
      <c r="BJ320" s="155"/>
      <c r="BK320" s="93"/>
    </row>
    <row r="321">
      <c r="A321" s="166">
        <v>44261.03804295139</v>
      </c>
      <c r="B321" s="44" t="s">
        <v>127</v>
      </c>
      <c r="C321" s="128">
        <v>681.6849278682342</v>
      </c>
      <c r="D321" s="128">
        <v>6.0</v>
      </c>
      <c r="E321" s="128">
        <v>667.5804259321485</v>
      </c>
      <c r="F321" s="44" t="s">
        <v>454</v>
      </c>
      <c r="G321" s="128">
        <v>799.23</v>
      </c>
      <c r="H321" s="128">
        <v>1.0</v>
      </c>
      <c r="I321" s="128">
        <v>781.1235375244959</v>
      </c>
      <c r="J321" s="44" t="s">
        <v>123</v>
      </c>
      <c r="K321" s="128">
        <v>849.0968742102672</v>
      </c>
      <c r="L321" s="128">
        <v>18.0</v>
      </c>
      <c r="M321" s="128">
        <v>841.7786611283027</v>
      </c>
      <c r="N321" s="44" t="s">
        <v>27</v>
      </c>
      <c r="O321" s="128">
        <v>1100.3666114255175</v>
      </c>
      <c r="P321" s="128">
        <v>29.0</v>
      </c>
      <c r="Q321" s="128">
        <v>1099.4133080349422</v>
      </c>
      <c r="R321" s="44" t="s">
        <v>23</v>
      </c>
      <c r="S321" s="128">
        <v>1437.7691243866882</v>
      </c>
      <c r="T321" s="128">
        <v>33.0</v>
      </c>
      <c r="U321" s="128">
        <v>1439.2516052708177</v>
      </c>
      <c r="V321" s="44" t="s">
        <v>129</v>
      </c>
      <c r="W321" s="128">
        <v>753.318440654802</v>
      </c>
      <c r="X321" s="128">
        <v>10.0</v>
      </c>
      <c r="Y321" s="128">
        <v>754.5749573780511</v>
      </c>
      <c r="Z321" s="44" t="s">
        <v>364</v>
      </c>
      <c r="AA321" s="128">
        <v>912.9507282259132</v>
      </c>
      <c r="AB321" s="128">
        <v>9.0</v>
      </c>
      <c r="AC321" s="128">
        <v>912.5607950557824</v>
      </c>
      <c r="AD321" s="44" t="s">
        <v>47</v>
      </c>
      <c r="AE321" s="128">
        <v>1059.0217213677736</v>
      </c>
      <c r="AF321" s="128">
        <v>35.0</v>
      </c>
      <c r="AG321" s="128">
        <v>1075.0069742332198</v>
      </c>
      <c r="AH321" s="44" t="s">
        <v>245</v>
      </c>
      <c r="AI321" s="128">
        <v>1063.7449015257662</v>
      </c>
      <c r="AJ321" s="128">
        <v>32.0</v>
      </c>
      <c r="AK321" s="128">
        <v>1077.768826234583</v>
      </c>
      <c r="AL321" s="44" t="s">
        <v>107</v>
      </c>
      <c r="AM321" s="128">
        <v>1086.2490659165019</v>
      </c>
      <c r="AN321" s="44">
        <v>30.0</v>
      </c>
      <c r="AO321" s="44">
        <v>1099.37330478912</v>
      </c>
      <c r="AP321" s="128">
        <v>7.0</v>
      </c>
      <c r="AQ321" s="128">
        <v>21.0</v>
      </c>
      <c r="AR321" s="44" t="s">
        <v>468</v>
      </c>
      <c r="AS321" s="44" t="s">
        <v>266</v>
      </c>
      <c r="AT321" s="44">
        <v>320.0</v>
      </c>
      <c r="AU321" s="44"/>
      <c r="AW321" s="93"/>
      <c r="AY321" s="93"/>
      <c r="AZ321" s="93"/>
      <c r="BA321" s="93"/>
      <c r="BB321" s="155"/>
      <c r="BC321" s="93"/>
      <c r="BE321" s="93"/>
      <c r="BG321" s="93"/>
      <c r="BH321" s="93"/>
      <c r="BI321" s="93"/>
      <c r="BJ321" s="155"/>
      <c r="BK321" s="93"/>
    </row>
    <row r="322">
      <c r="A322" s="166">
        <v>44261.08941008102</v>
      </c>
      <c r="B322" s="44" t="s">
        <v>88</v>
      </c>
      <c r="C322" s="128">
        <v>899.0405076724358</v>
      </c>
      <c r="D322" s="128">
        <v>14.0</v>
      </c>
      <c r="E322" s="128">
        <v>899.7936285551534</v>
      </c>
      <c r="F322" s="44" t="s">
        <v>110</v>
      </c>
      <c r="G322" s="128">
        <v>907.5476433002776</v>
      </c>
      <c r="H322" s="128">
        <v>18.0</v>
      </c>
      <c r="I322" s="128">
        <v>908.9567630874883</v>
      </c>
      <c r="J322" s="44" t="s">
        <v>61</v>
      </c>
      <c r="K322" s="128">
        <v>931.4212982720555</v>
      </c>
      <c r="L322" s="128">
        <v>27.0</v>
      </c>
      <c r="M322" s="128">
        <v>934.3021760050622</v>
      </c>
      <c r="N322" s="44" t="s">
        <v>47</v>
      </c>
      <c r="O322" s="128">
        <v>1075.0069742332198</v>
      </c>
      <c r="P322" s="128">
        <v>23.0</v>
      </c>
      <c r="Q322" s="128">
        <v>1077.1013526964393</v>
      </c>
      <c r="R322" s="44" t="s">
        <v>23</v>
      </c>
      <c r="S322" s="128">
        <v>1439.2516052708177</v>
      </c>
      <c r="T322" s="128">
        <v>28.0</v>
      </c>
      <c r="U322" s="128">
        <v>1442.1141084046633</v>
      </c>
      <c r="V322" s="44" t="s">
        <v>123</v>
      </c>
      <c r="W322" s="128">
        <v>841.7786611283027</v>
      </c>
      <c r="X322" s="128">
        <v>18.0</v>
      </c>
      <c r="Y322" s="128">
        <v>839.0830283717413</v>
      </c>
      <c r="Z322" s="44" t="s">
        <v>98</v>
      </c>
      <c r="AA322" s="128">
        <v>882.2700750082223</v>
      </c>
      <c r="AB322" s="128">
        <v>19.0</v>
      </c>
      <c r="AC322" s="128">
        <v>879.6797144767069</v>
      </c>
      <c r="AD322" s="44" t="s">
        <v>112</v>
      </c>
      <c r="AE322" s="128">
        <v>1026.5989587733807</v>
      </c>
      <c r="AF322" s="128">
        <v>17.0</v>
      </c>
      <c r="AG322" s="128">
        <v>1023.5175279763042</v>
      </c>
      <c r="AH322" s="44" t="s">
        <v>245</v>
      </c>
      <c r="AI322" s="128">
        <v>1077.768826234583</v>
      </c>
      <c r="AJ322" s="128">
        <v>15.0</v>
      </c>
      <c r="AK322" s="128">
        <v>1074.3193777171875</v>
      </c>
      <c r="AL322" s="44" t="s">
        <v>31</v>
      </c>
      <c r="AM322" s="128">
        <v>1420.6942876501198</v>
      </c>
      <c r="AN322" s="128">
        <v>47.0</v>
      </c>
      <c r="AO322" s="128">
        <v>1422.5111602526686</v>
      </c>
      <c r="AP322" s="128">
        <v>15.0</v>
      </c>
      <c r="AQ322" s="128">
        <v>13.0</v>
      </c>
      <c r="AS322" s="44" t="s">
        <v>339</v>
      </c>
      <c r="AT322" s="44">
        <v>321.0</v>
      </c>
      <c r="AU322" s="44"/>
      <c r="AV322" s="44" t="s">
        <v>129</v>
      </c>
      <c r="AW322" s="45">
        <v>754.5749573780511</v>
      </c>
      <c r="AX322" s="44">
        <v>13.0</v>
      </c>
      <c r="AY322" s="145">
        <v>754.89</v>
      </c>
      <c r="AZ322" s="93"/>
      <c r="BA322" s="93"/>
      <c r="BB322" s="155"/>
      <c r="BC322" s="93"/>
      <c r="BD322" s="44" t="s">
        <v>127</v>
      </c>
      <c r="BE322" s="145">
        <v>667.58</v>
      </c>
      <c r="BF322" s="44">
        <v>5.0</v>
      </c>
      <c r="BG322" s="145">
        <v>660.25</v>
      </c>
      <c r="BH322" s="93"/>
      <c r="BI322" s="93"/>
      <c r="BJ322" s="155"/>
      <c r="BK322" s="93"/>
    </row>
    <row r="323">
      <c r="A323" s="166">
        <v>44261.945378819444</v>
      </c>
      <c r="B323" s="44" t="s">
        <v>88</v>
      </c>
      <c r="C323" s="128">
        <v>899.7936285551534</v>
      </c>
      <c r="D323" s="128">
        <v>19.0</v>
      </c>
      <c r="E323" s="128">
        <v>900.4900899997441</v>
      </c>
      <c r="F323" s="44" t="s">
        <v>121</v>
      </c>
      <c r="G323" s="128">
        <v>924.508283366206</v>
      </c>
      <c r="H323" s="128">
        <v>9.0</v>
      </c>
      <c r="I323" s="128">
        <v>924.5264348972789</v>
      </c>
      <c r="J323" s="44" t="s">
        <v>90</v>
      </c>
      <c r="K323" s="128">
        <v>970.5587145197305</v>
      </c>
      <c r="L323" s="128">
        <v>34.0</v>
      </c>
      <c r="M323" s="128">
        <v>972.2245985682786</v>
      </c>
      <c r="N323" s="44" t="s">
        <v>246</v>
      </c>
      <c r="O323" s="128">
        <v>1000.0</v>
      </c>
      <c r="P323" s="128">
        <v>24.0</v>
      </c>
      <c r="Q323" s="128">
        <v>1000.9889429980184</v>
      </c>
      <c r="R323" s="44" t="s">
        <v>27</v>
      </c>
      <c r="S323" s="128">
        <v>1099.4133080349422</v>
      </c>
      <c r="T323" s="128">
        <v>19.0</v>
      </c>
      <c r="U323" s="128">
        <v>1100.0438680127122</v>
      </c>
      <c r="V323" s="44" t="s">
        <v>127</v>
      </c>
      <c r="W323" s="128">
        <v>660.25</v>
      </c>
      <c r="X323" s="128">
        <v>7.0</v>
      </c>
      <c r="Y323" s="128">
        <v>658.7160073997464</v>
      </c>
      <c r="Z323" s="44" t="s">
        <v>98</v>
      </c>
      <c r="AA323" s="128">
        <v>879.6797144767069</v>
      </c>
      <c r="AB323" s="128">
        <v>16.0</v>
      </c>
      <c r="AC323" s="128">
        <v>878.5907295483286</v>
      </c>
      <c r="AD323" s="44" t="s">
        <v>58</v>
      </c>
      <c r="AE323" s="128">
        <v>988.4648252614238</v>
      </c>
      <c r="AF323" s="128">
        <v>22.0</v>
      </c>
      <c r="AG323" s="128">
        <v>987.7287472105334</v>
      </c>
      <c r="AH323" s="44" t="s">
        <v>112</v>
      </c>
      <c r="AI323" s="128">
        <v>1023.5175279763042</v>
      </c>
      <c r="AJ323" s="128">
        <v>28.0</v>
      </c>
      <c r="AK323" s="128">
        <v>1023.1704021988472</v>
      </c>
      <c r="AL323" s="44" t="s">
        <v>47</v>
      </c>
      <c r="AM323" s="128">
        <v>1077.1013526964393</v>
      </c>
      <c r="AN323" s="128">
        <v>29.0</v>
      </c>
      <c r="AO323" s="128">
        <v>1076.8075340534187</v>
      </c>
      <c r="AP323" s="128">
        <v>15.0</v>
      </c>
      <c r="AQ323" s="128">
        <v>13.0</v>
      </c>
      <c r="AT323" s="44">
        <v>322.0</v>
      </c>
      <c r="AU323" s="44"/>
      <c r="AW323" s="93"/>
      <c r="AY323" s="93"/>
      <c r="AZ323" s="93"/>
      <c r="BA323" s="93"/>
      <c r="BB323" s="155"/>
      <c r="BC323" s="93"/>
      <c r="BE323" s="93"/>
      <c r="BG323" s="93"/>
      <c r="BH323" s="93"/>
      <c r="BI323" s="93"/>
      <c r="BJ323" s="155"/>
      <c r="BK323" s="93"/>
    </row>
    <row r="324">
      <c r="A324" s="166">
        <v>44261.99792001158</v>
      </c>
      <c r="B324" s="44" t="s">
        <v>98</v>
      </c>
      <c r="C324" s="128">
        <v>878.5907295483286</v>
      </c>
      <c r="D324" s="128">
        <v>24.0</v>
      </c>
      <c r="E324" s="128">
        <v>882.1299566871179</v>
      </c>
      <c r="F324" s="44" t="s">
        <v>88</v>
      </c>
      <c r="G324" s="128">
        <v>900.4900899997441</v>
      </c>
      <c r="H324" s="128">
        <v>9.0</v>
      </c>
      <c r="I324" s="128">
        <v>900.5531570125144</v>
      </c>
      <c r="J324" s="44" t="s">
        <v>58</v>
      </c>
      <c r="K324" s="128">
        <v>987.7287472105334</v>
      </c>
      <c r="L324" s="128">
        <v>16.0</v>
      </c>
      <c r="M324" s="128">
        <v>989.2699705628379</v>
      </c>
      <c r="N324" s="44" t="s">
        <v>112</v>
      </c>
      <c r="O324" s="128">
        <v>1023.1704021988472</v>
      </c>
      <c r="P324" s="128">
        <v>35.0</v>
      </c>
      <c r="Q324" s="128">
        <v>1029.0268846949832</v>
      </c>
      <c r="V324" s="44" t="s">
        <v>127</v>
      </c>
      <c r="W324" s="128">
        <v>658.7160073997464</v>
      </c>
      <c r="X324" s="128">
        <v>7.0</v>
      </c>
      <c r="Y324" s="128">
        <v>653.891658495079</v>
      </c>
      <c r="Z324" s="44" t="s">
        <v>90</v>
      </c>
      <c r="AA324" s="128">
        <v>972.2245985682786</v>
      </c>
      <c r="AB324" s="128">
        <v>20.0</v>
      </c>
      <c r="AC324" s="128">
        <v>969.7739470672202</v>
      </c>
      <c r="AD324" s="44" t="s">
        <v>47</v>
      </c>
      <c r="AE324" s="128">
        <v>1076.8075340534187</v>
      </c>
      <c r="AF324" s="128">
        <v>19.0</v>
      </c>
      <c r="AG324" s="128">
        <v>1074.035400731667</v>
      </c>
      <c r="AH324" s="44" t="s">
        <v>27</v>
      </c>
      <c r="AI324" s="128">
        <v>1100.0438680127122</v>
      </c>
      <c r="AJ324" s="128">
        <v>27.0</v>
      </c>
      <c r="AK324" s="128">
        <v>1099.0910017401895</v>
      </c>
      <c r="AP324" s="128">
        <v>15.0</v>
      </c>
      <c r="AQ324" s="128">
        <v>13.0</v>
      </c>
      <c r="AT324" s="44">
        <v>323.0</v>
      </c>
      <c r="AU324" s="44"/>
      <c r="AW324" s="93"/>
      <c r="AY324" s="93"/>
      <c r="AZ324" s="93"/>
      <c r="BA324" s="93"/>
      <c r="BB324" s="155"/>
      <c r="BC324" s="93"/>
      <c r="BE324" s="93"/>
      <c r="BG324" s="93"/>
      <c r="BH324" s="93"/>
      <c r="BI324" s="93"/>
      <c r="BJ324" s="155"/>
      <c r="BK324" s="93"/>
    </row>
    <row r="325">
      <c r="A325" s="166">
        <v>44262.03480109954</v>
      </c>
      <c r="B325" s="44" t="s">
        <v>98</v>
      </c>
      <c r="C325" s="128">
        <v>882.1299566871179</v>
      </c>
      <c r="D325" s="128">
        <v>26.0</v>
      </c>
      <c r="E325" s="128">
        <v>885.627132901688</v>
      </c>
      <c r="F325" s="44" t="s">
        <v>90</v>
      </c>
      <c r="G325" s="128">
        <v>969.7739470672202</v>
      </c>
      <c r="H325" s="128">
        <v>20.0</v>
      </c>
      <c r="I325" s="128">
        <v>972.0418205531593</v>
      </c>
      <c r="J325" s="44" t="s">
        <v>47</v>
      </c>
      <c r="K325" s="128">
        <v>1074.035400731667</v>
      </c>
      <c r="L325" s="128">
        <v>14.0</v>
      </c>
      <c r="M325" s="128">
        <v>1075.0970630510108</v>
      </c>
      <c r="N325" s="44" t="s">
        <v>27</v>
      </c>
      <c r="O325" s="128">
        <v>1099.0910017401895</v>
      </c>
      <c r="P325" s="128">
        <v>20.0</v>
      </c>
      <c r="Q325" s="128">
        <v>1101.2642897203366</v>
      </c>
      <c r="V325" s="44" t="s">
        <v>127</v>
      </c>
      <c r="W325" s="128">
        <v>653.891658495079</v>
      </c>
      <c r="X325" s="128">
        <v>6.0</v>
      </c>
      <c r="Y325" s="128">
        <v>649.3801904557658</v>
      </c>
      <c r="Z325" s="44" t="s">
        <v>88</v>
      </c>
      <c r="AA325" s="128">
        <v>900.5531570125144</v>
      </c>
      <c r="AB325" s="128">
        <v>11.0</v>
      </c>
      <c r="AC325" s="128">
        <v>896.4959991991672</v>
      </c>
      <c r="AD325" s="44" t="s">
        <v>112</v>
      </c>
      <c r="AE325" s="128">
        <v>1029.0268846949832</v>
      </c>
      <c r="AF325" s="128">
        <v>25.0</v>
      </c>
      <c r="AG325" s="128">
        <v>1027.455971391476</v>
      </c>
      <c r="AH325" s="44" t="s">
        <v>31</v>
      </c>
      <c r="AI325" s="128">
        <v>1422.5111602526686</v>
      </c>
      <c r="AJ325" s="128">
        <v>40.0</v>
      </c>
      <c r="AK325" s="128">
        <v>1423.650699408836</v>
      </c>
      <c r="AP325" s="128">
        <v>15.0</v>
      </c>
      <c r="AQ325" s="128">
        <v>13.0</v>
      </c>
      <c r="AT325" s="44">
        <v>324.0</v>
      </c>
      <c r="AU325" s="44"/>
      <c r="AW325" s="93"/>
      <c r="AY325" s="93"/>
      <c r="AZ325" s="93"/>
      <c r="BA325" s="93"/>
      <c r="BB325" s="155"/>
      <c r="BC325" s="93"/>
      <c r="BE325" s="93"/>
      <c r="BG325" s="93"/>
      <c r="BH325" s="93"/>
      <c r="BI325" s="93"/>
      <c r="BJ325" s="155"/>
      <c r="BK325" s="93"/>
    </row>
    <row r="326">
      <c r="A326" s="166">
        <v>44262.93694575231</v>
      </c>
      <c r="B326" s="44" t="s">
        <v>88</v>
      </c>
      <c r="C326" s="128">
        <v>896.4959991991672</v>
      </c>
      <c r="D326" s="128">
        <v>14.0</v>
      </c>
      <c r="E326" s="128">
        <v>889.3854202021286</v>
      </c>
      <c r="F326" s="44" t="s">
        <v>112</v>
      </c>
      <c r="G326" s="128">
        <v>1027.455971391476</v>
      </c>
      <c r="H326" s="128">
        <v>22.0</v>
      </c>
      <c r="I326" s="128">
        <v>1024.0462112541813</v>
      </c>
      <c r="J326" s="44" t="s">
        <v>47</v>
      </c>
      <c r="K326" s="128">
        <v>1075.0970630510108</v>
      </c>
      <c r="L326" s="128">
        <v>14.0</v>
      </c>
      <c r="M326" s="128">
        <v>1067.617402185344</v>
      </c>
      <c r="N326" s="44"/>
      <c r="O326" s="128"/>
      <c r="P326" s="128"/>
      <c r="Q326" s="128"/>
      <c r="V326" s="44" t="s">
        <v>90</v>
      </c>
      <c r="W326" s="128">
        <v>972.0418205531593</v>
      </c>
      <c r="X326" s="128">
        <v>21.0</v>
      </c>
      <c r="Y326" s="128">
        <v>978.1337878628959</v>
      </c>
      <c r="Z326" s="44" t="s">
        <v>248</v>
      </c>
      <c r="AA326" s="128">
        <v>993.4247842725218</v>
      </c>
      <c r="AB326" s="128">
        <v>26.0</v>
      </c>
      <c r="AC326" s="128">
        <v>1001.9610314811003</v>
      </c>
      <c r="AD326" s="44" t="s">
        <v>92</v>
      </c>
      <c r="AE326" s="128">
        <v>1074.537319142998</v>
      </c>
      <c r="AF326" s="128">
        <v>16.0</v>
      </c>
      <c r="AG326" s="128">
        <v>1077.9091046246829</v>
      </c>
      <c r="AH326" s="44"/>
      <c r="AI326" s="128"/>
      <c r="AJ326" s="128"/>
      <c r="AK326" s="128"/>
      <c r="AP326" s="128">
        <v>10.0</v>
      </c>
      <c r="AQ326" s="128">
        <v>18.0</v>
      </c>
      <c r="AS326" s="44" t="s">
        <v>229</v>
      </c>
      <c r="AT326" s="44">
        <v>325.0</v>
      </c>
      <c r="AU326" s="44"/>
      <c r="AW326" s="93"/>
      <c r="AY326" s="93"/>
      <c r="AZ326" s="93"/>
      <c r="BA326" s="93"/>
      <c r="BB326" s="155"/>
      <c r="BC326" s="93"/>
      <c r="BE326" s="93"/>
      <c r="BG326" s="93"/>
      <c r="BH326" s="93"/>
      <c r="BI326" s="93"/>
      <c r="BJ326" s="155"/>
      <c r="BK326" s="93"/>
    </row>
    <row r="327">
      <c r="A327" s="166">
        <v>44262.992457835644</v>
      </c>
      <c r="B327" s="44" t="s">
        <v>88</v>
      </c>
      <c r="C327" s="128">
        <v>889.3854202021286</v>
      </c>
      <c r="D327" s="128">
        <v>17.0</v>
      </c>
      <c r="E327" s="128">
        <v>884.5776013059566</v>
      </c>
      <c r="F327" s="44" t="s">
        <v>27</v>
      </c>
      <c r="G327" s="128">
        <v>1101.2642897203366</v>
      </c>
      <c r="H327" s="128">
        <v>11.0</v>
      </c>
      <c r="I327" s="128">
        <v>1092.9025217607436</v>
      </c>
      <c r="J327" s="44" t="s">
        <v>23</v>
      </c>
      <c r="K327" s="128">
        <v>1442.1141084046633</v>
      </c>
      <c r="L327" s="128">
        <v>16.0</v>
      </c>
      <c r="M327" s="128">
        <v>1436.2836952604282</v>
      </c>
      <c r="N327" s="44"/>
      <c r="O327" s="128"/>
      <c r="P327" s="128"/>
      <c r="Q327" s="128"/>
      <c r="V327" s="44" t="s">
        <v>248</v>
      </c>
      <c r="W327" s="128">
        <v>1001.9610314811003</v>
      </c>
      <c r="X327" s="128">
        <v>14.0</v>
      </c>
      <c r="Y327" s="128">
        <v>1004.7317790692236</v>
      </c>
      <c r="Z327" s="44" t="s">
        <v>112</v>
      </c>
      <c r="AA327" s="128">
        <v>1024.0462112541813</v>
      </c>
      <c r="AB327" s="128">
        <v>17.0</v>
      </c>
      <c r="AC327" s="128">
        <v>1028.3482937366482</v>
      </c>
      <c r="AD327" s="44" t="s">
        <v>31</v>
      </c>
      <c r="AE327" s="128">
        <v>1423.650699408836</v>
      </c>
      <c r="AF327" s="128">
        <v>32.0</v>
      </c>
      <c r="AG327" s="128">
        <v>1435.5778693382458</v>
      </c>
      <c r="AH327" s="44"/>
      <c r="AI327" s="128"/>
      <c r="AJ327" s="128"/>
      <c r="AK327" s="128"/>
      <c r="AP327" s="128">
        <v>10.0</v>
      </c>
      <c r="AQ327" s="128">
        <v>18.0</v>
      </c>
      <c r="AS327" s="44" t="s">
        <v>231</v>
      </c>
      <c r="AT327" s="44">
        <v>326.0</v>
      </c>
      <c r="AU327" s="44"/>
      <c r="AW327" s="93"/>
      <c r="AY327" s="93"/>
      <c r="AZ327" s="93"/>
      <c r="BA327" s="93"/>
      <c r="BB327" s="155"/>
      <c r="BC327" s="93"/>
      <c r="BE327" s="93"/>
      <c r="BG327" s="93"/>
      <c r="BH327" s="93"/>
      <c r="BI327" s="93"/>
      <c r="BJ327" s="155"/>
      <c r="BK327" s="93"/>
    </row>
    <row r="328">
      <c r="A328" s="166">
        <v>44263.90936024305</v>
      </c>
      <c r="B328" s="44" t="s">
        <v>469</v>
      </c>
      <c r="C328" s="128">
        <v>1000.0</v>
      </c>
      <c r="D328" s="128">
        <v>13.0</v>
      </c>
      <c r="E328" s="128">
        <v>989.9140227187619</v>
      </c>
      <c r="F328" s="44" t="s">
        <v>112</v>
      </c>
      <c r="G328" s="128">
        <v>1028.3482937366482</v>
      </c>
      <c r="H328" s="128">
        <v>12.0</v>
      </c>
      <c r="I328" s="128">
        <v>1017.5297418582909</v>
      </c>
      <c r="J328" s="44" t="s">
        <v>31</v>
      </c>
      <c r="K328" s="128">
        <v>1435.5778693382458</v>
      </c>
      <c r="L328" s="128">
        <v>24.0</v>
      </c>
      <c r="M328" s="128">
        <v>1432.4823984978414</v>
      </c>
      <c r="N328" s="44"/>
      <c r="O328" s="128"/>
      <c r="P328" s="128"/>
      <c r="Q328" s="128"/>
      <c r="V328" s="44" t="s">
        <v>98</v>
      </c>
      <c r="W328" s="128">
        <v>885.627132901688</v>
      </c>
      <c r="X328" s="128">
        <v>8.0</v>
      </c>
      <c r="Y328" s="128">
        <v>887.205699609049</v>
      </c>
      <c r="Z328" s="44" t="s">
        <v>92</v>
      </c>
      <c r="AA328" s="128">
        <v>1077.9091046246829</v>
      </c>
      <c r="AB328" s="128">
        <v>17.0</v>
      </c>
      <c r="AC328" s="128">
        <v>1084.8904233314925</v>
      </c>
      <c r="AD328" s="44" t="s">
        <v>23</v>
      </c>
      <c r="AE328" s="128">
        <v>1436.2836952604282</v>
      </c>
      <c r="AF328" s="128">
        <v>30.0</v>
      </c>
      <c r="AG328" s="128">
        <v>1451.7238098462576</v>
      </c>
      <c r="AH328" s="44"/>
      <c r="AI328" s="128"/>
      <c r="AJ328" s="128"/>
      <c r="AK328" s="128"/>
      <c r="AP328" s="128">
        <v>12.0</v>
      </c>
      <c r="AQ328" s="128">
        <v>16.0</v>
      </c>
      <c r="AT328" s="44">
        <v>327.0</v>
      </c>
      <c r="AU328" s="44"/>
      <c r="AW328" s="93"/>
      <c r="AY328" s="93"/>
      <c r="AZ328" s="93"/>
      <c r="BA328" s="93"/>
      <c r="BB328" s="155"/>
      <c r="BC328" s="93"/>
      <c r="BE328" s="93"/>
      <c r="BG328" s="93"/>
      <c r="BH328" s="93"/>
      <c r="BI328" s="93"/>
      <c r="BJ328" s="155"/>
      <c r="BK328" s="93"/>
    </row>
    <row r="329">
      <c r="A329" s="166">
        <v>44263.963918194444</v>
      </c>
      <c r="B329" s="44" t="s">
        <v>88</v>
      </c>
      <c r="C329" s="128">
        <v>884.5776013059566</v>
      </c>
      <c r="D329" s="128">
        <v>11.0</v>
      </c>
      <c r="E329" s="128">
        <v>884.5776013059566</v>
      </c>
      <c r="F329" s="44" t="s">
        <v>34</v>
      </c>
      <c r="G329" s="128">
        <v>954.8236746779161</v>
      </c>
      <c r="H329" s="128">
        <v>21.0</v>
      </c>
      <c r="I329" s="128">
        <v>954.8236746779161</v>
      </c>
      <c r="J329" s="44" t="s">
        <v>92</v>
      </c>
      <c r="K329" s="128">
        <v>1084.8904233314925</v>
      </c>
      <c r="L329" s="128">
        <v>22.0</v>
      </c>
      <c r="M329" s="128">
        <v>1084.8904233314925</v>
      </c>
      <c r="N329" s="44" t="s">
        <v>23</v>
      </c>
      <c r="O329" s="128">
        <v>1451.7238098462576</v>
      </c>
      <c r="P329" s="128">
        <v>23.0</v>
      </c>
      <c r="Q329" s="128">
        <v>1451.7238098462576</v>
      </c>
      <c r="V329" s="44" t="s">
        <v>121</v>
      </c>
      <c r="W329" s="128">
        <v>924.5264348972789</v>
      </c>
      <c r="X329" s="128">
        <v>11.0</v>
      </c>
      <c r="Y329" s="128">
        <v>924.5264348972789</v>
      </c>
      <c r="Z329" s="44" t="s">
        <v>115</v>
      </c>
      <c r="AA329" s="128">
        <v>998.6638927557113</v>
      </c>
      <c r="AB329" s="128">
        <v>18.0</v>
      </c>
      <c r="AC329" s="128">
        <v>998.6638927557113</v>
      </c>
      <c r="AD329" s="44" t="s">
        <v>112</v>
      </c>
      <c r="AE329" s="128">
        <v>1017.5297418582909</v>
      </c>
      <c r="AF329" s="128">
        <v>21.0</v>
      </c>
      <c r="AG329" s="128">
        <v>1017.5297418582909</v>
      </c>
      <c r="AH329" s="44" t="s">
        <v>31</v>
      </c>
      <c r="AI329" s="128">
        <v>1432.4823984978414</v>
      </c>
      <c r="AJ329" s="128">
        <v>30.0</v>
      </c>
      <c r="AK329" s="128">
        <v>1432.4823984978414</v>
      </c>
      <c r="AP329" s="128">
        <v>14.0</v>
      </c>
      <c r="AQ329" s="128">
        <v>14.0</v>
      </c>
      <c r="AT329" s="44">
        <v>328.0</v>
      </c>
      <c r="AU329" s="44"/>
      <c r="AW329" s="93"/>
      <c r="AY329" s="93"/>
      <c r="AZ329" s="93"/>
      <c r="BA329" s="93"/>
      <c r="BB329" s="155"/>
      <c r="BC329" s="93"/>
      <c r="BE329" s="93"/>
      <c r="BG329" s="93"/>
      <c r="BH329" s="93"/>
      <c r="BI329" s="93"/>
      <c r="BJ329" s="155"/>
      <c r="BK329" s="93"/>
    </row>
    <row r="330">
      <c r="A330" s="166">
        <v>44264.023282256945</v>
      </c>
      <c r="B330" s="44" t="s">
        <v>129</v>
      </c>
      <c r="C330" s="128">
        <v>754.89</v>
      </c>
      <c r="D330" s="128">
        <v>12.0</v>
      </c>
      <c r="E330" s="128">
        <v>754.89</v>
      </c>
      <c r="F330" s="44" t="s">
        <v>88</v>
      </c>
      <c r="G330" s="128">
        <v>884.5776013059566</v>
      </c>
      <c r="H330" s="128">
        <v>10.0</v>
      </c>
      <c r="I330" s="128">
        <v>884.5776013059566</v>
      </c>
      <c r="J330" s="44" t="s">
        <v>248</v>
      </c>
      <c r="K330" s="128">
        <v>1004.7317790692236</v>
      </c>
      <c r="L330" s="128">
        <v>25.0</v>
      </c>
      <c r="M330" s="128">
        <v>1004.7317790692236</v>
      </c>
      <c r="N330" s="44" t="s">
        <v>23</v>
      </c>
      <c r="O330" s="128">
        <v>1451.7238098462576</v>
      </c>
      <c r="P330" s="128">
        <v>34.0</v>
      </c>
      <c r="Q330" s="128">
        <v>1451.7238098462576</v>
      </c>
      <c r="V330" s="44" t="s">
        <v>127</v>
      </c>
      <c r="W330" s="128">
        <v>649.3801904557658</v>
      </c>
      <c r="X330" s="128">
        <v>10.0</v>
      </c>
      <c r="Y330" s="128">
        <v>649.3801904557658</v>
      </c>
      <c r="Z330" s="44" t="s">
        <v>121</v>
      </c>
      <c r="AA330" s="128">
        <v>924.5264348972789</v>
      </c>
      <c r="AB330" s="128">
        <v>11.0</v>
      </c>
      <c r="AC330" s="128">
        <v>924.5264348972789</v>
      </c>
      <c r="AD330" s="44" t="s">
        <v>27</v>
      </c>
      <c r="AE330" s="128">
        <v>1092.9025217607436</v>
      </c>
      <c r="AF330" s="128">
        <v>18.0</v>
      </c>
      <c r="AG330" s="128">
        <v>1092.9025217607436</v>
      </c>
      <c r="AH330" s="44" t="s">
        <v>31</v>
      </c>
      <c r="AI330" s="128">
        <v>1432.4823984978414</v>
      </c>
      <c r="AJ330" s="128">
        <v>39.0</v>
      </c>
      <c r="AK330" s="128">
        <v>1432.4823984978414</v>
      </c>
      <c r="AP330" s="128">
        <v>14.0</v>
      </c>
      <c r="AQ330" s="128">
        <v>14.0</v>
      </c>
      <c r="AT330" s="44">
        <v>329.0</v>
      </c>
      <c r="AU330" s="44"/>
      <c r="AW330" s="93"/>
      <c r="AY330" s="93"/>
      <c r="AZ330" s="93"/>
      <c r="BA330" s="93"/>
      <c r="BB330" s="155"/>
      <c r="BC330" s="93"/>
      <c r="BE330" s="93"/>
      <c r="BG330" s="93"/>
      <c r="BH330" s="93"/>
      <c r="BI330" s="93"/>
      <c r="BJ330" s="155"/>
      <c r="BK330" s="93"/>
    </row>
    <row r="331">
      <c r="A331" s="166">
        <v>44264.929379293986</v>
      </c>
      <c r="B331" s="44" t="s">
        <v>88</v>
      </c>
      <c r="C331" s="128">
        <v>884.5776013059566</v>
      </c>
      <c r="D331" s="128">
        <v>22.0</v>
      </c>
      <c r="E331" s="128">
        <v>884.5776013059566</v>
      </c>
      <c r="F331" s="44" t="s">
        <v>115</v>
      </c>
      <c r="G331" s="128">
        <v>998.6638927557113</v>
      </c>
      <c r="H331" s="128">
        <v>13.0</v>
      </c>
      <c r="I331" s="128">
        <v>998.6638927557113</v>
      </c>
      <c r="J331" s="44" t="s">
        <v>92</v>
      </c>
      <c r="K331" s="128">
        <v>1084.8904233314925</v>
      </c>
      <c r="L331" s="128">
        <v>19.0</v>
      </c>
      <c r="M331" s="128">
        <v>1084.8904233314925</v>
      </c>
      <c r="N331" s="44" t="s">
        <v>27</v>
      </c>
      <c r="O331" s="128">
        <v>1092.9025217607436</v>
      </c>
      <c r="P331" s="128">
        <v>21.0</v>
      </c>
      <c r="Q331" s="128">
        <v>1092.9025217607436</v>
      </c>
      <c r="V331" s="44" t="s">
        <v>61</v>
      </c>
      <c r="W331" s="128">
        <v>934.3021760050622</v>
      </c>
      <c r="X331" s="128">
        <v>22.0</v>
      </c>
      <c r="Y331" s="128">
        <v>934.3021760050622</v>
      </c>
      <c r="Z331" s="44" t="s">
        <v>248</v>
      </c>
      <c r="AA331" s="128">
        <v>1004.7317790692236</v>
      </c>
      <c r="AB331" s="128">
        <v>24.0</v>
      </c>
      <c r="AC331" s="128">
        <v>1004.7317790692236</v>
      </c>
      <c r="AD331" s="44" t="s">
        <v>112</v>
      </c>
      <c r="AE331" s="128">
        <v>1017.5297418582909</v>
      </c>
      <c r="AF331" s="128">
        <v>15.0</v>
      </c>
      <c r="AG331" s="128">
        <v>1017.5297418582909</v>
      </c>
      <c r="AH331" s="44" t="s">
        <v>107</v>
      </c>
      <c r="AI331" s="128">
        <v>1099.37330478912</v>
      </c>
      <c r="AJ331" s="128">
        <v>13.0</v>
      </c>
      <c r="AK331" s="128">
        <v>1099.37330478912</v>
      </c>
      <c r="AP331" s="128">
        <v>14.0</v>
      </c>
      <c r="AQ331" s="128">
        <v>14.0</v>
      </c>
      <c r="AT331" s="44">
        <v>330.0</v>
      </c>
      <c r="AU331" s="44"/>
      <c r="AW331" s="93"/>
      <c r="AY331" s="93"/>
      <c r="AZ331" s="93"/>
      <c r="BA331" s="93"/>
      <c r="BB331" s="155"/>
      <c r="BC331" s="93"/>
      <c r="BE331" s="93"/>
      <c r="BG331" s="93"/>
      <c r="BH331" s="93"/>
      <c r="BI331" s="93"/>
      <c r="BJ331" s="155"/>
      <c r="BK331" s="93"/>
    </row>
    <row r="332">
      <c r="A332" s="166">
        <v>44264.980335671295</v>
      </c>
      <c r="B332" s="44" t="s">
        <v>129</v>
      </c>
      <c r="C332" s="128">
        <v>754.89</v>
      </c>
      <c r="D332" s="128">
        <v>9.0</v>
      </c>
      <c r="E332" s="128">
        <v>754.89</v>
      </c>
      <c r="F332" s="44" t="s">
        <v>88</v>
      </c>
      <c r="G332" s="128">
        <v>884.5776013059566</v>
      </c>
      <c r="H332" s="128">
        <v>12.0</v>
      </c>
      <c r="I332" s="128">
        <v>884.5776013059566</v>
      </c>
      <c r="J332" s="44" t="s">
        <v>34</v>
      </c>
      <c r="K332" s="128">
        <v>954.8236746779161</v>
      </c>
      <c r="L332" s="128">
        <v>17.0</v>
      </c>
      <c r="M332" s="128">
        <v>954.8236746779161</v>
      </c>
      <c r="N332" s="44" t="s">
        <v>107</v>
      </c>
      <c r="O332" s="128">
        <v>1099.37330478912</v>
      </c>
      <c r="P332" s="128">
        <v>22.0</v>
      </c>
      <c r="Q332" s="128">
        <v>1099.37330478912</v>
      </c>
      <c r="R332" s="44" t="s">
        <v>31</v>
      </c>
      <c r="S332" s="128">
        <v>1432.4823984978414</v>
      </c>
      <c r="T332" s="128">
        <v>39.0</v>
      </c>
      <c r="U332" s="128">
        <v>1432.4823984978414</v>
      </c>
      <c r="V332" s="44" t="s">
        <v>121</v>
      </c>
      <c r="W332" s="128">
        <v>924.5264348972789</v>
      </c>
      <c r="X332" s="128">
        <v>17.0</v>
      </c>
      <c r="Y332" s="128">
        <v>924.5264348972789</v>
      </c>
      <c r="Z332" s="44" t="s">
        <v>248</v>
      </c>
      <c r="AA332" s="128">
        <v>1004.7317790692236</v>
      </c>
      <c r="AB332" s="128">
        <v>19.0</v>
      </c>
      <c r="AC332" s="128">
        <v>1004.7317790692236</v>
      </c>
      <c r="AD332" s="44" t="s">
        <v>112</v>
      </c>
      <c r="AE332" s="128">
        <v>1017.5297418582909</v>
      </c>
      <c r="AF332" s="128">
        <v>25.0</v>
      </c>
      <c r="AG332" s="128">
        <v>1017.5297418582909</v>
      </c>
      <c r="AH332" s="44" t="s">
        <v>92</v>
      </c>
      <c r="AI332" s="128">
        <v>1084.8904233314925</v>
      </c>
      <c r="AJ332" s="128">
        <v>25.0</v>
      </c>
      <c r="AK332" s="128">
        <v>1084.8904233314925</v>
      </c>
      <c r="AL332" s="44" t="s">
        <v>27</v>
      </c>
      <c r="AM332" s="128">
        <v>1092.9025217607436</v>
      </c>
      <c r="AN332" s="128">
        <v>29.0</v>
      </c>
      <c r="AO332" s="128">
        <v>1092.9025217607436</v>
      </c>
      <c r="AP332" s="128">
        <v>14.0</v>
      </c>
      <c r="AQ332" s="128">
        <v>14.0</v>
      </c>
      <c r="AS332" s="44" t="s">
        <v>384</v>
      </c>
      <c r="AT332" s="44">
        <v>331.0</v>
      </c>
      <c r="AU332" s="44"/>
      <c r="AW332" s="93"/>
      <c r="AY332" s="93"/>
      <c r="AZ332" s="93"/>
      <c r="BA332" s="93"/>
      <c r="BB332" s="155"/>
      <c r="BC332" s="93"/>
      <c r="BE332" s="93"/>
      <c r="BG332" s="93"/>
      <c r="BH332" s="93"/>
      <c r="BI332" s="93"/>
      <c r="BJ332" s="155"/>
      <c r="BK332" s="93"/>
    </row>
    <row r="333">
      <c r="A333" s="166">
        <v>44265.016912569445</v>
      </c>
      <c r="B333" s="44" t="s">
        <v>127</v>
      </c>
      <c r="C333" s="128">
        <v>649.3801904557658</v>
      </c>
      <c r="D333" s="128">
        <v>4.0</v>
      </c>
      <c r="E333" s="128">
        <v>654.618192396946</v>
      </c>
      <c r="F333" s="44" t="s">
        <v>129</v>
      </c>
      <c r="G333" s="128">
        <v>754.89</v>
      </c>
      <c r="H333" s="128">
        <v>9.0</v>
      </c>
      <c r="I333" s="128">
        <v>764.33389072315</v>
      </c>
      <c r="J333" s="44" t="s">
        <v>451</v>
      </c>
      <c r="K333" s="128">
        <v>798.15</v>
      </c>
      <c r="L333" s="128">
        <v>4.0</v>
      </c>
      <c r="M333" s="128">
        <v>802.3140297206022</v>
      </c>
      <c r="N333" s="44" t="s">
        <v>90</v>
      </c>
      <c r="O333" s="128">
        <v>978.1337878628959</v>
      </c>
      <c r="P333" s="128">
        <v>12.0</v>
      </c>
      <c r="Q333" s="128">
        <v>989.4485067154176</v>
      </c>
      <c r="R333" s="44" t="s">
        <v>31</v>
      </c>
      <c r="S333" s="128">
        <v>1432.4823984978414</v>
      </c>
      <c r="T333" s="128">
        <v>31.0</v>
      </c>
      <c r="U333" s="128">
        <v>1462.3217572603871</v>
      </c>
      <c r="V333" s="44" t="s">
        <v>455</v>
      </c>
      <c r="W333" s="128">
        <v>781.3151516006161</v>
      </c>
      <c r="X333" s="128">
        <v>4.0</v>
      </c>
      <c r="Y333" s="128">
        <v>765.0032481097292</v>
      </c>
      <c r="Z333" s="44" t="s">
        <v>88</v>
      </c>
      <c r="AA333" s="128">
        <v>884.5776013059566</v>
      </c>
      <c r="AB333" s="128">
        <v>13.0</v>
      </c>
      <c r="AC333" s="128">
        <v>876.8564559520719</v>
      </c>
      <c r="AD333" s="44" t="s">
        <v>121</v>
      </c>
      <c r="AE333" s="128">
        <v>924.5264348972789</v>
      </c>
      <c r="AF333" s="128">
        <v>8.0</v>
      </c>
      <c r="AG333" s="128">
        <v>911.6791852382163</v>
      </c>
      <c r="AH333" s="44" t="s">
        <v>248</v>
      </c>
      <c r="AI333" s="128">
        <v>1004.7317790692236</v>
      </c>
      <c r="AJ333" s="128">
        <v>12.0</v>
      </c>
      <c r="AK333" s="128">
        <v>995.6847136391858</v>
      </c>
      <c r="AL333" s="44" t="s">
        <v>112</v>
      </c>
      <c r="AM333" s="128">
        <v>1017.5297418582909</v>
      </c>
      <c r="AN333" s="128">
        <v>7.0</v>
      </c>
      <c r="AO333" s="128">
        <v>1003.4571057921629</v>
      </c>
      <c r="AP333" s="128">
        <v>12.0</v>
      </c>
      <c r="AQ333" s="128">
        <v>2.0</v>
      </c>
      <c r="AS333" s="44" t="s">
        <v>470</v>
      </c>
      <c r="AT333" s="44">
        <v>332.0</v>
      </c>
      <c r="AU333" s="44"/>
      <c r="AW333" s="93"/>
      <c r="AY333" s="93"/>
      <c r="AZ333" s="93"/>
      <c r="BA333" s="93"/>
      <c r="BB333" s="155"/>
      <c r="BC333" s="93"/>
      <c r="BE333" s="93"/>
      <c r="BG333" s="93"/>
      <c r="BH333" s="93"/>
      <c r="BI333" s="93"/>
      <c r="BJ333" s="155"/>
      <c r="BK333" s="93"/>
    </row>
    <row r="334">
      <c r="A334" s="166">
        <v>44265.93790655093</v>
      </c>
      <c r="B334" s="44" t="s">
        <v>98</v>
      </c>
      <c r="C334" s="128">
        <v>887.205699609049</v>
      </c>
      <c r="D334" s="128">
        <v>17.0</v>
      </c>
      <c r="E334" s="128">
        <v>883.7571066705891</v>
      </c>
      <c r="F334" s="44" t="s">
        <v>47</v>
      </c>
      <c r="G334" s="128">
        <v>1067.617402185344</v>
      </c>
      <c r="H334" s="128">
        <v>18.0</v>
      </c>
      <c r="I334" s="128">
        <v>1064.2143097353976</v>
      </c>
      <c r="J334" s="44" t="s">
        <v>107</v>
      </c>
      <c r="K334" s="128">
        <v>1099.37330478912</v>
      </c>
      <c r="L334" s="128">
        <v>19.0</v>
      </c>
      <c r="M334" s="128">
        <v>1096.2249901775265</v>
      </c>
      <c r="N334" s="44"/>
      <c r="O334" s="128"/>
      <c r="P334" s="128"/>
      <c r="Q334" s="128"/>
      <c r="V334" s="44" t="s">
        <v>88</v>
      </c>
      <c r="W334" s="128">
        <v>876.8564559520719</v>
      </c>
      <c r="X334" s="128">
        <v>10.0</v>
      </c>
      <c r="Y334" s="128">
        <v>877.7887053790823</v>
      </c>
      <c r="Z334" s="44" t="s">
        <v>92</v>
      </c>
      <c r="AA334" s="128">
        <v>1084.8904233314925</v>
      </c>
      <c r="AB334" s="128">
        <v>26.0</v>
      </c>
      <c r="AC334" s="128">
        <v>1089.9828644330903</v>
      </c>
      <c r="AD334" s="44" t="s">
        <v>27</v>
      </c>
      <c r="AE334" s="128">
        <v>1092.9025217607436</v>
      </c>
      <c r="AF334" s="128">
        <v>22.0</v>
      </c>
      <c r="AG334" s="128">
        <v>1096.8778312321353</v>
      </c>
      <c r="AH334" s="44"/>
      <c r="AI334" s="128"/>
      <c r="AJ334" s="128"/>
      <c r="AK334" s="128"/>
      <c r="AP334" s="128">
        <v>13.0</v>
      </c>
      <c r="AQ334" s="128">
        <v>15.0</v>
      </c>
      <c r="AS334" s="44" t="s">
        <v>244</v>
      </c>
      <c r="AT334" s="44">
        <v>333.0</v>
      </c>
      <c r="AU334" s="44"/>
      <c r="AW334" s="93"/>
      <c r="AY334" s="93"/>
      <c r="AZ334" s="93"/>
      <c r="BA334" s="93"/>
      <c r="BB334" s="155"/>
      <c r="BC334" s="93"/>
      <c r="BE334" s="93"/>
      <c r="BG334" s="93"/>
      <c r="BH334" s="93"/>
      <c r="BI334" s="93"/>
      <c r="BJ334" s="155"/>
      <c r="BK334" s="93"/>
    </row>
    <row r="335">
      <c r="A335" s="166">
        <v>44266.00443417824</v>
      </c>
      <c r="B335" s="44" t="s">
        <v>129</v>
      </c>
      <c r="C335" s="128">
        <v>764.33389072315</v>
      </c>
      <c r="D335" s="128">
        <v>13.0</v>
      </c>
      <c r="E335" s="128">
        <v>766.0711296449905</v>
      </c>
      <c r="F335" s="44" t="s">
        <v>112</v>
      </c>
      <c r="G335" s="128">
        <v>1003.4571057921629</v>
      </c>
      <c r="H335" s="128">
        <v>23.0</v>
      </c>
      <c r="I335" s="128">
        <v>1007.7679102324664</v>
      </c>
      <c r="J335" s="44" t="s">
        <v>47</v>
      </c>
      <c r="K335" s="128">
        <v>1064.2143097353976</v>
      </c>
      <c r="L335" s="128">
        <v>25.0</v>
      </c>
      <c r="M335" s="128">
        <v>1069.078823824235</v>
      </c>
      <c r="N335" s="44" t="s">
        <v>92</v>
      </c>
      <c r="O335" s="128">
        <v>1089.9828644330903</v>
      </c>
      <c r="P335" s="128">
        <v>20.0</v>
      </c>
      <c r="Q335" s="128">
        <v>1093.2377893452863</v>
      </c>
      <c r="R335" s="44" t="s">
        <v>107</v>
      </c>
      <c r="S335" s="128">
        <v>1096.2249901775265</v>
      </c>
      <c r="T335" s="128">
        <v>25.0</v>
      </c>
      <c r="U335" s="128">
        <v>1101.0575078143488</v>
      </c>
      <c r="V335" s="44" t="s">
        <v>127</v>
      </c>
      <c r="W335" s="128">
        <v>654.618192396946</v>
      </c>
      <c r="X335" s="128">
        <v>6.0</v>
      </c>
      <c r="Y335" s="128">
        <v>648.1517518015204</v>
      </c>
      <c r="Z335" s="44" t="s">
        <v>88</v>
      </c>
      <c r="AA335" s="128">
        <v>877.7887053790823</v>
      </c>
      <c r="AB335" s="128">
        <v>17.0</v>
      </c>
      <c r="AC335" s="128">
        <v>874.202775096109</v>
      </c>
      <c r="AD335" s="44" t="s">
        <v>121</v>
      </c>
      <c r="AE335" s="128">
        <v>911.6791852382163</v>
      </c>
      <c r="AF335" s="128">
        <v>8.0</v>
      </c>
      <c r="AG335" s="128">
        <v>905.1790196268914</v>
      </c>
      <c r="AH335" s="44" t="s">
        <v>27</v>
      </c>
      <c r="AI335" s="128">
        <v>1096.8778312321353</v>
      </c>
      <c r="AJ335" s="128">
        <v>29.0</v>
      </c>
      <c r="AK335" s="128">
        <v>1096.801499858685</v>
      </c>
      <c r="AL335" s="44" t="s">
        <v>31</v>
      </c>
      <c r="AM335" s="128">
        <v>1462.3217572603871</v>
      </c>
      <c r="AN335" s="128">
        <v>22.0</v>
      </c>
      <c r="AO335" s="128">
        <v>1459.9506251235614</v>
      </c>
      <c r="AP335" s="128">
        <v>16.0</v>
      </c>
      <c r="AQ335" s="128">
        <v>12.0</v>
      </c>
      <c r="AS335" s="44" t="s">
        <v>471</v>
      </c>
      <c r="AT335" s="44">
        <v>334.0</v>
      </c>
      <c r="AU335" s="44"/>
      <c r="AW335" s="93"/>
      <c r="AY335" s="93"/>
      <c r="AZ335" s="93"/>
      <c r="BA335" s="93"/>
      <c r="BB335" s="155"/>
      <c r="BC335" s="93"/>
      <c r="BE335" s="93"/>
      <c r="BG335" s="93"/>
      <c r="BH335" s="93"/>
      <c r="BI335" s="93"/>
      <c r="BJ335" s="155"/>
      <c r="BK335" s="93"/>
    </row>
    <row r="336">
      <c r="A336" s="166">
        <v>44267.49501540509</v>
      </c>
      <c r="B336" s="44" t="s">
        <v>123</v>
      </c>
      <c r="C336" s="128">
        <v>839.0830283717413</v>
      </c>
      <c r="D336" s="128">
        <v>8.0</v>
      </c>
      <c r="E336" s="128">
        <v>832.7680052374872</v>
      </c>
      <c r="F336" s="44" t="s">
        <v>27</v>
      </c>
      <c r="G336" s="128">
        <v>1096.801499858685</v>
      </c>
      <c r="H336" s="128">
        <v>23.0</v>
      </c>
      <c r="I336" s="128">
        <v>1095.116522992939</v>
      </c>
      <c r="J336" s="44"/>
      <c r="K336" s="128"/>
      <c r="L336" s="128"/>
      <c r="M336" s="128"/>
      <c r="N336" s="44"/>
      <c r="O336" s="128"/>
      <c r="P336" s="128"/>
      <c r="Q336" s="128"/>
      <c r="V336" s="44" t="s">
        <v>230</v>
      </c>
      <c r="W336" s="128">
        <v>1000.0</v>
      </c>
      <c r="X336" s="128">
        <v>13.0</v>
      </c>
      <c r="Y336" s="128">
        <v>1002.5051570205123</v>
      </c>
      <c r="Z336" s="44" t="s">
        <v>112</v>
      </c>
      <c r="AA336" s="128">
        <v>1007.7679102324664</v>
      </c>
      <c r="AB336" s="128">
        <v>22.0</v>
      </c>
      <c r="AC336" s="128">
        <v>1013.2627532119541</v>
      </c>
      <c r="AD336" s="44"/>
      <c r="AE336" s="128"/>
      <c r="AF336" s="128"/>
      <c r="AG336" s="128"/>
      <c r="AH336" s="44"/>
      <c r="AI336" s="128"/>
      <c r="AJ336" s="128"/>
      <c r="AK336" s="128"/>
      <c r="AP336" s="128">
        <v>13.0</v>
      </c>
      <c r="AQ336" s="128">
        <v>15.0</v>
      </c>
      <c r="AT336" s="44">
        <v>335.0</v>
      </c>
      <c r="AU336" s="44"/>
      <c r="AW336" s="93"/>
      <c r="AY336" s="93"/>
      <c r="AZ336" s="93"/>
      <c r="BA336" s="93"/>
      <c r="BB336" s="155"/>
      <c r="BC336" s="93"/>
      <c r="BE336" s="93"/>
      <c r="BG336" s="93"/>
      <c r="BH336" s="93"/>
      <c r="BI336" s="93"/>
      <c r="BJ336" s="155"/>
      <c r="BK336" s="93"/>
    </row>
    <row r="337">
      <c r="A337" s="166">
        <v>44267.94359709491</v>
      </c>
      <c r="B337" s="44" t="s">
        <v>123</v>
      </c>
      <c r="C337" s="128">
        <v>832.7680052374872</v>
      </c>
      <c r="D337" s="128">
        <v>12.0</v>
      </c>
      <c r="E337" s="128">
        <v>835.7203470724899</v>
      </c>
      <c r="F337" s="44" t="s">
        <v>47</v>
      </c>
      <c r="G337" s="128">
        <v>1069.078823824235</v>
      </c>
      <c r="H337" s="128">
        <v>24.0</v>
      </c>
      <c r="I337" s="128">
        <v>1077.370935840173</v>
      </c>
      <c r="J337" s="44" t="s">
        <v>27</v>
      </c>
      <c r="K337" s="128">
        <v>1095.116522992939</v>
      </c>
      <c r="L337" s="128">
        <v>21.0</v>
      </c>
      <c r="M337" s="128">
        <v>1101.8720691419985</v>
      </c>
      <c r="N337" s="44"/>
      <c r="O337" s="128"/>
      <c r="P337" s="128"/>
      <c r="Q337" s="128"/>
      <c r="V337" s="44" t="s">
        <v>88</v>
      </c>
      <c r="W337" s="128">
        <v>874.202775096109</v>
      </c>
      <c r="X337" s="128">
        <v>12.0</v>
      </c>
      <c r="Y337" s="128">
        <v>865.9672588440317</v>
      </c>
      <c r="Z337" s="44" t="s">
        <v>90</v>
      </c>
      <c r="AA337" s="128">
        <v>989.4485067154176</v>
      </c>
      <c r="AB337" s="128">
        <v>23.0</v>
      </c>
      <c r="AC337" s="128">
        <v>986.4042792131945</v>
      </c>
      <c r="AD337" s="44" t="s">
        <v>107</v>
      </c>
      <c r="AE337" s="128">
        <v>1101.0575078143488</v>
      </c>
      <c r="AF337" s="128">
        <v>16.0</v>
      </c>
      <c r="AG337" s="128">
        <v>1094.3372515686492</v>
      </c>
      <c r="AH337" s="44"/>
      <c r="AI337" s="128"/>
      <c r="AJ337" s="128"/>
      <c r="AK337" s="128"/>
      <c r="AP337" s="128">
        <v>17.0</v>
      </c>
      <c r="AQ337" s="128">
        <v>11.0</v>
      </c>
      <c r="AT337" s="44">
        <v>336.0</v>
      </c>
      <c r="AU337" s="44"/>
      <c r="AW337" s="93"/>
      <c r="AY337" s="93"/>
      <c r="AZ337" s="93"/>
      <c r="BA337" s="93"/>
      <c r="BB337" s="155"/>
      <c r="BC337" s="93"/>
      <c r="BE337" s="93"/>
      <c r="BG337" s="93"/>
      <c r="BH337" s="93"/>
      <c r="BI337" s="93"/>
      <c r="BJ337" s="155"/>
      <c r="BK337" s="93"/>
    </row>
    <row r="338">
      <c r="A338" s="166">
        <v>44267.99578309028</v>
      </c>
      <c r="B338" s="44" t="s">
        <v>123</v>
      </c>
      <c r="C338" s="128">
        <v>835.7203470724899</v>
      </c>
      <c r="D338" s="128">
        <v>21.0</v>
      </c>
      <c r="E338" s="128">
        <v>833.9450180298916</v>
      </c>
      <c r="F338" s="44" t="s">
        <v>88</v>
      </c>
      <c r="G338" s="128">
        <v>865.9672588440317</v>
      </c>
      <c r="H338" s="128">
        <v>17.0</v>
      </c>
      <c r="I338" s="128">
        <v>863.4822067503355</v>
      </c>
      <c r="J338" s="44" t="s">
        <v>121</v>
      </c>
      <c r="K338" s="128">
        <v>905.1790196268914</v>
      </c>
      <c r="L338" s="128">
        <v>7.0</v>
      </c>
      <c r="M338" s="128">
        <v>900.9772820037</v>
      </c>
      <c r="N338" s="44" t="s">
        <v>230</v>
      </c>
      <c r="O338" s="128">
        <v>1002.5051570205123</v>
      </c>
      <c r="P338" s="128">
        <v>20.0</v>
      </c>
      <c r="Q338" s="128">
        <v>1000.3738093662356</v>
      </c>
      <c r="R338" s="44" t="s">
        <v>23</v>
      </c>
      <c r="S338" s="128">
        <v>1451.7238098462576</v>
      </c>
      <c r="T338" s="128">
        <v>37.0</v>
      </c>
      <c r="U338" s="128">
        <v>1452.3172762600202</v>
      </c>
      <c r="V338" s="44" t="s">
        <v>98</v>
      </c>
      <c r="W338" s="128">
        <v>883.7571066705891</v>
      </c>
      <c r="X338" s="128">
        <v>17.0</v>
      </c>
      <c r="Y338" s="128">
        <v>885.1137111728871</v>
      </c>
      <c r="Z338" s="44" t="s">
        <v>90</v>
      </c>
      <c r="AA338" s="128">
        <v>986.4042792131945</v>
      </c>
      <c r="AB338" s="128">
        <v>15.0</v>
      </c>
      <c r="AC338" s="128">
        <v>987.313604578554</v>
      </c>
      <c r="AD338" s="44" t="s">
        <v>112</v>
      </c>
      <c r="AE338" s="128">
        <v>1013.2627532119541</v>
      </c>
      <c r="AF338" s="128">
        <v>22.0</v>
      </c>
      <c r="AG338" s="128">
        <v>1015.3163123710201</v>
      </c>
      <c r="AH338" s="44" t="s">
        <v>47</v>
      </c>
      <c r="AI338" s="128">
        <v>1077.370935840173</v>
      </c>
      <c r="AJ338" s="128">
        <v>31.0</v>
      </c>
      <c r="AK338" s="128">
        <v>1080.8822271219462</v>
      </c>
      <c r="AL338" s="44" t="s">
        <v>107</v>
      </c>
      <c r="AM338" s="128">
        <v>1094.3372515686492</v>
      </c>
      <c r="AN338" s="128">
        <v>23.0</v>
      </c>
      <c r="AO338" s="128">
        <v>1096.5064712601525</v>
      </c>
      <c r="AP338" s="128">
        <v>13.0</v>
      </c>
      <c r="AQ338" s="128">
        <v>15.0</v>
      </c>
      <c r="AT338" s="44">
        <v>337.0</v>
      </c>
      <c r="AU338" s="44"/>
      <c r="AW338" s="93"/>
      <c r="AY338" s="93"/>
      <c r="AZ338" s="93"/>
      <c r="BA338" s="93"/>
      <c r="BB338" s="155"/>
      <c r="BC338" s="93"/>
      <c r="BE338" s="93"/>
      <c r="BG338" s="93"/>
      <c r="BH338" s="93"/>
      <c r="BI338" s="93"/>
      <c r="BJ338" s="155"/>
      <c r="BK338" s="93"/>
    </row>
    <row r="339">
      <c r="A339" s="166">
        <v>44268.03870179398</v>
      </c>
      <c r="B339" s="44" t="s">
        <v>123</v>
      </c>
      <c r="C339" s="128">
        <v>833.9450180298916</v>
      </c>
      <c r="D339" s="128">
        <v>9.0</v>
      </c>
      <c r="E339" s="128">
        <v>834.1782103576487</v>
      </c>
      <c r="F339" s="44" t="s">
        <v>88</v>
      </c>
      <c r="G339" s="128">
        <v>863.4822067503355</v>
      </c>
      <c r="H339" s="128">
        <v>6.0</v>
      </c>
      <c r="I339" s="128">
        <v>863.173284950702</v>
      </c>
      <c r="J339" s="44" t="s">
        <v>47</v>
      </c>
      <c r="K339" s="128">
        <v>1080.8822271219462</v>
      </c>
      <c r="L339" s="128">
        <v>21.0</v>
      </c>
      <c r="M339" s="128">
        <v>1082.8737017867732</v>
      </c>
      <c r="N339" s="44" t="s">
        <v>107</v>
      </c>
      <c r="O339" s="128">
        <v>1096.5064712601525</v>
      </c>
      <c r="P339" s="128">
        <v>24.0</v>
      </c>
      <c r="Q339" s="128">
        <v>1098.9903732748387</v>
      </c>
      <c r="R339" s="44" t="s">
        <v>31</v>
      </c>
      <c r="S339" s="128">
        <v>1459.9506251235614</v>
      </c>
      <c r="T339" s="128">
        <v>43.0</v>
      </c>
      <c r="U339" s="128">
        <v>1465.5509779159247</v>
      </c>
      <c r="V339" s="44" t="s">
        <v>98</v>
      </c>
      <c r="W339" s="128">
        <v>885.1137111728871</v>
      </c>
      <c r="X339" s="128">
        <v>22.0</v>
      </c>
      <c r="Y339" s="128">
        <v>882.6906898963744</v>
      </c>
      <c r="Z339" s="44" t="s">
        <v>90</v>
      </c>
      <c r="AA339" s="128">
        <v>987.313604578554</v>
      </c>
      <c r="AB339" s="128">
        <v>18.0</v>
      </c>
      <c r="AC339" s="128">
        <v>984.0914557879192</v>
      </c>
      <c r="AD339" s="44" t="s">
        <v>230</v>
      </c>
      <c r="AE339" s="128">
        <v>1000.3738093662356</v>
      </c>
      <c r="AF339" s="128">
        <v>20.0</v>
      </c>
      <c r="AG339" s="128">
        <v>997.471823533451</v>
      </c>
      <c r="AH339" s="44" t="s">
        <v>112</v>
      </c>
      <c r="AI339" s="128">
        <v>1015.3163123710201</v>
      </c>
      <c r="AJ339" s="128">
        <v>20.0</v>
      </c>
      <c r="AK339" s="128">
        <v>1012.4002505052931</v>
      </c>
      <c r="AL339" s="44" t="s">
        <v>23</v>
      </c>
      <c r="AM339" s="128">
        <v>1452.3172762600202</v>
      </c>
      <c r="AN339" s="128">
        <v>47.0</v>
      </c>
      <c r="AO339" s="128">
        <v>1453.7804940256792</v>
      </c>
      <c r="AP339" s="128">
        <v>15.0</v>
      </c>
      <c r="AQ339" s="128">
        <v>13.0</v>
      </c>
      <c r="AT339" s="44">
        <v>338.0</v>
      </c>
      <c r="AU339" s="44"/>
      <c r="AV339" s="44" t="s">
        <v>127</v>
      </c>
      <c r="AW339" s="145">
        <v>648.15</v>
      </c>
      <c r="AX339" s="44">
        <v>2.0</v>
      </c>
      <c r="AY339" s="145">
        <v>647.11</v>
      </c>
      <c r="AZ339" s="93"/>
      <c r="BA339" s="93"/>
      <c r="BB339" s="155"/>
      <c r="BC339" s="93"/>
      <c r="BE339" s="93"/>
      <c r="BG339" s="93"/>
      <c r="BH339" s="93"/>
      <c r="BI339" s="93"/>
      <c r="BJ339" s="155"/>
      <c r="BK339" s="93"/>
    </row>
    <row r="340">
      <c r="A340" s="166">
        <v>44268.08601491898</v>
      </c>
      <c r="B340" s="44" t="s">
        <v>123</v>
      </c>
      <c r="C340" s="128">
        <v>834.1782103576487</v>
      </c>
      <c r="D340" s="128">
        <v>21.0</v>
      </c>
      <c r="E340" s="128">
        <v>840.5436402629902</v>
      </c>
      <c r="F340" s="44" t="s">
        <v>112</v>
      </c>
      <c r="G340" s="128">
        <v>1012.4002505052931</v>
      </c>
      <c r="H340" s="128">
        <v>23.0</v>
      </c>
      <c r="I340" s="128">
        <v>1019.1537459983626</v>
      </c>
      <c r="J340" s="44" t="s">
        <v>107</v>
      </c>
      <c r="K340" s="128">
        <v>1098.9903732748387</v>
      </c>
      <c r="L340" s="128">
        <v>15.0</v>
      </c>
      <c r="M340" s="128">
        <v>1102.1167318355583</v>
      </c>
      <c r="N340" s="44" t="s">
        <v>23</v>
      </c>
      <c r="O340" s="128">
        <v>1453.7804940256792</v>
      </c>
      <c r="P340" s="128">
        <v>19.0</v>
      </c>
      <c r="Q340" s="128">
        <v>1458.5352100665486</v>
      </c>
      <c r="R340" s="44" t="s">
        <v>127</v>
      </c>
      <c r="S340" s="44">
        <v>647.11</v>
      </c>
      <c r="T340" s="44">
        <v>7.0</v>
      </c>
      <c r="U340" s="44">
        <v>648.72</v>
      </c>
      <c r="V340" s="44" t="s">
        <v>88</v>
      </c>
      <c r="W340" s="128">
        <v>863.173284950702</v>
      </c>
      <c r="X340" s="128">
        <v>12.0</v>
      </c>
      <c r="Y340" s="128">
        <v>852.8156649347117</v>
      </c>
      <c r="Z340" s="44" t="s">
        <v>230</v>
      </c>
      <c r="AA340" s="128">
        <v>997.471823533451</v>
      </c>
      <c r="AB340" s="128">
        <v>22.0</v>
      </c>
      <c r="AC340" s="128">
        <v>991.0368862488722</v>
      </c>
      <c r="AD340" s="44" t="s">
        <v>47</v>
      </c>
      <c r="AE340" s="128">
        <v>1082.8737017867732</v>
      </c>
      <c r="AF340" s="128">
        <v>15.0</v>
      </c>
      <c r="AG340" s="128">
        <v>1073.202935374108</v>
      </c>
      <c r="AH340" s="44" t="s">
        <v>31</v>
      </c>
      <c r="AI340" s="128">
        <v>1465.5509779159247</v>
      </c>
      <c r="AJ340" s="128">
        <v>50.0</v>
      </c>
      <c r="AK340" s="128">
        <v>1471.0143016291593</v>
      </c>
      <c r="AP340" s="128">
        <v>17.0</v>
      </c>
      <c r="AQ340" s="128">
        <v>11.0</v>
      </c>
      <c r="AT340" s="44">
        <v>339.0</v>
      </c>
      <c r="AU340" s="44"/>
      <c r="AW340" s="93"/>
      <c r="AY340" s="93"/>
      <c r="AZ340" s="93"/>
      <c r="BA340" s="93"/>
      <c r="BB340" s="155"/>
      <c r="BC340" s="93"/>
      <c r="BE340" s="93"/>
      <c r="BG340" s="93"/>
      <c r="BH340" s="93"/>
      <c r="BI340" s="93"/>
      <c r="BJ340" s="155"/>
      <c r="BK340" s="93"/>
    </row>
    <row r="341">
      <c r="A341" s="166">
        <v>44268.93773024305</v>
      </c>
      <c r="B341" s="44" t="s">
        <v>88</v>
      </c>
      <c r="C341" s="128">
        <v>852.8156649347117</v>
      </c>
      <c r="D341" s="128">
        <v>7.0</v>
      </c>
      <c r="E341" s="128">
        <v>853.0882156766614</v>
      </c>
      <c r="F341" s="44" t="s">
        <v>98</v>
      </c>
      <c r="G341" s="128">
        <v>882.6906898963744</v>
      </c>
      <c r="H341" s="128">
        <v>14.0</v>
      </c>
      <c r="I341" s="128">
        <v>886.1641999539498</v>
      </c>
      <c r="J341" s="44" t="s">
        <v>31</v>
      </c>
      <c r="K341" s="128">
        <v>1471.0143016291593</v>
      </c>
      <c r="L341" s="128">
        <v>36.0</v>
      </c>
      <c r="M341" s="128">
        <v>1484.2682408296341</v>
      </c>
      <c r="N341" s="44"/>
      <c r="O341" s="128"/>
      <c r="P341" s="128"/>
      <c r="Q341" s="128"/>
      <c r="V341" s="44" t="s">
        <v>90</v>
      </c>
      <c r="W341" s="128">
        <v>984.0914557879192</v>
      </c>
      <c r="X341" s="128">
        <v>14.0</v>
      </c>
      <c r="Y341" s="128">
        <v>976.8020493289594</v>
      </c>
      <c r="Z341" s="44" t="s">
        <v>47</v>
      </c>
      <c r="AA341" s="128">
        <v>1073.202935374108</v>
      </c>
      <c r="AB341" s="128">
        <v>17.0</v>
      </c>
      <c r="AC341" s="128">
        <v>1067.1837591806616</v>
      </c>
      <c r="AD341" s="44" t="s">
        <v>27</v>
      </c>
      <c r="AE341" s="128">
        <v>1101.8720691419985</v>
      </c>
      <c r="AF341" s="128">
        <v>22.0</v>
      </c>
      <c r="AG341" s="128">
        <v>1098.1806517944049</v>
      </c>
      <c r="AH341" s="44"/>
      <c r="AI341" s="128"/>
      <c r="AJ341" s="128"/>
      <c r="AK341" s="128"/>
      <c r="AP341" s="128">
        <v>17.0</v>
      </c>
      <c r="AQ341" s="128">
        <v>11.0</v>
      </c>
      <c r="AT341" s="44">
        <v>340.0</v>
      </c>
      <c r="AU341" s="44"/>
      <c r="AW341" s="93"/>
      <c r="AY341" s="93"/>
      <c r="AZ341" s="93"/>
      <c r="BA341" s="93"/>
      <c r="BB341" s="155"/>
      <c r="BC341" s="93"/>
      <c r="BE341" s="93"/>
      <c r="BG341" s="93"/>
      <c r="BH341" s="93"/>
      <c r="BI341" s="93"/>
      <c r="BJ341" s="155"/>
      <c r="BK341" s="93"/>
    </row>
    <row r="342">
      <c r="A342" s="166">
        <v>44268.988457534724</v>
      </c>
      <c r="B342" s="44" t="s">
        <v>127</v>
      </c>
      <c r="C342" s="128">
        <v>648.72</v>
      </c>
      <c r="D342" s="128">
        <v>8.0</v>
      </c>
      <c r="E342" s="128">
        <v>649.173197434741</v>
      </c>
      <c r="F342" s="44" t="s">
        <v>88</v>
      </c>
      <c r="G342" s="128">
        <v>853.0882156766614</v>
      </c>
      <c r="H342" s="128">
        <v>18.0</v>
      </c>
      <c r="I342" s="128">
        <v>854.8524533294019</v>
      </c>
      <c r="J342" s="44" t="s">
        <v>47</v>
      </c>
      <c r="K342" s="128">
        <v>1067.1837591806616</v>
      </c>
      <c r="L342" s="128">
        <v>32.0</v>
      </c>
      <c r="M342" s="128">
        <v>1071.0822557596903</v>
      </c>
      <c r="N342" s="44" t="s">
        <v>27</v>
      </c>
      <c r="O342" s="128">
        <v>1098.1806517944049</v>
      </c>
      <c r="P342" s="128">
        <v>21.0</v>
      </c>
      <c r="Q342" s="128">
        <v>1100.2306000496012</v>
      </c>
      <c r="R342" s="44" t="s">
        <v>23</v>
      </c>
      <c r="S342" s="128">
        <v>1458.5352100665486</v>
      </c>
      <c r="T342" s="128">
        <v>20.0</v>
      </c>
      <c r="U342" s="128">
        <v>1460.3693301448423</v>
      </c>
      <c r="V342" s="44" t="s">
        <v>129</v>
      </c>
      <c r="W342" s="128">
        <v>766.0711296449905</v>
      </c>
      <c r="X342" s="128">
        <v>13.0</v>
      </c>
      <c r="Y342" s="128">
        <v>762.9155460626673</v>
      </c>
      <c r="Z342" s="44" t="s">
        <v>98</v>
      </c>
      <c r="AA342" s="128">
        <v>886.1641999539498</v>
      </c>
      <c r="AB342" s="128">
        <v>15.0</v>
      </c>
      <c r="AC342" s="128">
        <v>883.1547047762459</v>
      </c>
      <c r="AD342" s="44" t="s">
        <v>90</v>
      </c>
      <c r="AE342" s="128">
        <v>976.8020493289594</v>
      </c>
      <c r="AF342" s="128">
        <v>20.0</v>
      </c>
      <c r="AG342" s="128">
        <v>974.5253768795498</v>
      </c>
      <c r="AH342" s="44" t="s">
        <v>112</v>
      </c>
      <c r="AI342" s="128">
        <v>1019.1537459983626</v>
      </c>
      <c r="AJ342" s="128">
        <v>29.0</v>
      </c>
      <c r="AK342" s="128">
        <v>1018.3417335503802</v>
      </c>
      <c r="AL342" s="44" t="s">
        <v>31</v>
      </c>
      <c r="AM342" s="128">
        <v>1484.2682408296341</v>
      </c>
      <c r="AN342" s="128">
        <v>30.0</v>
      </c>
      <c r="AO342" s="128">
        <v>1483.5220044870532</v>
      </c>
      <c r="AP342" s="128">
        <v>15.0</v>
      </c>
      <c r="AQ342" s="128">
        <v>13.0</v>
      </c>
      <c r="AT342" s="44">
        <v>341.0</v>
      </c>
      <c r="AU342" s="44"/>
      <c r="AW342" s="93"/>
      <c r="AY342" s="93"/>
      <c r="AZ342" s="93"/>
      <c r="BA342" s="93"/>
      <c r="BB342" s="155"/>
      <c r="BC342" s="93"/>
      <c r="BE342" s="93"/>
      <c r="BG342" s="93"/>
      <c r="BH342" s="93"/>
      <c r="BI342" s="93"/>
      <c r="BJ342" s="155"/>
      <c r="BK342" s="93"/>
    </row>
    <row r="343">
      <c r="A343" s="166">
        <v>44269.03639335648</v>
      </c>
      <c r="B343" s="44" t="s">
        <v>127</v>
      </c>
      <c r="C343" s="128">
        <v>649.173197434741</v>
      </c>
      <c r="D343" s="128">
        <v>7.0</v>
      </c>
      <c r="E343" s="128">
        <v>645.4885868002407</v>
      </c>
      <c r="F343" s="44" t="s">
        <v>98</v>
      </c>
      <c r="G343" s="128">
        <v>883.1547047762459</v>
      </c>
      <c r="H343" s="128">
        <v>17.0</v>
      </c>
      <c r="I343" s="128">
        <v>880.7486737422004</v>
      </c>
      <c r="J343" s="44" t="s">
        <v>112</v>
      </c>
      <c r="K343" s="128">
        <v>1018.3417335503802</v>
      </c>
      <c r="L343" s="128">
        <v>15.0</v>
      </c>
      <c r="M343" s="128">
        <v>1015.4740595654197</v>
      </c>
      <c r="N343" s="44" t="s">
        <v>27</v>
      </c>
      <c r="O343" s="128">
        <v>1100.2306000496012</v>
      </c>
      <c r="P343" s="128">
        <v>16.0</v>
      </c>
      <c r="Q343" s="128">
        <v>1097.4837273426722</v>
      </c>
      <c r="R343" s="44" t="s">
        <v>31</v>
      </c>
      <c r="S343" s="128">
        <v>1483.5220044870532</v>
      </c>
      <c r="T343" s="128">
        <v>43.0</v>
      </c>
      <c r="U343" s="128">
        <v>1485.2271928474886</v>
      </c>
      <c r="V343" s="44" t="s">
        <v>129</v>
      </c>
      <c r="W343" s="128">
        <v>762.9155460626673</v>
      </c>
      <c r="X343" s="128">
        <v>10.0</v>
      </c>
      <c r="Y343" s="128">
        <v>763.5412482734772</v>
      </c>
      <c r="Z343" s="44" t="s">
        <v>88</v>
      </c>
      <c r="AA343" s="128">
        <v>854.8524533294019</v>
      </c>
      <c r="AB343" s="128">
        <v>16.0</v>
      </c>
      <c r="AC343" s="128">
        <v>856.340957691933</v>
      </c>
      <c r="AD343" s="44" t="s">
        <v>90</v>
      </c>
      <c r="AE343" s="128">
        <v>974.5253768795498</v>
      </c>
      <c r="AF343" s="128">
        <v>15.0</v>
      </c>
      <c r="AG343" s="128">
        <v>975.7180014024751</v>
      </c>
      <c r="AH343" s="44" t="s">
        <v>47</v>
      </c>
      <c r="AI343" s="128">
        <v>1071.0822557596903</v>
      </c>
      <c r="AJ343" s="128">
        <v>19.0</v>
      </c>
      <c r="AK343" s="128">
        <v>1072.8761135163106</v>
      </c>
      <c r="AL343" s="44" t="s">
        <v>23</v>
      </c>
      <c r="AM343" s="128">
        <v>1460.3693301448423</v>
      </c>
      <c r="AN343" s="128">
        <v>38.0</v>
      </c>
      <c r="AO343" s="128">
        <v>1465.2686412919556</v>
      </c>
      <c r="AP343" s="128">
        <v>13.0</v>
      </c>
      <c r="AQ343" s="128">
        <v>15.0</v>
      </c>
      <c r="AT343" s="44">
        <v>342.0</v>
      </c>
      <c r="AU343" s="44"/>
      <c r="AW343" s="93"/>
      <c r="AY343" s="93"/>
      <c r="AZ343" s="93"/>
      <c r="BA343" s="93"/>
      <c r="BB343" s="155"/>
      <c r="BC343" s="93"/>
      <c r="BE343" s="93"/>
      <c r="BG343" s="93"/>
      <c r="BH343" s="93"/>
      <c r="BI343" s="93"/>
      <c r="BJ343" s="155"/>
      <c r="BK343" s="93"/>
    </row>
    <row r="344">
      <c r="A344" s="166">
        <v>44269.89790509259</v>
      </c>
      <c r="B344" s="44" t="s">
        <v>61</v>
      </c>
      <c r="C344" s="128">
        <v>934.3021760050622</v>
      </c>
      <c r="D344" s="128">
        <v>18.0</v>
      </c>
      <c r="E344" s="128">
        <v>928.8633129837798</v>
      </c>
      <c r="F344" s="44" t="s">
        <v>58</v>
      </c>
      <c r="G344" s="128">
        <v>989.2699705628379</v>
      </c>
      <c r="H344" s="128">
        <v>8.0</v>
      </c>
      <c r="I344" s="128">
        <v>979.3253340273634</v>
      </c>
      <c r="J344" s="44" t="s">
        <v>246</v>
      </c>
      <c r="K344" s="128">
        <v>1000.9889429980184</v>
      </c>
      <c r="L344" s="128">
        <v>17.0</v>
      </c>
      <c r="M344" s="128">
        <v>994.9579910287888</v>
      </c>
      <c r="N344" s="44" t="s">
        <v>47</v>
      </c>
      <c r="O344" s="128">
        <v>1072.8761135163106</v>
      </c>
      <c r="P344" s="128">
        <v>32.0</v>
      </c>
      <c r="Q344" s="128">
        <v>1073.2905650422972</v>
      </c>
      <c r="V344" s="44" t="s">
        <v>88</v>
      </c>
      <c r="W344" s="128">
        <v>856.340957691933</v>
      </c>
      <c r="X344" s="128">
        <v>7.0</v>
      </c>
      <c r="Y344" s="128">
        <v>855.8587329633295</v>
      </c>
      <c r="Z344" s="44" t="s">
        <v>112</v>
      </c>
      <c r="AA344" s="128">
        <v>1015.4740595654197</v>
      </c>
      <c r="AB344" s="128">
        <v>24.0</v>
      </c>
      <c r="AC344" s="128">
        <v>1021.9530301110448</v>
      </c>
      <c r="AD344" s="44" t="s">
        <v>236</v>
      </c>
      <c r="AE344" s="128">
        <v>1022.2024101810431</v>
      </c>
      <c r="AF344" s="128">
        <v>33.0</v>
      </c>
      <c r="AG344" s="128">
        <v>1032.6052885970312</v>
      </c>
      <c r="AH344" s="44" t="s">
        <v>92</v>
      </c>
      <c r="AI344" s="128">
        <v>1093.2377893452863</v>
      </c>
      <c r="AJ344" s="128">
        <v>20.0</v>
      </c>
      <c r="AK344" s="128">
        <v>1097.8381651122766</v>
      </c>
      <c r="AP344" s="128">
        <v>11.0</v>
      </c>
      <c r="AQ344" s="128">
        <v>16.0</v>
      </c>
      <c r="AS344" s="44" t="s">
        <v>229</v>
      </c>
      <c r="AT344" s="44">
        <v>343.0</v>
      </c>
      <c r="AU344" s="44"/>
      <c r="AW344" s="93"/>
      <c r="AY344" s="93"/>
      <c r="AZ344" s="93"/>
      <c r="BA344" s="93"/>
      <c r="BB344" s="155"/>
      <c r="BC344" s="93"/>
      <c r="BE344" s="93"/>
      <c r="BG344" s="93"/>
      <c r="BH344" s="93"/>
      <c r="BI344" s="93"/>
      <c r="BJ344" s="155"/>
      <c r="BK344" s="93"/>
    </row>
    <row r="345">
      <c r="A345" s="166">
        <v>44269.94981481481</v>
      </c>
      <c r="B345" s="44" t="s">
        <v>88</v>
      </c>
      <c r="C345" s="128">
        <v>855.8587329633295</v>
      </c>
      <c r="D345" s="128">
        <v>15.0</v>
      </c>
      <c r="E345" s="128">
        <v>856.8442049256796</v>
      </c>
      <c r="F345" s="44" t="s">
        <v>98</v>
      </c>
      <c r="G345" s="128">
        <v>880.7486737422004</v>
      </c>
      <c r="H345" s="128">
        <v>16.0</v>
      </c>
      <c r="I345" s="128">
        <v>881.8629389368881</v>
      </c>
      <c r="J345" s="44" t="s">
        <v>61</v>
      </c>
      <c r="K345" s="128">
        <v>928.8633129837798</v>
      </c>
      <c r="L345" s="128">
        <v>12.0</v>
      </c>
      <c r="M345" s="128">
        <v>929.2463300384422</v>
      </c>
      <c r="N345" s="44" t="s">
        <v>58</v>
      </c>
      <c r="O345" s="128">
        <v>979.3253340273634</v>
      </c>
      <c r="P345" s="128">
        <v>20.0</v>
      </c>
      <c r="Q345" s="128">
        <v>980.986005156957</v>
      </c>
      <c r="R345" s="44" t="s">
        <v>31</v>
      </c>
      <c r="S345" s="128">
        <v>1485.2271928474886</v>
      </c>
      <c r="T345" s="128">
        <v>46.0</v>
      </c>
      <c r="U345" s="128">
        <v>1491.0837675061948</v>
      </c>
      <c r="V345" s="44" t="s">
        <v>123</v>
      </c>
      <c r="W345" s="128">
        <v>840.5436402629902</v>
      </c>
      <c r="X345" s="128">
        <v>17.0</v>
      </c>
      <c r="Y345" s="128">
        <v>837.8173629737887</v>
      </c>
      <c r="Z345" s="44" t="s">
        <v>112</v>
      </c>
      <c r="AA345" s="128">
        <v>1021.9530301110448</v>
      </c>
      <c r="AB345" s="128">
        <v>38.0</v>
      </c>
      <c r="AC345" s="128">
        <v>1022.5015617962223</v>
      </c>
      <c r="AD345" s="44" t="s">
        <v>47</v>
      </c>
      <c r="AE345" s="128">
        <v>1073.2905650422972</v>
      </c>
      <c r="AF345" s="128">
        <v>22.0</v>
      </c>
      <c r="AG345" s="128">
        <v>1071.1365151131572</v>
      </c>
      <c r="AH345" s="44" t="s">
        <v>27</v>
      </c>
      <c r="AI345" s="128">
        <v>1097.4837273426722</v>
      </c>
      <c r="AJ345" s="128">
        <v>18.0</v>
      </c>
      <c r="AK345" s="128">
        <v>1094.649714518208</v>
      </c>
      <c r="AL345" s="44" t="s">
        <v>92</v>
      </c>
      <c r="AM345" s="128">
        <v>1097.8381651122766</v>
      </c>
      <c r="AN345" s="128">
        <v>18.0</v>
      </c>
      <c r="AO345" s="128">
        <v>1095.0039734699046</v>
      </c>
      <c r="AP345" s="128">
        <v>14.0</v>
      </c>
      <c r="AQ345" s="128">
        <v>13.0</v>
      </c>
      <c r="AS345" s="44" t="s">
        <v>288</v>
      </c>
      <c r="AT345" s="44">
        <v>344.0</v>
      </c>
      <c r="AU345" s="44"/>
      <c r="AV345" s="44" t="s">
        <v>78</v>
      </c>
      <c r="AW345" s="45">
        <v>944.1229895925221</v>
      </c>
      <c r="AX345" s="44">
        <v>15.0</v>
      </c>
      <c r="AY345" s="145">
        <v>945.12</v>
      </c>
      <c r="AZ345" s="93"/>
      <c r="BA345" s="93"/>
      <c r="BB345" s="155"/>
      <c r="BC345" s="93"/>
      <c r="BD345" s="44" t="s">
        <v>227</v>
      </c>
      <c r="BE345" s="45">
        <v>971.3951269149097</v>
      </c>
      <c r="BF345" s="44">
        <v>11.0</v>
      </c>
      <c r="BG345" s="145">
        <v>967.3</v>
      </c>
      <c r="BH345" s="93"/>
      <c r="BI345" s="93"/>
      <c r="BJ345" s="155"/>
      <c r="BK345" s="93"/>
    </row>
    <row r="346">
      <c r="A346" s="166">
        <v>44270.038039861116</v>
      </c>
      <c r="B346" s="44" t="s">
        <v>127</v>
      </c>
      <c r="C346" s="128">
        <v>645.4885868002407</v>
      </c>
      <c r="D346" s="128">
        <v>8.0</v>
      </c>
      <c r="E346" s="128">
        <v>631.3644995706705</v>
      </c>
      <c r="F346" s="44" t="s">
        <v>123</v>
      </c>
      <c r="G346" s="128">
        <v>837.8173629737887</v>
      </c>
      <c r="H346" s="128">
        <v>14.0</v>
      </c>
      <c r="I346" s="128">
        <v>827.1431448865466</v>
      </c>
      <c r="J346" s="44" t="s">
        <v>90</v>
      </c>
      <c r="K346" s="128">
        <v>975.7180014024751</v>
      </c>
      <c r="L346" s="128">
        <v>18.0</v>
      </c>
      <c r="M346" s="128">
        <v>967.6470813816875</v>
      </c>
      <c r="N346" s="44" t="s">
        <v>31</v>
      </c>
      <c r="O346" s="128">
        <v>1491.0837675061948</v>
      </c>
      <c r="P346" s="128">
        <v>21.0</v>
      </c>
      <c r="Q346" s="128">
        <v>1484.9529928437946</v>
      </c>
      <c r="V346" s="44" t="s">
        <v>88</v>
      </c>
      <c r="W346" s="128">
        <v>856.8442049256796</v>
      </c>
      <c r="X346" s="128">
        <v>17.0</v>
      </c>
      <c r="Y346" s="128">
        <v>862.8387076847914</v>
      </c>
      <c r="Z346" s="44" t="s">
        <v>61</v>
      </c>
      <c r="AA346" s="128">
        <v>929.2463300384422</v>
      </c>
      <c r="AB346" s="128">
        <v>20.0</v>
      </c>
      <c r="AC346" s="128">
        <v>937.1736779354777</v>
      </c>
      <c r="AD346" s="44" t="s">
        <v>245</v>
      </c>
      <c r="AE346" s="128">
        <v>1074.3193777171875</v>
      </c>
      <c r="AF346" s="128">
        <v>22.0</v>
      </c>
      <c r="AG346" s="128">
        <v>1083.2296968864232</v>
      </c>
      <c r="AH346" s="44" t="s">
        <v>27</v>
      </c>
      <c r="AI346" s="128">
        <v>1094.649714518208</v>
      </c>
      <c r="AJ346" s="128">
        <v>31.0</v>
      </c>
      <c r="AK346" s="128">
        <v>1110.817544692825</v>
      </c>
      <c r="AP346" s="128">
        <v>6.0</v>
      </c>
      <c r="AQ346" s="128">
        <v>22.0</v>
      </c>
      <c r="AT346" s="44">
        <v>345.0</v>
      </c>
      <c r="AU346" s="44"/>
      <c r="AW346" s="93"/>
      <c r="AY346" s="93"/>
      <c r="AZ346" s="93"/>
      <c r="BA346" s="93"/>
      <c r="BB346" s="155"/>
      <c r="BC346" s="93"/>
      <c r="BE346" s="93"/>
      <c r="BG346" s="93"/>
      <c r="BH346" s="93"/>
      <c r="BI346" s="93"/>
      <c r="BJ346" s="155"/>
      <c r="BK346" s="93"/>
    </row>
    <row r="347">
      <c r="A347" s="166">
        <v>44270.93252314815</v>
      </c>
      <c r="B347" s="44" t="s">
        <v>34</v>
      </c>
      <c r="C347" s="128">
        <v>954.8236746779161</v>
      </c>
      <c r="D347" s="128">
        <v>25.0</v>
      </c>
      <c r="E347" s="128">
        <v>954.8236746779161</v>
      </c>
      <c r="F347" s="44" t="s">
        <v>227</v>
      </c>
      <c r="G347" s="128">
        <v>967.3</v>
      </c>
      <c r="H347" s="128">
        <v>7.0</v>
      </c>
      <c r="I347" s="128">
        <v>967.3</v>
      </c>
      <c r="J347" s="44" t="s">
        <v>90</v>
      </c>
      <c r="K347" s="128">
        <v>967.6470813816875</v>
      </c>
      <c r="L347" s="128">
        <v>17.0</v>
      </c>
      <c r="M347" s="128">
        <v>967.6470813816875</v>
      </c>
      <c r="N347" s="44" t="s">
        <v>112</v>
      </c>
      <c r="O347" s="128">
        <v>1022.5015617962223</v>
      </c>
      <c r="P347" s="128">
        <v>18.0</v>
      </c>
      <c r="Q347" s="128">
        <v>1022.5015617962223</v>
      </c>
      <c r="R347" s="44" t="s">
        <v>27</v>
      </c>
      <c r="S347" s="128">
        <v>1110.817544692825</v>
      </c>
      <c r="T347" s="128">
        <v>28.0</v>
      </c>
      <c r="U347" s="128">
        <v>1110.817544692825</v>
      </c>
      <c r="V347" s="44" t="s">
        <v>61</v>
      </c>
      <c r="W347" s="128">
        <v>937.1736779354777</v>
      </c>
      <c r="X347" s="128">
        <v>16.0</v>
      </c>
      <c r="Y347" s="128">
        <v>937.1736779354777</v>
      </c>
      <c r="Z347" s="44" t="s">
        <v>246</v>
      </c>
      <c r="AA347" s="128">
        <v>994.9579910287888</v>
      </c>
      <c r="AB347" s="128">
        <v>28.0</v>
      </c>
      <c r="AC347" s="128">
        <v>994.9579910287888</v>
      </c>
      <c r="AD347" s="44" t="s">
        <v>248</v>
      </c>
      <c r="AE347" s="128">
        <v>995.6847136391858</v>
      </c>
      <c r="AF347" s="128">
        <v>27.0</v>
      </c>
      <c r="AG347" s="128">
        <v>995.6847136391858</v>
      </c>
      <c r="AH347" s="44" t="s">
        <v>472</v>
      </c>
      <c r="AI347" s="128">
        <v>1000.0</v>
      </c>
      <c r="AJ347" s="128">
        <v>9.0</v>
      </c>
      <c r="AK347" s="128">
        <v>1000.0</v>
      </c>
      <c r="AL347" s="44" t="s">
        <v>92</v>
      </c>
      <c r="AM347" s="128">
        <v>1095.0039734699046</v>
      </c>
      <c r="AN347" s="128">
        <v>24.0</v>
      </c>
      <c r="AO347" s="128">
        <v>1095.0039734699046</v>
      </c>
      <c r="AP347" s="128">
        <v>14.0</v>
      </c>
      <c r="AQ347" s="128">
        <v>14.0</v>
      </c>
      <c r="AT347" s="44">
        <v>346.0</v>
      </c>
      <c r="AU347" s="44"/>
      <c r="AW347" s="93"/>
      <c r="AY347" s="93"/>
      <c r="AZ347" s="93"/>
      <c r="BA347" s="93"/>
      <c r="BB347" s="155"/>
      <c r="BC347" s="93"/>
      <c r="BE347" s="93"/>
      <c r="BG347" s="93"/>
      <c r="BH347" s="93"/>
      <c r="BI347" s="93"/>
      <c r="BJ347" s="155"/>
      <c r="BK347" s="93"/>
    </row>
    <row r="348">
      <c r="A348" s="166">
        <v>44271.898414351854</v>
      </c>
      <c r="B348" s="44" t="s">
        <v>112</v>
      </c>
      <c r="C348" s="128">
        <v>1022.5015617962223</v>
      </c>
      <c r="D348" s="128">
        <v>17.0</v>
      </c>
      <c r="E348" s="128">
        <v>1022.5015617962223</v>
      </c>
      <c r="F348" s="44" t="s">
        <v>47</v>
      </c>
      <c r="G348" s="128">
        <v>1071.1365151131572</v>
      </c>
      <c r="H348" s="128">
        <v>24.0</v>
      </c>
      <c r="I348" s="128">
        <v>1071.1365151131572</v>
      </c>
      <c r="J348" s="44" t="s">
        <v>23</v>
      </c>
      <c r="K348" s="128">
        <v>1465.2686412919556</v>
      </c>
      <c r="L348" s="128">
        <v>35.0</v>
      </c>
      <c r="M348" s="128">
        <v>1465.2686412919556</v>
      </c>
      <c r="N348" s="44" t="s">
        <v>31</v>
      </c>
      <c r="O348" s="128">
        <v>1484.9529928437946</v>
      </c>
      <c r="P348" s="128">
        <v>33.0</v>
      </c>
      <c r="Q348" s="128">
        <v>1484.9529928437946</v>
      </c>
      <c r="V348" s="44" t="s">
        <v>246</v>
      </c>
      <c r="W348" s="128">
        <v>994.9579910287888</v>
      </c>
      <c r="X348" s="128">
        <v>28.0</v>
      </c>
      <c r="Y348" s="128">
        <v>994.9579910287888</v>
      </c>
      <c r="Z348" s="44" t="s">
        <v>115</v>
      </c>
      <c r="AA348" s="128">
        <v>998.6638927557113</v>
      </c>
      <c r="AB348" s="128">
        <v>23.0</v>
      </c>
      <c r="AC348" s="128">
        <v>998.6638927557113</v>
      </c>
      <c r="AD348" s="44" t="s">
        <v>472</v>
      </c>
      <c r="AE348" s="128">
        <v>1000.0</v>
      </c>
      <c r="AF348" s="128">
        <v>26.0</v>
      </c>
      <c r="AG348" s="128">
        <v>1000.0</v>
      </c>
      <c r="AH348" s="44" t="s">
        <v>447</v>
      </c>
      <c r="AI348" s="128">
        <v>1001.4575951499114</v>
      </c>
      <c r="AJ348" s="128">
        <v>27.0</v>
      </c>
      <c r="AK348" s="128">
        <v>1001.4575951499114</v>
      </c>
      <c r="AP348" s="128">
        <v>23.0</v>
      </c>
      <c r="AQ348" s="128">
        <v>19.0</v>
      </c>
      <c r="AS348" s="44" t="s">
        <v>362</v>
      </c>
      <c r="AT348" s="44">
        <v>347.0</v>
      </c>
      <c r="AU348" s="44"/>
      <c r="AW348" s="93"/>
      <c r="AY348" s="93"/>
      <c r="AZ348" s="93"/>
      <c r="BA348" s="93"/>
      <c r="BB348" s="155"/>
      <c r="BC348" s="93"/>
      <c r="BE348" s="93"/>
      <c r="BG348" s="93"/>
      <c r="BH348" s="93"/>
      <c r="BI348" s="93"/>
      <c r="BJ348" s="155"/>
      <c r="BK348" s="93"/>
    </row>
    <row r="349">
      <c r="A349" s="166">
        <v>44271.942291666666</v>
      </c>
      <c r="B349" s="44" t="s">
        <v>88</v>
      </c>
      <c r="C349" s="128">
        <v>862.8387076847914</v>
      </c>
      <c r="D349" s="128">
        <v>11.0</v>
      </c>
      <c r="E349" s="128">
        <v>863.6292854738899</v>
      </c>
      <c r="F349" s="44" t="s">
        <v>447</v>
      </c>
      <c r="G349" s="128">
        <v>1001.4575951499114</v>
      </c>
      <c r="H349" s="128">
        <v>19.0</v>
      </c>
      <c r="I349" s="128">
        <v>1003.4358630781179</v>
      </c>
      <c r="J349" s="44" t="s">
        <v>47</v>
      </c>
      <c r="K349" s="128">
        <v>1071.1365151131572</v>
      </c>
      <c r="L349" s="128">
        <v>18.0</v>
      </c>
      <c r="M349" s="128">
        <v>1072.9038546736958</v>
      </c>
      <c r="N349" s="44" t="s">
        <v>107</v>
      </c>
      <c r="O349" s="128">
        <v>1102.1167318355583</v>
      </c>
      <c r="P349" s="128">
        <v>18.0</v>
      </c>
      <c r="Q349" s="128">
        <v>1103.8697538690806</v>
      </c>
      <c r="R349" s="44" t="s">
        <v>31</v>
      </c>
      <c r="S349" s="128">
        <v>1484.9529928437946</v>
      </c>
      <c r="T349" s="128">
        <v>30.0</v>
      </c>
      <c r="U349" s="128">
        <v>1488.6637855324286</v>
      </c>
      <c r="V349" s="44" t="s">
        <v>123</v>
      </c>
      <c r="W349" s="128">
        <v>827.1431448865466</v>
      </c>
      <c r="X349" s="128">
        <v>8.0</v>
      </c>
      <c r="Y349" s="128">
        <v>823.5429577325344</v>
      </c>
      <c r="Z349" s="44" t="s">
        <v>112</v>
      </c>
      <c r="AA349" s="128">
        <v>1022.5015617962223</v>
      </c>
      <c r="AB349" s="128">
        <v>18.0</v>
      </c>
      <c r="AC349" s="128">
        <v>1020.3605892607849</v>
      </c>
      <c r="AD349" s="44" t="s">
        <v>92</v>
      </c>
      <c r="AE349" s="128">
        <v>1095.0039734699046</v>
      </c>
      <c r="AF349" s="128">
        <v>26.0</v>
      </c>
      <c r="AG349" s="128">
        <v>1094.1568153929604</v>
      </c>
      <c r="AH349" s="44" t="s">
        <v>27</v>
      </c>
      <c r="AI349" s="128">
        <v>1110.817544692825</v>
      </c>
      <c r="AJ349" s="128">
        <v>9.0</v>
      </c>
      <c r="AK349" s="128">
        <v>1107.1306683831863</v>
      </c>
      <c r="AL349" s="44" t="s">
        <v>23</v>
      </c>
      <c r="AM349" s="128">
        <v>1465.2686412919556</v>
      </c>
      <c r="AN349" s="128">
        <v>33.0</v>
      </c>
      <c r="AO349" s="128">
        <v>1465.543835367988</v>
      </c>
      <c r="AP349" s="128">
        <v>15.0</v>
      </c>
      <c r="AQ349" s="128">
        <v>13.0</v>
      </c>
      <c r="AR349" s="44" t="s">
        <v>473</v>
      </c>
      <c r="AS349" s="44" t="s">
        <v>295</v>
      </c>
      <c r="AT349" s="44">
        <v>348.0</v>
      </c>
      <c r="AU349" s="44"/>
      <c r="AW349" s="93"/>
      <c r="AY349" s="93"/>
      <c r="AZ349" s="93"/>
      <c r="BA349" s="93"/>
      <c r="BB349" s="155"/>
      <c r="BC349" s="93"/>
      <c r="BE349" s="93"/>
      <c r="BG349" s="93"/>
      <c r="BH349" s="93"/>
      <c r="BI349" s="93"/>
      <c r="BJ349" s="155"/>
      <c r="BK349" s="93"/>
    </row>
    <row r="350">
      <c r="A350" s="166">
        <v>44272.02054398148</v>
      </c>
      <c r="B350" s="44" t="s">
        <v>88</v>
      </c>
      <c r="C350" s="128">
        <v>863.6292854738899</v>
      </c>
      <c r="D350" s="128">
        <v>13.0</v>
      </c>
      <c r="E350" s="128">
        <v>863.6292854738899</v>
      </c>
      <c r="F350" s="44" t="s">
        <v>47</v>
      </c>
      <c r="G350" s="128">
        <v>1072.9038546736958</v>
      </c>
      <c r="H350" s="128">
        <v>14.0</v>
      </c>
      <c r="I350" s="128">
        <v>1072.9038546736958</v>
      </c>
      <c r="J350" s="44" t="s">
        <v>92</v>
      </c>
      <c r="K350" s="128">
        <v>1094.1568153929604</v>
      </c>
      <c r="L350" s="128">
        <v>23.0</v>
      </c>
      <c r="M350" s="128">
        <v>1094.1568153929604</v>
      </c>
      <c r="N350" s="44" t="s">
        <v>107</v>
      </c>
      <c r="O350" s="128">
        <v>1103.8697538690806</v>
      </c>
      <c r="P350" s="128">
        <v>21.0</v>
      </c>
      <c r="Q350" s="128">
        <v>1103.8697538690806</v>
      </c>
      <c r="R350" s="44" t="s">
        <v>23</v>
      </c>
      <c r="S350" s="128">
        <v>1465.543835367988</v>
      </c>
      <c r="T350" s="128">
        <v>42.0</v>
      </c>
      <c r="U350" s="128">
        <v>1465.543835367988</v>
      </c>
      <c r="V350" s="44" t="s">
        <v>90</v>
      </c>
      <c r="W350" s="128">
        <v>967.6470813816875</v>
      </c>
      <c r="X350" s="128">
        <v>20.0</v>
      </c>
      <c r="Y350" s="128">
        <v>967.6470813816875</v>
      </c>
      <c r="Z350" s="44" t="s">
        <v>447</v>
      </c>
      <c r="AA350" s="128">
        <v>1003.4358630781179</v>
      </c>
      <c r="AB350" s="128">
        <v>30.0</v>
      </c>
      <c r="AC350" s="128">
        <v>1003.4358630781179</v>
      </c>
      <c r="AD350" s="44" t="s">
        <v>112</v>
      </c>
      <c r="AE350" s="128">
        <v>1020.3605892607849</v>
      </c>
      <c r="AF350" s="128">
        <v>20.0</v>
      </c>
      <c r="AG350" s="128">
        <v>1020.3605892607849</v>
      </c>
      <c r="AH350" s="44" t="s">
        <v>27</v>
      </c>
      <c r="AI350" s="128">
        <v>1107.1306683831863</v>
      </c>
      <c r="AJ350" s="128">
        <v>28.0</v>
      </c>
      <c r="AK350" s="128">
        <v>1107.1306683831863</v>
      </c>
      <c r="AL350" s="44" t="s">
        <v>31</v>
      </c>
      <c r="AM350" s="128">
        <v>1488.6637855324286</v>
      </c>
      <c r="AN350" s="128">
        <v>31.0</v>
      </c>
      <c r="AO350" s="128">
        <v>1488.6637855324286</v>
      </c>
      <c r="AP350" s="128">
        <v>14.0</v>
      </c>
      <c r="AQ350" s="128">
        <v>14.0</v>
      </c>
      <c r="AR350" s="167" t="s">
        <v>474</v>
      </c>
      <c r="AS350" s="44" t="s">
        <v>231</v>
      </c>
      <c r="AT350" s="44">
        <v>349.0</v>
      </c>
      <c r="AU350" s="44"/>
      <c r="AV350" s="44" t="s">
        <v>123</v>
      </c>
      <c r="AW350" s="145">
        <v>823.54</v>
      </c>
      <c r="AX350" s="44">
        <v>15.0</v>
      </c>
      <c r="AY350" s="145">
        <v>823.54</v>
      </c>
      <c r="AZ350" s="145" t="s">
        <v>121</v>
      </c>
      <c r="BA350" s="145">
        <v>900.98</v>
      </c>
      <c r="BB350" s="146" t="s">
        <v>475</v>
      </c>
      <c r="BC350" s="145">
        <v>900.98</v>
      </c>
      <c r="BD350" s="44" t="s">
        <v>127</v>
      </c>
      <c r="BE350" s="145">
        <v>631.36</v>
      </c>
      <c r="BF350" s="44">
        <v>8.0</v>
      </c>
      <c r="BG350" s="145">
        <v>631.36</v>
      </c>
      <c r="BH350" s="145" t="s">
        <v>129</v>
      </c>
      <c r="BI350" s="145">
        <v>763.54</v>
      </c>
      <c r="BJ350" s="146" t="s">
        <v>476</v>
      </c>
      <c r="BK350" s="145">
        <v>763.54</v>
      </c>
    </row>
    <row r="351">
      <c r="A351" s="166">
        <v>44272.95763888889</v>
      </c>
      <c r="B351" s="44" t="s">
        <v>246</v>
      </c>
      <c r="C351" s="128">
        <v>994.9579910287888</v>
      </c>
      <c r="D351" s="128">
        <v>22.0</v>
      </c>
      <c r="E351" s="128">
        <v>1003.7921216206412</v>
      </c>
      <c r="F351" s="44" t="s">
        <v>472</v>
      </c>
      <c r="G351" s="128">
        <v>1000.0</v>
      </c>
      <c r="H351" s="128">
        <v>24.0</v>
      </c>
      <c r="I351" s="128">
        <v>1010.3679584662337</v>
      </c>
      <c r="J351" s="44" t="s">
        <v>447</v>
      </c>
      <c r="K351" s="128">
        <v>1003.4358630781179</v>
      </c>
      <c r="L351" s="128">
        <v>22.0</v>
      </c>
      <c r="M351" s="128">
        <v>1012.2337740200318</v>
      </c>
      <c r="N351" s="44"/>
      <c r="O351" s="128"/>
      <c r="P351" s="128"/>
      <c r="Q351" s="128"/>
      <c r="V351" s="44" t="s">
        <v>121</v>
      </c>
      <c r="W351" s="128">
        <v>900.9772820037</v>
      </c>
      <c r="X351" s="128">
        <v>6.0</v>
      </c>
      <c r="Y351" s="128">
        <v>886.3920886378602</v>
      </c>
      <c r="Z351" s="44" t="s">
        <v>90</v>
      </c>
      <c r="AA351" s="128">
        <v>967.6470813816875</v>
      </c>
      <c r="AB351" s="128">
        <v>19.0</v>
      </c>
      <c r="AC351" s="128">
        <v>962.9512123693919</v>
      </c>
      <c r="AD351" s="44" t="s">
        <v>112</v>
      </c>
      <c r="AE351" s="128">
        <v>1020.3605892607849</v>
      </c>
      <c r="AF351" s="128">
        <v>14.0</v>
      </c>
      <c r="AG351" s="128">
        <v>1011.6416516389203</v>
      </c>
      <c r="AH351" s="44"/>
      <c r="AI351" s="128"/>
      <c r="AJ351" s="128"/>
      <c r="AK351" s="128"/>
      <c r="AP351" s="128">
        <v>20.0</v>
      </c>
      <c r="AQ351" s="128">
        <v>8.0</v>
      </c>
      <c r="AT351" s="44">
        <v>350.0</v>
      </c>
      <c r="AU351" s="44"/>
      <c r="AW351" s="93"/>
      <c r="AY351" s="93"/>
      <c r="AZ351" s="93"/>
      <c r="BA351" s="93"/>
      <c r="BB351" s="155"/>
      <c r="BC351" s="93"/>
      <c r="BE351" s="93"/>
      <c r="BG351" s="93"/>
      <c r="BH351" s="93"/>
      <c r="BI351" s="93"/>
      <c r="BJ351" s="155"/>
      <c r="BK351" s="93"/>
    </row>
    <row r="352">
      <c r="A352" s="166">
        <v>44272.996203703704</v>
      </c>
      <c r="B352" s="44" t="s">
        <v>246</v>
      </c>
      <c r="C352" s="128">
        <v>1003.7921216206412</v>
      </c>
      <c r="D352" s="128">
        <v>19.0</v>
      </c>
      <c r="E352" s="128">
        <v>1008.2113701251802</v>
      </c>
      <c r="F352" s="44" t="s">
        <v>472</v>
      </c>
      <c r="G352" s="128">
        <v>1010.3679584662337</v>
      </c>
      <c r="H352" s="128">
        <v>23.0</v>
      </c>
      <c r="I352" s="128">
        <v>1016.6604987138783</v>
      </c>
      <c r="J352" s="44" t="s">
        <v>447</v>
      </c>
      <c r="K352" s="128">
        <v>1012.2337740200318</v>
      </c>
      <c r="L352" s="128">
        <v>23.0</v>
      </c>
      <c r="M352" s="128">
        <v>1018.5219852678482</v>
      </c>
      <c r="N352" s="44"/>
      <c r="O352" s="128"/>
      <c r="P352" s="128"/>
      <c r="Q352" s="128"/>
      <c r="V352" s="44" t="s">
        <v>90</v>
      </c>
      <c r="W352" s="128">
        <v>962.9512123693919</v>
      </c>
      <c r="X352" s="128">
        <v>16.0</v>
      </c>
      <c r="Y352" s="128">
        <v>958.2758857618109</v>
      </c>
      <c r="Z352" s="44" t="s">
        <v>248</v>
      </c>
      <c r="AA352" s="128">
        <v>995.6847136391858</v>
      </c>
      <c r="AB352" s="128">
        <v>11.0</v>
      </c>
      <c r="AC352" s="128">
        <v>988.5904379245762</v>
      </c>
      <c r="AD352" s="44" t="s">
        <v>112</v>
      </c>
      <c r="AE352" s="128">
        <v>1011.6416516389203</v>
      </c>
      <c r="AF352" s="128">
        <v>15.0</v>
      </c>
      <c r="AG352" s="128">
        <v>1006.4112539611109</v>
      </c>
      <c r="AH352" s="44"/>
      <c r="AI352" s="128"/>
      <c r="AJ352" s="128"/>
      <c r="AK352" s="128"/>
      <c r="AP352" s="128">
        <v>18.0</v>
      </c>
      <c r="AQ352" s="128">
        <v>10.0</v>
      </c>
      <c r="AT352" s="44">
        <v>351.0</v>
      </c>
      <c r="AU352" s="44"/>
      <c r="AW352" s="93"/>
      <c r="AY352" s="93"/>
      <c r="AZ352" s="93"/>
      <c r="BA352" s="93"/>
      <c r="BB352" s="155"/>
      <c r="BC352" s="93"/>
      <c r="BE352" s="93"/>
      <c r="BG352" s="93"/>
      <c r="BH352" s="93"/>
      <c r="BI352" s="93"/>
      <c r="BJ352" s="155"/>
      <c r="BK352" s="93"/>
    </row>
    <row r="353">
      <c r="A353" s="166">
        <v>44273.96456018519</v>
      </c>
      <c r="B353" s="44" t="s">
        <v>112</v>
      </c>
      <c r="C353" s="128">
        <v>1006.4112539611109</v>
      </c>
      <c r="D353" s="128">
        <v>23.0</v>
      </c>
      <c r="E353" s="128">
        <v>1010.2236049960019</v>
      </c>
      <c r="F353" s="44" t="s">
        <v>47</v>
      </c>
      <c r="G353" s="128">
        <v>1072.9038546736958</v>
      </c>
      <c r="H353" s="128">
        <v>28.0</v>
      </c>
      <c r="I353" s="128">
        <v>1078.582557405196</v>
      </c>
      <c r="J353" s="44" t="s">
        <v>92</v>
      </c>
      <c r="K353" s="128">
        <v>1094.1568153929604</v>
      </c>
      <c r="L353" s="128">
        <v>31.0</v>
      </c>
      <c r="M353" s="128">
        <v>1101.0033232376907</v>
      </c>
      <c r="N353" s="44" t="s">
        <v>107</v>
      </c>
      <c r="O353" s="128">
        <v>1103.8697538690806</v>
      </c>
      <c r="P353" s="128">
        <v>17.0</v>
      </c>
      <c r="Q353" s="128">
        <v>1105.1030820418566</v>
      </c>
      <c r="R353" s="44" t="s">
        <v>27</v>
      </c>
      <c r="S353" s="128">
        <v>1107.1306683831863</v>
      </c>
      <c r="T353" s="128">
        <v>30.0</v>
      </c>
      <c r="U353" s="128">
        <v>1113.5597785992888</v>
      </c>
      <c r="V353" s="44" t="s">
        <v>88</v>
      </c>
      <c r="W353" s="128">
        <v>863.6292854738899</v>
      </c>
      <c r="X353" s="128">
        <v>14.0</v>
      </c>
      <c r="Y353" s="128">
        <v>857.6593971719399</v>
      </c>
      <c r="Z353" s="44" t="s">
        <v>90</v>
      </c>
      <c r="AA353" s="128">
        <v>958.2758857618109</v>
      </c>
      <c r="AB353" s="128">
        <v>17.0</v>
      </c>
      <c r="AC353" s="128">
        <v>953.2613879148381</v>
      </c>
      <c r="AD353" s="44" t="s">
        <v>227</v>
      </c>
      <c r="AE353" s="128">
        <v>967.3</v>
      </c>
      <c r="AF353" s="128">
        <v>8.0</v>
      </c>
      <c r="AG353" s="128">
        <v>958.6666958649315</v>
      </c>
      <c r="AH353" s="44" t="s">
        <v>58</v>
      </c>
      <c r="AI353" s="128">
        <v>980.986005156957</v>
      </c>
      <c r="AJ353" s="128">
        <v>12.0</v>
      </c>
      <c r="AK353" s="128">
        <v>973.9256355213164</v>
      </c>
      <c r="AL353" s="44" t="s">
        <v>23</v>
      </c>
      <c r="AM353" s="128">
        <v>1465.543835367988</v>
      </c>
      <c r="AN353" s="128">
        <v>37.0</v>
      </c>
      <c r="AO353" s="128">
        <v>1468.2218952876199</v>
      </c>
      <c r="AP353" s="128">
        <v>20.0</v>
      </c>
      <c r="AQ353" s="128">
        <v>8.0</v>
      </c>
      <c r="AT353" s="44">
        <v>352.0</v>
      </c>
      <c r="AU353" s="44"/>
      <c r="AV353" s="44" t="s">
        <v>121</v>
      </c>
      <c r="AW353" s="45">
        <v>886.3920886378602</v>
      </c>
      <c r="AX353" s="44">
        <v>13.0</v>
      </c>
      <c r="AY353" s="145">
        <v>888.0</v>
      </c>
      <c r="AZ353" s="145" t="s">
        <v>34</v>
      </c>
      <c r="BA353" s="45">
        <v>954.8236746779161</v>
      </c>
      <c r="BB353" s="146" t="s">
        <v>477</v>
      </c>
      <c r="BC353" s="145">
        <v>956.75</v>
      </c>
      <c r="BD353" s="44" t="s">
        <v>127</v>
      </c>
      <c r="BE353" s="45">
        <v>631.3644995706705</v>
      </c>
      <c r="BF353" s="44">
        <v>3.0</v>
      </c>
      <c r="BG353" s="145">
        <v>620.32</v>
      </c>
      <c r="BH353" s="145" t="s">
        <v>123</v>
      </c>
      <c r="BI353" s="45">
        <v>823.5429577325344</v>
      </c>
      <c r="BJ353" s="146" t="s">
        <v>478</v>
      </c>
      <c r="BK353" s="145">
        <v>815.22</v>
      </c>
    </row>
    <row r="354">
      <c r="A354" s="166">
        <v>44274.014189814814</v>
      </c>
      <c r="B354" s="44" t="s">
        <v>88</v>
      </c>
      <c r="C354" s="128">
        <v>857.6593971719399</v>
      </c>
      <c r="D354" s="128">
        <v>16.0</v>
      </c>
      <c r="E354" s="128">
        <v>851.3903565997502</v>
      </c>
      <c r="F354" s="44" t="s">
        <v>90</v>
      </c>
      <c r="G354" s="128">
        <v>953.2613879148381</v>
      </c>
      <c r="H354" s="128">
        <v>23.0</v>
      </c>
      <c r="I354" s="128">
        <v>948.9323427599891</v>
      </c>
      <c r="J354" s="44" t="s">
        <v>34</v>
      </c>
      <c r="K354" s="128">
        <v>956.75</v>
      </c>
      <c r="L354" s="128">
        <v>20.0</v>
      </c>
      <c r="M354" s="128">
        <v>951.4626815767555</v>
      </c>
      <c r="N354" s="44" t="s">
        <v>112</v>
      </c>
      <c r="O354" s="128">
        <v>1010.2236049960019</v>
      </c>
      <c r="P354" s="128">
        <v>27.0</v>
      </c>
      <c r="Q354" s="128">
        <v>1007.0415663859626</v>
      </c>
      <c r="R354" s="44" t="s">
        <v>23</v>
      </c>
      <c r="S354" s="128">
        <v>1468.2218952876199</v>
      </c>
      <c r="T354" s="128">
        <v>38.0</v>
      </c>
      <c r="U354" s="128">
        <v>1468.2893380479422</v>
      </c>
      <c r="V354" s="44" t="s">
        <v>58</v>
      </c>
      <c r="W354" s="128">
        <v>973.9256355213164</v>
      </c>
      <c r="X354" s="128">
        <v>21.0</v>
      </c>
      <c r="Y354" s="128">
        <v>976.3957337814769</v>
      </c>
      <c r="Z354" s="44" t="s">
        <v>248</v>
      </c>
      <c r="AA354" s="128">
        <v>988.5904379245762</v>
      </c>
      <c r="AB354" s="128">
        <v>25.0</v>
      </c>
      <c r="AC354" s="128">
        <v>992.2958778721253</v>
      </c>
      <c r="AD354" s="44" t="s">
        <v>47</v>
      </c>
      <c r="AE354" s="128">
        <v>1078.582557405196</v>
      </c>
      <c r="AF354" s="128">
        <v>24.0</v>
      </c>
      <c r="AG354" s="128">
        <v>1081.824492860496</v>
      </c>
      <c r="AH354" s="44" t="s">
        <v>107</v>
      </c>
      <c r="AI354" s="128">
        <v>1105.1030820418566</v>
      </c>
      <c r="AJ354" s="128">
        <v>20.0</v>
      </c>
      <c r="AK354" s="128">
        <v>1107.0485337403138</v>
      </c>
      <c r="AL354" s="44" t="s">
        <v>27</v>
      </c>
      <c r="AM354" s="128">
        <v>1113.5597785992888</v>
      </c>
      <c r="AN354" s="128">
        <v>38.0</v>
      </c>
      <c r="AO354" s="128">
        <v>1121.196853237822</v>
      </c>
      <c r="AP354" s="128">
        <v>12.0</v>
      </c>
      <c r="AQ354" s="128">
        <v>16.0</v>
      </c>
      <c r="AT354" s="44">
        <v>353.0</v>
      </c>
      <c r="AU354" s="44"/>
      <c r="AV354" s="44" t="s">
        <v>129</v>
      </c>
      <c r="AW354" s="45">
        <v>763.5412482734772</v>
      </c>
      <c r="AX354" s="44">
        <v>9.0</v>
      </c>
      <c r="AY354" s="145">
        <v>754.75</v>
      </c>
      <c r="AZ354" s="145" t="s">
        <v>121</v>
      </c>
      <c r="BA354" s="45">
        <v>888.0</v>
      </c>
      <c r="BB354" s="146" t="s">
        <v>479</v>
      </c>
      <c r="BC354" s="145">
        <v>880.01</v>
      </c>
      <c r="BD354" s="44" t="s">
        <v>123</v>
      </c>
      <c r="BE354" s="45">
        <v>815.22</v>
      </c>
      <c r="BF354" s="44">
        <v>24.0</v>
      </c>
      <c r="BG354" s="145">
        <v>819.55</v>
      </c>
      <c r="BH354" s="145" t="s">
        <v>127</v>
      </c>
      <c r="BI354" s="45">
        <v>620.32</v>
      </c>
      <c r="BJ354" s="146" t="s">
        <v>480</v>
      </c>
      <c r="BK354" s="145">
        <v>615.2</v>
      </c>
    </row>
    <row r="355">
      <c r="A355" s="166">
        <v>44274.04607638889</v>
      </c>
      <c r="B355" s="44" t="s">
        <v>127</v>
      </c>
      <c r="C355" s="128">
        <v>615.2</v>
      </c>
      <c r="D355" s="128">
        <v>8.0</v>
      </c>
      <c r="E355" s="128">
        <v>615.1893063031404</v>
      </c>
      <c r="F355" s="44" t="s">
        <v>88</v>
      </c>
      <c r="G355" s="128">
        <v>851.3903565997502</v>
      </c>
      <c r="H355" s="128">
        <v>19.0</v>
      </c>
      <c r="I355" s="128">
        <v>857.2731026749291</v>
      </c>
      <c r="J355" s="44" t="s">
        <v>248</v>
      </c>
      <c r="K355" s="128">
        <v>992.2958778721253</v>
      </c>
      <c r="L355" s="128">
        <v>33.0</v>
      </c>
      <c r="M355" s="128">
        <v>1008.0605173947819</v>
      </c>
      <c r="N355" s="44" t="s">
        <v>107</v>
      </c>
      <c r="O355" s="128">
        <v>1107.0485337403138</v>
      </c>
      <c r="P355" s="128">
        <v>33.0</v>
      </c>
      <c r="Q355" s="128">
        <v>1122.4118418393382</v>
      </c>
      <c r="V355" s="44" t="s">
        <v>129</v>
      </c>
      <c r="W355" s="128">
        <v>754.75</v>
      </c>
      <c r="X355" s="128">
        <v>11.0</v>
      </c>
      <c r="Y355" s="128">
        <v>743.0434536542465</v>
      </c>
      <c r="Z355" s="44" t="s">
        <v>123</v>
      </c>
      <c r="AA355" s="128">
        <v>819.55</v>
      </c>
      <c r="AB355" s="128">
        <v>10.0</v>
      </c>
      <c r="AC355" s="128">
        <v>806.6671501967813</v>
      </c>
      <c r="AD355" s="44" t="s">
        <v>121</v>
      </c>
      <c r="AE355" s="128">
        <v>880.01</v>
      </c>
      <c r="AF355" s="128">
        <v>11.0</v>
      </c>
      <c r="AG355" s="128">
        <v>867.578906591215</v>
      </c>
      <c r="AH355" s="44" t="s">
        <v>47</v>
      </c>
      <c r="AI355" s="128">
        <v>1081.824492860496</v>
      </c>
      <c r="AJ355" s="128">
        <v>28.0</v>
      </c>
      <c r="AK355" s="128">
        <v>1081.8449824182533</v>
      </c>
      <c r="AP355" s="128">
        <v>22.0</v>
      </c>
      <c r="AQ355" s="128">
        <v>6.0</v>
      </c>
      <c r="AT355" s="44">
        <v>354.0</v>
      </c>
      <c r="AU355" s="44"/>
      <c r="AW355" s="93"/>
      <c r="AY355" s="93"/>
      <c r="AZ355" s="93"/>
      <c r="BA355" s="93"/>
      <c r="BB355" s="155"/>
      <c r="BC355" s="93"/>
      <c r="BE355" s="93"/>
      <c r="BG355" s="93"/>
      <c r="BH355" s="93"/>
      <c r="BI355" s="93"/>
      <c r="BJ355" s="155"/>
      <c r="BK355" s="93"/>
    </row>
    <row r="356">
      <c r="A356" s="166">
        <v>44274.94237268518</v>
      </c>
      <c r="B356" s="44" t="s">
        <v>121</v>
      </c>
      <c r="C356" s="128">
        <v>867.578906591215</v>
      </c>
      <c r="D356" s="128">
        <v>10.0</v>
      </c>
      <c r="E356" s="128">
        <v>863.4979394691288</v>
      </c>
      <c r="F356" s="44" t="s">
        <v>481</v>
      </c>
      <c r="G356" s="128">
        <v>1000.0</v>
      </c>
      <c r="H356" s="128">
        <v>19.0</v>
      </c>
      <c r="I356" s="128">
        <v>997.5526093161757</v>
      </c>
      <c r="J356" s="44" t="s">
        <v>482</v>
      </c>
      <c r="K356" s="128">
        <v>1000.0</v>
      </c>
      <c r="L356" s="128">
        <v>7.0</v>
      </c>
      <c r="M356" s="128">
        <v>995.1526093161757</v>
      </c>
      <c r="N356" s="44" t="s">
        <v>112</v>
      </c>
      <c r="O356" s="128">
        <v>1007.0415663859626</v>
      </c>
      <c r="P356" s="128">
        <v>24.0</v>
      </c>
      <c r="Q356" s="128">
        <v>1005.5877509072426</v>
      </c>
      <c r="R356" s="44" t="s">
        <v>31</v>
      </c>
      <c r="S356" s="128">
        <v>1488.6637855324286</v>
      </c>
      <c r="T356" s="128">
        <v>36.0</v>
      </c>
      <c r="U356" s="128">
        <v>1489.4933495008834</v>
      </c>
      <c r="V356" s="44" t="s">
        <v>98</v>
      </c>
      <c r="W356" s="128">
        <v>881.8629389368881</v>
      </c>
      <c r="X356" s="128">
        <v>10.0</v>
      </c>
      <c r="Y356" s="128">
        <v>882.1620971816352</v>
      </c>
      <c r="Z356" s="44" t="s">
        <v>58</v>
      </c>
      <c r="AA356" s="128">
        <v>976.3957337814769</v>
      </c>
      <c r="AB356" s="128">
        <v>12.0</v>
      </c>
      <c r="AC356" s="128">
        <v>976.9609844293802</v>
      </c>
      <c r="AD356" s="44" t="s">
        <v>47</v>
      </c>
      <c r="AE356" s="128">
        <v>1081.8449824182533</v>
      </c>
      <c r="AF356" s="128">
        <v>23.0</v>
      </c>
      <c r="AG356" s="128">
        <v>1084.5168408468598</v>
      </c>
      <c r="AH356" s="44" t="s">
        <v>92</v>
      </c>
      <c r="AI356" s="128">
        <v>1101.0033232376907</v>
      </c>
      <c r="AJ356" s="128">
        <v>22.0</v>
      </c>
      <c r="AK356" s="128">
        <v>1103.463746060133</v>
      </c>
      <c r="AL356" s="44" t="s">
        <v>23</v>
      </c>
      <c r="AM356" s="128">
        <v>1468.2893380479422</v>
      </c>
      <c r="AN356" s="128">
        <v>40.0</v>
      </c>
      <c r="AO356" s="128">
        <v>1474.292647904243</v>
      </c>
      <c r="AP356" s="128">
        <v>11.0</v>
      </c>
      <c r="AQ356" s="128">
        <v>17.0</v>
      </c>
      <c r="AR356" s="44" t="s">
        <v>483</v>
      </c>
      <c r="AS356" s="44" t="s">
        <v>229</v>
      </c>
      <c r="AT356" s="44">
        <v>355.0</v>
      </c>
      <c r="AU356" s="44"/>
      <c r="AW356" s="93"/>
      <c r="AY356" s="93"/>
      <c r="AZ356" s="93"/>
      <c r="BA356" s="93"/>
      <c r="BB356" s="155"/>
      <c r="BC356" s="93"/>
      <c r="BE356" s="93"/>
      <c r="BG356" s="93"/>
      <c r="BH356" s="93"/>
      <c r="BI356" s="93"/>
      <c r="BJ356" s="155"/>
      <c r="BK356" s="93"/>
    </row>
    <row r="357">
      <c r="A357" s="166">
        <v>44275.03626822917</v>
      </c>
      <c r="B357" s="44" t="s">
        <v>123</v>
      </c>
      <c r="C357" s="128">
        <v>806.6671501967813</v>
      </c>
      <c r="D357" s="128">
        <v>9.0</v>
      </c>
      <c r="E357" s="128">
        <v>807.4856662943716</v>
      </c>
      <c r="F357" s="44" t="s">
        <v>98</v>
      </c>
      <c r="G357" s="128">
        <v>882.1620971816352</v>
      </c>
      <c r="H357" s="128">
        <v>23.0</v>
      </c>
      <c r="I357" s="128">
        <v>889.0812265393115</v>
      </c>
      <c r="J357" s="44" t="s">
        <v>58</v>
      </c>
      <c r="K357" s="128">
        <v>976.9609844293802</v>
      </c>
      <c r="L357" s="128">
        <v>18.0</v>
      </c>
      <c r="M357" s="128">
        <v>981.2922015015358</v>
      </c>
      <c r="N357" s="44" t="s">
        <v>23</v>
      </c>
      <c r="O357" s="128">
        <v>1474.292647904243</v>
      </c>
      <c r="P357" s="128">
        <v>31.0</v>
      </c>
      <c r="Q357" s="128">
        <v>1484.2237853768208</v>
      </c>
      <c r="V357" s="44" t="s">
        <v>88</v>
      </c>
      <c r="W357" s="128">
        <v>857.2731026749291</v>
      </c>
      <c r="X357" s="128">
        <v>12.0</v>
      </c>
      <c r="Y357" s="128">
        <v>849.8662953939784</v>
      </c>
      <c r="Z357" s="44" t="s">
        <v>47</v>
      </c>
      <c r="AA357" s="128">
        <v>1084.5168408468598</v>
      </c>
      <c r="AB357" s="128">
        <v>18.0</v>
      </c>
      <c r="AC357" s="128">
        <v>1079.3662666475432</v>
      </c>
      <c r="AD357" s="44" t="s">
        <v>92</v>
      </c>
      <c r="AE357" s="128">
        <v>1103.463746060133</v>
      </c>
      <c r="AF357" s="128">
        <v>17.0</v>
      </c>
      <c r="AG357" s="128">
        <v>1097.8346013645992</v>
      </c>
      <c r="AH357" s="44" t="s">
        <v>107</v>
      </c>
      <c r="AI357" s="128">
        <v>1122.4118418393382</v>
      </c>
      <c r="AJ357" s="128">
        <v>21.0</v>
      </c>
      <c r="AK357" s="128">
        <v>1118.5983680151394</v>
      </c>
      <c r="AP357" s="128">
        <v>16.0</v>
      </c>
      <c r="AQ357" s="128">
        <v>12.0</v>
      </c>
      <c r="AT357" s="44">
        <v>356.0</v>
      </c>
      <c r="AU357" s="44"/>
      <c r="AW357" s="93"/>
      <c r="AY357" s="93"/>
      <c r="AZ357" s="93"/>
      <c r="BA357" s="93"/>
      <c r="BB357" s="155"/>
      <c r="BC357" s="93"/>
      <c r="BE357" s="93"/>
      <c r="BG357" s="93"/>
      <c r="BH357" s="93"/>
      <c r="BI357" s="93"/>
      <c r="BJ357" s="155"/>
      <c r="BK357" s="93"/>
    </row>
    <row r="358">
      <c r="A358" s="166">
        <v>44275.08088739583</v>
      </c>
      <c r="B358" s="44" t="s">
        <v>123</v>
      </c>
      <c r="C358" s="128">
        <v>807.4856662943716</v>
      </c>
      <c r="D358" s="128">
        <v>17.0</v>
      </c>
      <c r="E358" s="128">
        <v>809.2626098558811</v>
      </c>
      <c r="F358" s="44" t="s">
        <v>88</v>
      </c>
      <c r="G358" s="128">
        <v>849.8662953939784</v>
      </c>
      <c r="H358" s="128">
        <v>10.0</v>
      </c>
      <c r="I358" s="128">
        <v>850.2540434250366</v>
      </c>
      <c r="J358" s="44" t="s">
        <v>58</v>
      </c>
      <c r="K358" s="128">
        <v>981.2922015015358</v>
      </c>
      <c r="L358" s="128">
        <v>22.0</v>
      </c>
      <c r="M358" s="128">
        <v>983.7507436763391</v>
      </c>
      <c r="N358" s="44" t="s">
        <v>23</v>
      </c>
      <c r="O358" s="128">
        <v>1484.2237853768208</v>
      </c>
      <c r="P358" s="128">
        <v>33.0</v>
      </c>
      <c r="Q358" s="128">
        <v>1488.60055160945</v>
      </c>
      <c r="V358" s="44" t="s">
        <v>98</v>
      </c>
      <c r="W358" s="128">
        <v>889.0812265393115</v>
      </c>
      <c r="X358" s="128">
        <v>19.0</v>
      </c>
      <c r="Y358" s="128">
        <v>886.6393359757469</v>
      </c>
      <c r="Z358" s="44" t="s">
        <v>112</v>
      </c>
      <c r="AA358" s="128">
        <v>1005.5877509072426</v>
      </c>
      <c r="AB358" s="128">
        <v>22.0</v>
      </c>
      <c r="AC358" s="128">
        <v>1003.5699476166001</v>
      </c>
      <c r="AD358" s="44" t="s">
        <v>47</v>
      </c>
      <c r="AE358" s="128">
        <v>1079.3662666475432</v>
      </c>
      <c r="AF358" s="128">
        <v>21.0</v>
      </c>
      <c r="AG358" s="128">
        <v>1077.1062309838148</v>
      </c>
      <c r="AH358" s="44" t="s">
        <v>107</v>
      </c>
      <c r="AI358" s="128">
        <v>1118.5983680151394</v>
      </c>
      <c r="AJ358" s="128">
        <v>21.0</v>
      </c>
      <c r="AK358" s="128">
        <v>1116.318097533075</v>
      </c>
      <c r="AP358" s="128">
        <v>15.0</v>
      </c>
      <c r="AQ358" s="128">
        <v>13.0</v>
      </c>
      <c r="AT358" s="44">
        <v>357.0</v>
      </c>
      <c r="AU358" s="44"/>
      <c r="AW358" s="93"/>
      <c r="AY358" s="93"/>
      <c r="AZ358" s="93"/>
      <c r="BA358" s="93"/>
      <c r="BB358" s="155"/>
      <c r="BC358" s="93"/>
      <c r="BE358" s="93"/>
      <c r="BG358" s="93"/>
      <c r="BH358" s="93"/>
      <c r="BI358" s="93"/>
      <c r="BJ358" s="155"/>
      <c r="BK358" s="93"/>
    </row>
    <row r="359">
      <c r="A359" s="166">
        <v>44275.88354704861</v>
      </c>
      <c r="B359" s="44" t="s">
        <v>123</v>
      </c>
      <c r="C359" s="128">
        <v>809.2626098558811</v>
      </c>
      <c r="D359" s="128">
        <v>13.0</v>
      </c>
      <c r="E359" s="128">
        <v>810.6137683380737</v>
      </c>
      <c r="F359" s="44" t="s">
        <v>88</v>
      </c>
      <c r="G359" s="128">
        <v>850.2540434250366</v>
      </c>
      <c r="H359" s="128">
        <v>23.0</v>
      </c>
      <c r="I359" s="128">
        <v>853.2151923795703</v>
      </c>
      <c r="J359" s="44" t="s">
        <v>112</v>
      </c>
      <c r="K359" s="128">
        <v>1003.5699476166001</v>
      </c>
      <c r="L359" s="128">
        <v>11.0</v>
      </c>
      <c r="M359" s="128">
        <v>1004.3775209001527</v>
      </c>
      <c r="N359" s="44" t="s">
        <v>23</v>
      </c>
      <c r="O359" s="128">
        <v>1488.60055160945</v>
      </c>
      <c r="P359" s="128">
        <v>24.0</v>
      </c>
      <c r="Q359" s="128">
        <v>1491.4806708891708</v>
      </c>
      <c r="V359" s="44" t="s">
        <v>98</v>
      </c>
      <c r="W359" s="128">
        <v>886.6393359757469</v>
      </c>
      <c r="X359" s="128">
        <v>21.0</v>
      </c>
      <c r="Y359" s="128">
        <v>885.3668219025212</v>
      </c>
      <c r="Z359" s="44" t="s">
        <v>248</v>
      </c>
      <c r="AA359" s="128">
        <v>1008.0605173947819</v>
      </c>
      <c r="AB359" s="128">
        <v>20.0</v>
      </c>
      <c r="AC359" s="128">
        <v>1006.5149296293276</v>
      </c>
      <c r="AD359" s="44" t="s">
        <v>47</v>
      </c>
      <c r="AE359" s="128">
        <v>1077.1062309838148</v>
      </c>
      <c r="AF359" s="128">
        <v>16.0</v>
      </c>
      <c r="AG359" s="128">
        <v>1074.8562048356175</v>
      </c>
      <c r="AH359" s="44" t="s">
        <v>107</v>
      </c>
      <c r="AI359" s="128">
        <v>1116.318097533075</v>
      </c>
      <c r="AJ359" s="128">
        <v>12.0</v>
      </c>
      <c r="AK359" s="128">
        <v>1113.3862255199522</v>
      </c>
      <c r="AP359" s="128">
        <v>15.0</v>
      </c>
      <c r="AQ359" s="128">
        <v>13.0</v>
      </c>
      <c r="AT359" s="44">
        <v>358.0</v>
      </c>
      <c r="AU359" s="44"/>
      <c r="AW359" s="93"/>
      <c r="AY359" s="93"/>
      <c r="AZ359" s="93"/>
      <c r="BA359" s="93"/>
      <c r="BB359" s="155"/>
      <c r="BC359" s="93"/>
      <c r="BE359" s="93"/>
      <c r="BG359" s="93"/>
      <c r="BH359" s="93"/>
      <c r="BI359" s="93"/>
      <c r="BJ359" s="155"/>
      <c r="BK359" s="93"/>
    </row>
    <row r="360">
      <c r="A360" s="166">
        <v>44275.971134259256</v>
      </c>
      <c r="B360" s="44" t="s">
        <v>127</v>
      </c>
      <c r="C360" s="128">
        <v>615.1893063031404</v>
      </c>
      <c r="D360" s="128">
        <v>10.0</v>
      </c>
      <c r="E360" s="128">
        <v>609.0072153240105</v>
      </c>
      <c r="F360" s="44" t="s">
        <v>482</v>
      </c>
      <c r="G360" s="128">
        <v>995.1526093161757</v>
      </c>
      <c r="H360" s="128">
        <v>15.0</v>
      </c>
      <c r="I360" s="128">
        <v>989.3687796261802</v>
      </c>
      <c r="J360" s="44" t="s">
        <v>112</v>
      </c>
      <c r="K360" s="128">
        <v>1004.3775209001527</v>
      </c>
      <c r="L360" s="128">
        <v>30.0</v>
      </c>
      <c r="M360" s="128">
        <v>1003.5785137658554</v>
      </c>
      <c r="N360" s="44" t="s">
        <v>47</v>
      </c>
      <c r="O360" s="128">
        <v>1074.8562048356175</v>
      </c>
      <c r="P360" s="128">
        <v>13.0</v>
      </c>
      <c r="Q360" s="128">
        <v>1068.2969155367578</v>
      </c>
      <c r="R360" s="44" t="s">
        <v>31</v>
      </c>
      <c r="S360" s="128">
        <v>1489.4933495008834</v>
      </c>
      <c r="T360" s="128">
        <v>31.0</v>
      </c>
      <c r="U360" s="128">
        <v>1488.8175666031657</v>
      </c>
      <c r="V360" s="44" t="s">
        <v>88</v>
      </c>
      <c r="W360" s="128">
        <v>853.2151923795703</v>
      </c>
      <c r="X360" s="128">
        <v>13.0</v>
      </c>
      <c r="Y360" s="128">
        <v>854.0960478723767</v>
      </c>
      <c r="Z360" s="44" t="s">
        <v>98</v>
      </c>
      <c r="AA360" s="128">
        <v>885.3668219025212</v>
      </c>
      <c r="AB360" s="128">
        <v>25.0</v>
      </c>
      <c r="AC360" s="128">
        <v>890.1435047608193</v>
      </c>
      <c r="AD360" s="44" t="s">
        <v>90</v>
      </c>
      <c r="AE360" s="128">
        <v>948.9323427599891</v>
      </c>
      <c r="AF360" s="128">
        <v>18.0</v>
      </c>
      <c r="AG360" s="128">
        <v>951.2016959175263</v>
      </c>
      <c r="AH360" s="44" t="s">
        <v>74</v>
      </c>
      <c r="AI360" s="146" t="s">
        <v>484</v>
      </c>
      <c r="AJ360" s="44">
        <v>21.0</v>
      </c>
      <c r="AK360" s="44">
        <v>1004.10623098381</v>
      </c>
      <c r="AL360" s="44" t="s">
        <v>23</v>
      </c>
      <c r="AM360" s="128">
        <v>1491.4806708891708</v>
      </c>
      <c r="AN360" s="128">
        <v>38.0</v>
      </c>
      <c r="AO360" s="128">
        <v>1500.0561731506355</v>
      </c>
      <c r="AP360" s="128">
        <v>11.0</v>
      </c>
      <c r="AQ360" s="128">
        <v>17.0</v>
      </c>
      <c r="AT360" s="44">
        <v>359.0</v>
      </c>
      <c r="AU360" s="44"/>
      <c r="AV360" s="44" t="s">
        <v>121</v>
      </c>
      <c r="AW360" s="45">
        <v>863.4979394691288</v>
      </c>
      <c r="AX360" s="44">
        <v>13.0</v>
      </c>
      <c r="AY360" s="145">
        <v>856.1</v>
      </c>
      <c r="AZ360" s="93"/>
      <c r="BA360" s="93"/>
      <c r="BB360" s="155"/>
      <c r="BC360" s="93"/>
      <c r="BD360" s="44" t="s">
        <v>481</v>
      </c>
      <c r="BE360" s="128">
        <v>997.5526093161757</v>
      </c>
      <c r="BF360" s="128">
        <v>22.0</v>
      </c>
      <c r="BG360" s="128">
        <v>1001.0502155460695</v>
      </c>
      <c r="BH360" s="93"/>
      <c r="BI360" s="93"/>
      <c r="BJ360" s="155"/>
      <c r="BK360" s="93"/>
    </row>
    <row r="361">
      <c r="A361" s="166">
        <v>44276.938670567135</v>
      </c>
      <c r="B361" s="44" t="s">
        <v>98</v>
      </c>
      <c r="C361" s="128">
        <v>890.1435047608193</v>
      </c>
      <c r="D361" s="128">
        <v>12.0</v>
      </c>
      <c r="E361" s="128">
        <v>891.60071929764</v>
      </c>
      <c r="F361" s="44" t="s">
        <v>90</v>
      </c>
      <c r="G361" s="128">
        <v>951.2016959175263</v>
      </c>
      <c r="H361" s="128">
        <v>15.0</v>
      </c>
      <c r="I361" s="128">
        <v>953.2061627868197</v>
      </c>
      <c r="J361" s="44" t="s">
        <v>112</v>
      </c>
      <c r="K361" s="128">
        <v>1003.5785137658554</v>
      </c>
      <c r="L361" s="128">
        <v>23.0</v>
      </c>
      <c r="M361" s="128">
        <v>1007.1973464406963</v>
      </c>
      <c r="N361" s="44" t="s">
        <v>27</v>
      </c>
      <c r="O361" s="128">
        <v>1121.196853237822</v>
      </c>
      <c r="P361" s="128">
        <v>20.0</v>
      </c>
      <c r="Q361" s="128">
        <v>1124.116339156867</v>
      </c>
      <c r="V361" s="44" t="s">
        <v>123</v>
      </c>
      <c r="W361" s="128">
        <v>810.6137683380737</v>
      </c>
      <c r="X361" s="128">
        <v>13.0</v>
      </c>
      <c r="Y361" s="128">
        <v>806.8561303583899</v>
      </c>
      <c r="Z361" s="44" t="s">
        <v>58</v>
      </c>
      <c r="AA361" s="128">
        <v>983.7507436763391</v>
      </c>
      <c r="AB361" s="128">
        <v>18.0</v>
      </c>
      <c r="AC361" s="128">
        <v>980.7550388027929</v>
      </c>
      <c r="AD361" s="44" t="s">
        <v>47</v>
      </c>
      <c r="AE361" s="128">
        <v>1068.2969155367578</v>
      </c>
      <c r="AF361" s="128">
        <v>26.0</v>
      </c>
      <c r="AG361" s="128">
        <v>1066.8912968047496</v>
      </c>
      <c r="AH361" s="44" t="s">
        <v>92</v>
      </c>
      <c r="AI361" s="128">
        <v>1097.8346013645992</v>
      </c>
      <c r="AJ361" s="128">
        <v>24.0</v>
      </c>
      <c r="AK361" s="128">
        <v>1095.993562949837</v>
      </c>
      <c r="AP361" s="128">
        <v>15.0</v>
      </c>
      <c r="AQ361" s="128">
        <v>13.0</v>
      </c>
      <c r="AT361" s="44">
        <v>360.0</v>
      </c>
      <c r="AU361" s="44"/>
      <c r="AW361" s="93"/>
      <c r="AY361" s="93"/>
      <c r="AZ361" s="93"/>
      <c r="BA361" s="93"/>
      <c r="BB361" s="155"/>
      <c r="BC361" s="93"/>
      <c r="BH361" s="93"/>
      <c r="BI361" s="93"/>
      <c r="BJ361" s="155"/>
      <c r="BK361" s="93"/>
    </row>
    <row r="362">
      <c r="A362" s="166">
        <v>44276.98459118056</v>
      </c>
      <c r="B362" s="44" t="s">
        <v>123</v>
      </c>
      <c r="C362" s="128">
        <v>806.8561303583899</v>
      </c>
      <c r="D362" s="128">
        <v>16.0</v>
      </c>
      <c r="E362" s="128">
        <v>808.6508620217955</v>
      </c>
      <c r="F362" s="44" t="s">
        <v>47</v>
      </c>
      <c r="G362" s="128">
        <v>1066.8912968047496</v>
      </c>
      <c r="H362" s="128">
        <v>22.0</v>
      </c>
      <c r="I362" s="128">
        <v>1069.494176178563</v>
      </c>
      <c r="J362" s="44" t="s">
        <v>92</v>
      </c>
      <c r="K362" s="128">
        <v>1095.993562949837</v>
      </c>
      <c r="L362" s="128">
        <v>19.0</v>
      </c>
      <c r="M362" s="128">
        <v>1098.017640607079</v>
      </c>
      <c r="N362" s="44" t="s">
        <v>107</v>
      </c>
      <c r="O362" s="128">
        <v>1113.3862255199522</v>
      </c>
      <c r="P362" s="128">
        <v>22.0</v>
      </c>
      <c r="Q362" s="128">
        <v>1115.9645368254908</v>
      </c>
      <c r="V362" s="44" t="s">
        <v>90</v>
      </c>
      <c r="W362" s="128">
        <v>953.2061627868197</v>
      </c>
      <c r="X362" s="128">
        <v>16.0</v>
      </c>
      <c r="Y362" s="128">
        <v>950.7212385361274</v>
      </c>
      <c r="Z362" s="44" t="s">
        <v>58</v>
      </c>
      <c r="AA362" s="128">
        <v>980.7550388027929</v>
      </c>
      <c r="AB362" s="128">
        <v>18.0</v>
      </c>
      <c r="AC362" s="128">
        <v>978.6193691353238</v>
      </c>
      <c r="AD362" s="44" t="s">
        <v>112</v>
      </c>
      <c r="AE362" s="128">
        <v>1007.1973464406963</v>
      </c>
      <c r="AF362" s="128">
        <v>12.0</v>
      </c>
      <c r="AG362" s="128">
        <v>1003.9149529012649</v>
      </c>
      <c r="AH362" s="44" t="s">
        <v>27</v>
      </c>
      <c r="AI362" s="128">
        <v>1124.116339156867</v>
      </c>
      <c r="AJ362" s="128">
        <v>24.0</v>
      </c>
      <c r="AK362" s="128">
        <v>1123.0193266144597</v>
      </c>
      <c r="AP362" s="128">
        <v>15.0</v>
      </c>
      <c r="AQ362" s="128">
        <v>13.0</v>
      </c>
      <c r="AT362" s="44">
        <v>361.0</v>
      </c>
      <c r="AU362" s="44"/>
      <c r="AW362" s="93"/>
      <c r="AY362" s="93"/>
      <c r="AZ362" s="93"/>
      <c r="BA362" s="93"/>
      <c r="BB362" s="155"/>
      <c r="BC362" s="93"/>
      <c r="BE362" s="93"/>
      <c r="BG362" s="93"/>
      <c r="BH362" s="93"/>
      <c r="BI362" s="93"/>
      <c r="BJ362" s="155"/>
      <c r="BK362" s="93"/>
    </row>
    <row r="363">
      <c r="A363" s="166">
        <v>44277.021341597225</v>
      </c>
      <c r="B363" s="44" t="s">
        <v>123</v>
      </c>
      <c r="C363" s="128">
        <v>808.6508620217955</v>
      </c>
      <c r="D363" s="128">
        <v>14.0</v>
      </c>
      <c r="E363" s="128">
        <v>808.2545961559814</v>
      </c>
      <c r="F363" s="44" t="s">
        <v>107</v>
      </c>
      <c r="G363" s="128">
        <v>1115.9645368254908</v>
      </c>
      <c r="H363" s="128">
        <v>16.0</v>
      </c>
      <c r="I363" s="128">
        <v>1115.5795322770873</v>
      </c>
      <c r="J363" s="44" t="s">
        <v>27</v>
      </c>
      <c r="K363" s="128">
        <v>1123.0193266144597</v>
      </c>
      <c r="L363" s="128">
        <v>22.0</v>
      </c>
      <c r="M363" s="128">
        <v>1122.8005970286772</v>
      </c>
      <c r="N363" s="44"/>
      <c r="O363" s="128"/>
      <c r="P363" s="128"/>
      <c r="Q363" s="128"/>
      <c r="V363" s="44" t="s">
        <v>90</v>
      </c>
      <c r="W363" s="128">
        <v>950.7212385361274</v>
      </c>
      <c r="X363" s="128">
        <v>14.0</v>
      </c>
      <c r="Y363" s="128">
        <v>950.8957933496742</v>
      </c>
      <c r="Z363" s="44" t="s">
        <v>248</v>
      </c>
      <c r="AA363" s="128">
        <v>1006.5149296293276</v>
      </c>
      <c r="AB363" s="128">
        <v>17.0</v>
      </c>
      <c r="AC363" s="128">
        <v>1006.7644470295311</v>
      </c>
      <c r="AD363" s="44" t="s">
        <v>47</v>
      </c>
      <c r="AE363" s="128">
        <v>1069.494176178563</v>
      </c>
      <c r="AF363" s="128">
        <v>29.0</v>
      </c>
      <c r="AG363" s="128">
        <v>1070.070103964813</v>
      </c>
      <c r="AH363" s="44"/>
      <c r="AI363" s="128"/>
      <c r="AJ363" s="128"/>
      <c r="AK363" s="128"/>
      <c r="AP363" s="128">
        <v>14.0</v>
      </c>
      <c r="AQ363" s="128">
        <v>14.0</v>
      </c>
      <c r="AT363" s="44">
        <v>362.0</v>
      </c>
      <c r="AU363" s="44"/>
      <c r="AW363" s="93"/>
      <c r="AY363" s="93"/>
      <c r="AZ363" s="93"/>
      <c r="BA363" s="93"/>
      <c r="BB363" s="155"/>
      <c r="BC363" s="93"/>
      <c r="BE363" s="93"/>
      <c r="BG363" s="93"/>
      <c r="BH363" s="93"/>
      <c r="BI363" s="93"/>
      <c r="BJ363" s="155"/>
      <c r="BK363" s="93"/>
    </row>
    <row r="364">
      <c r="A364" s="166">
        <v>44278.96255842593</v>
      </c>
      <c r="B364" s="44" t="s">
        <v>123</v>
      </c>
      <c r="C364" s="128">
        <v>808.2545961559814</v>
      </c>
      <c r="D364" s="128">
        <v>20.0</v>
      </c>
      <c r="E364" s="128">
        <v>813.706788553452</v>
      </c>
      <c r="F364" s="44" t="s">
        <v>88</v>
      </c>
      <c r="G364" s="128">
        <v>854.0960478723767</v>
      </c>
      <c r="H364" s="128">
        <v>8.0</v>
      </c>
      <c r="I364" s="128">
        <v>854.3665984454549</v>
      </c>
      <c r="J364" s="44" t="s">
        <v>92</v>
      </c>
      <c r="K364" s="128">
        <v>1098.017640607079</v>
      </c>
      <c r="L364" s="128">
        <v>29.0</v>
      </c>
      <c r="M364" s="128">
        <v>1106.464526155272</v>
      </c>
      <c r="N364" s="44" t="s">
        <v>23</v>
      </c>
      <c r="O364" s="128">
        <v>1500.0561731506355</v>
      </c>
      <c r="P364" s="128">
        <v>23.0</v>
      </c>
      <c r="Q364" s="128">
        <v>1505.8865446318937</v>
      </c>
      <c r="V364" s="44" t="s">
        <v>90</v>
      </c>
      <c r="W364" s="128">
        <v>950.8957933496742</v>
      </c>
      <c r="X364" s="128">
        <v>17.0</v>
      </c>
      <c r="Y364" s="128">
        <v>945.6577332498487</v>
      </c>
      <c r="Z364" s="44" t="s">
        <v>47</v>
      </c>
      <c r="AA364" s="128">
        <v>1070.070103964813</v>
      </c>
      <c r="AB364" s="128">
        <v>24.0</v>
      </c>
      <c r="AC364" s="128">
        <v>1067.5439813052792</v>
      </c>
      <c r="AD364" s="44" t="s">
        <v>107</v>
      </c>
      <c r="AE364" s="128">
        <v>1115.5795322770873</v>
      </c>
      <c r="AF364" s="128">
        <v>19.0</v>
      </c>
      <c r="AG364" s="128">
        <v>1110.9230243916031</v>
      </c>
      <c r="AH364" s="44" t="s">
        <v>27</v>
      </c>
      <c r="AI364" s="128">
        <v>1122.8005970286772</v>
      </c>
      <c r="AJ364" s="128">
        <v>12.0</v>
      </c>
      <c r="AK364" s="128">
        <v>1115.2212876735207</v>
      </c>
      <c r="AP364" s="128">
        <v>16.0</v>
      </c>
      <c r="AQ364" s="128">
        <v>12.0</v>
      </c>
      <c r="AT364" s="44">
        <v>363.0</v>
      </c>
      <c r="AU364" s="44"/>
      <c r="AW364" s="93"/>
      <c r="AY364" s="93"/>
      <c r="AZ364" s="93"/>
      <c r="BA364" s="93"/>
      <c r="BB364" s="155"/>
      <c r="BC364" s="93"/>
      <c r="BE364" s="93"/>
      <c r="BG364" s="93"/>
      <c r="BH364" s="93"/>
      <c r="BI364" s="93"/>
      <c r="BJ364" s="155"/>
      <c r="BK364" s="93"/>
    </row>
    <row r="365">
      <c r="A365" s="166">
        <v>44279.01507559028</v>
      </c>
      <c r="B365" s="44" t="s">
        <v>90</v>
      </c>
      <c r="C365" s="128">
        <v>945.6577332498487</v>
      </c>
      <c r="D365" s="128">
        <v>17.0</v>
      </c>
      <c r="E365" s="128">
        <v>950.5156261644591</v>
      </c>
      <c r="F365" s="44" t="s">
        <v>248</v>
      </c>
      <c r="G365" s="128">
        <v>1006.7644470295311</v>
      </c>
      <c r="H365" s="128">
        <v>27.0</v>
      </c>
      <c r="I365" s="128">
        <v>1018.5722253281638</v>
      </c>
      <c r="J365" s="44" t="s">
        <v>27</v>
      </c>
      <c r="K365" s="128">
        <v>1115.2212876735207</v>
      </c>
      <c r="L365" s="128">
        <v>24.0</v>
      </c>
      <c r="M365" s="128">
        <v>1124.5556164602776</v>
      </c>
      <c r="N365" s="44"/>
      <c r="O365" s="128"/>
      <c r="P365" s="128"/>
      <c r="Q365" s="128"/>
      <c r="V365" s="44" t="s">
        <v>123</v>
      </c>
      <c r="W365" s="128">
        <v>813.706788553452</v>
      </c>
      <c r="X365" s="128">
        <v>7.0</v>
      </c>
      <c r="Y365" s="128">
        <v>797.8562360965936</v>
      </c>
      <c r="Z365" s="44" t="s">
        <v>88</v>
      </c>
      <c r="AA365" s="128">
        <v>854.3665984454549</v>
      </c>
      <c r="AB365" s="128">
        <v>9.0</v>
      </c>
      <c r="AC365" s="128">
        <v>839.7136466061667</v>
      </c>
      <c r="AD365" s="44" t="s">
        <v>23</v>
      </c>
      <c r="AE365" s="128">
        <v>1505.8865446318937</v>
      </c>
      <c r="AF365" s="128">
        <v>37.0</v>
      </c>
      <c r="AG365" s="128">
        <v>1510.3900489280404</v>
      </c>
      <c r="AH365" s="44"/>
      <c r="AI365" s="128"/>
      <c r="AJ365" s="128"/>
      <c r="AK365" s="128"/>
      <c r="AP365" s="128">
        <v>17.0</v>
      </c>
      <c r="AQ365" s="128">
        <v>11.0</v>
      </c>
      <c r="AT365" s="44">
        <v>364.0</v>
      </c>
      <c r="AU365" s="44"/>
      <c r="AW365" s="93"/>
      <c r="AY365" s="93"/>
      <c r="AZ365" s="93"/>
      <c r="BA365" s="93"/>
      <c r="BB365" s="155"/>
      <c r="BC365" s="93"/>
      <c r="BE365" s="93"/>
      <c r="BG365" s="93"/>
      <c r="BH365" s="93"/>
      <c r="BI365" s="93"/>
      <c r="BJ365" s="155"/>
      <c r="BK365" s="93"/>
    </row>
    <row r="366">
      <c r="A366" s="166">
        <v>44279.9219997801</v>
      </c>
      <c r="B366" s="44" t="s">
        <v>88</v>
      </c>
      <c r="C366" s="128">
        <v>839.7136466061667</v>
      </c>
      <c r="D366" s="128">
        <v>9.0</v>
      </c>
      <c r="E366" s="128">
        <v>839.7487496123978</v>
      </c>
      <c r="F366" s="44" t="s">
        <v>98</v>
      </c>
      <c r="G366" s="128">
        <v>891.60071929764</v>
      </c>
      <c r="H366" s="128">
        <v>12.0</v>
      </c>
      <c r="I366" s="128">
        <v>891.6786608870291</v>
      </c>
      <c r="J366" s="44" t="s">
        <v>58</v>
      </c>
      <c r="K366" s="128">
        <v>978.6193691353238</v>
      </c>
      <c r="L366" s="128">
        <v>16.0</v>
      </c>
      <c r="M366" s="128">
        <v>978.7546191695404</v>
      </c>
      <c r="N366" s="44" t="s">
        <v>47</v>
      </c>
      <c r="O366" s="128">
        <v>1067.5439813052792</v>
      </c>
      <c r="P366" s="128">
        <v>26.0</v>
      </c>
      <c r="Q366" s="128">
        <v>1067.8395657058352</v>
      </c>
      <c r="R366" s="44" t="s">
        <v>31</v>
      </c>
      <c r="S366" s="128">
        <v>1488.8175666031657</v>
      </c>
      <c r="T366" s="128">
        <v>36.0</v>
      </c>
      <c r="U366" s="128">
        <v>1489.2736875727728</v>
      </c>
      <c r="V366" s="44" t="s">
        <v>90</v>
      </c>
      <c r="W366" s="128">
        <v>950.5156261644591</v>
      </c>
      <c r="X366" s="128">
        <v>19.0</v>
      </c>
      <c r="Y366" s="128">
        <v>950.3000303364993</v>
      </c>
      <c r="Z366" s="44" t="s">
        <v>112</v>
      </c>
      <c r="AA366" s="128">
        <v>1003.9149529012649</v>
      </c>
      <c r="AB366" s="128">
        <v>29.0</v>
      </c>
      <c r="AC366" s="128">
        <v>1003.86119198561</v>
      </c>
      <c r="AD366" s="44" t="s">
        <v>92</v>
      </c>
      <c r="AE366" s="128">
        <v>1106.464526155272</v>
      </c>
      <c r="AF366" s="128">
        <v>22.0</v>
      </c>
      <c r="AG366" s="128">
        <v>1106.2879458470195</v>
      </c>
      <c r="AH366" s="44" t="s">
        <v>107</v>
      </c>
      <c r="AI366" s="128">
        <v>1110.9230243916031</v>
      </c>
      <c r="AJ366" s="128">
        <v>14.0</v>
      </c>
      <c r="AK366" s="128">
        <v>1110.6129250622485</v>
      </c>
      <c r="AL366" s="44" t="s">
        <v>27</v>
      </c>
      <c r="AM366" s="128">
        <v>1124.5556164602776</v>
      </c>
      <c r="AN366" s="128">
        <v>18.0</v>
      </c>
      <c r="AO366" s="128">
        <v>1124.3116528414996</v>
      </c>
      <c r="AP366" s="128">
        <v>14.0</v>
      </c>
      <c r="AQ366" s="128">
        <v>14.0</v>
      </c>
      <c r="AT366" s="44">
        <v>365.0</v>
      </c>
      <c r="AU366" s="44"/>
      <c r="AW366" s="93"/>
      <c r="AY366" s="93"/>
      <c r="AZ366" s="93"/>
      <c r="BA366" s="93"/>
      <c r="BB366" s="155"/>
      <c r="BC366" s="93"/>
      <c r="BE366" s="93"/>
      <c r="BG366" s="93"/>
      <c r="BH366" s="93"/>
      <c r="BI366" s="93"/>
      <c r="BJ366" s="155"/>
      <c r="BK366" s="93"/>
    </row>
    <row r="367">
      <c r="A367" s="166">
        <v>44279.9688784375</v>
      </c>
      <c r="B367" s="44" t="s">
        <v>98</v>
      </c>
      <c r="C367" s="128">
        <v>891.6786608870291</v>
      </c>
      <c r="D367" s="128">
        <v>11.0</v>
      </c>
      <c r="E367" s="128">
        <v>885.713470416115</v>
      </c>
      <c r="F367" s="44" t="s">
        <v>58</v>
      </c>
      <c r="G367" s="128">
        <v>978.7546191695404</v>
      </c>
      <c r="H367" s="128">
        <v>8.0</v>
      </c>
      <c r="I367" s="128">
        <v>971.6257841033472</v>
      </c>
      <c r="J367" s="44" t="s">
        <v>107</v>
      </c>
      <c r="K367" s="128">
        <v>1110.6129250622485</v>
      </c>
      <c r="L367" s="128">
        <v>17.0</v>
      </c>
      <c r="M367" s="128">
        <v>1106.3378665140553</v>
      </c>
      <c r="N367" s="44" t="s">
        <v>27</v>
      </c>
      <c r="O367" s="128">
        <v>1124.3116528414996</v>
      </c>
      <c r="P367" s="128">
        <v>24.0</v>
      </c>
      <c r="Q367" s="128">
        <v>1122.3606774767104</v>
      </c>
      <c r="R367" s="44" t="s">
        <v>23</v>
      </c>
      <c r="S367" s="128">
        <v>1510.3900489280404</v>
      </c>
      <c r="T367" s="128">
        <v>28.0</v>
      </c>
      <c r="U367" s="128">
        <v>1509.71010837813</v>
      </c>
      <c r="V367" s="44" t="s">
        <v>90</v>
      </c>
      <c r="W367" s="128">
        <v>950.3000303364993</v>
      </c>
      <c r="X367" s="128">
        <v>13.0</v>
      </c>
      <c r="Y367" s="128">
        <v>951.6689207456145</v>
      </c>
      <c r="Z367" s="44" t="s">
        <v>112</v>
      </c>
      <c r="AA367" s="128">
        <v>1003.86119198561</v>
      </c>
      <c r="AB367" s="128">
        <v>21.0</v>
      </c>
      <c r="AC367" s="128">
        <v>1007.7951136322356</v>
      </c>
      <c r="AD367" s="44" t="s">
        <v>47</v>
      </c>
      <c r="AE367" s="128">
        <v>1067.8395657058352</v>
      </c>
      <c r="AF367" s="128">
        <v>16.0</v>
      </c>
      <c r="AG367" s="128">
        <v>1070.0170834358403</v>
      </c>
      <c r="AH367" s="44" t="s">
        <v>92</v>
      </c>
      <c r="AI367" s="128">
        <v>1106.2879458470195</v>
      </c>
      <c r="AJ367" s="128">
        <v>28.0</v>
      </c>
      <c r="AK367" s="128">
        <v>1112.4263095376139</v>
      </c>
      <c r="AL367" s="44" t="s">
        <v>31</v>
      </c>
      <c r="AM367" s="128">
        <v>1489.2736875727728</v>
      </c>
      <c r="AN367" s="128">
        <v>29.0</v>
      </c>
      <c r="AO367" s="128">
        <v>1495.6549940964326</v>
      </c>
      <c r="AP367" s="128">
        <v>11.0</v>
      </c>
      <c r="AQ367" s="128">
        <v>17.0</v>
      </c>
      <c r="AT367" s="44">
        <v>366.0</v>
      </c>
      <c r="AU367" s="44"/>
      <c r="AV367" s="44" t="s">
        <v>88</v>
      </c>
      <c r="AW367" s="45">
        <v>839.7487496123978</v>
      </c>
      <c r="AX367" s="44">
        <v>12.0</v>
      </c>
      <c r="AY367" s="145">
        <v>834.0</v>
      </c>
      <c r="AZ367" s="93"/>
      <c r="BA367" s="93"/>
      <c r="BB367" s="155"/>
      <c r="BC367" s="93"/>
      <c r="BD367" s="44" t="s">
        <v>123</v>
      </c>
      <c r="BE367" s="45">
        <v>797.8562360965936</v>
      </c>
      <c r="BF367" s="44">
        <v>11.0</v>
      </c>
      <c r="BG367" s="145">
        <v>799.99</v>
      </c>
      <c r="BH367" s="93"/>
      <c r="BI367" s="93"/>
      <c r="BJ367" s="155"/>
      <c r="BK367" s="93"/>
    </row>
    <row r="368">
      <c r="A368" s="166">
        <v>44280.01960347222</v>
      </c>
      <c r="B368" s="44" t="s">
        <v>123</v>
      </c>
      <c r="C368" s="128">
        <v>799.99</v>
      </c>
      <c r="D368" s="128">
        <v>9.0</v>
      </c>
      <c r="E368" s="128">
        <v>799.9970382005348</v>
      </c>
      <c r="F368" s="44" t="s">
        <v>88</v>
      </c>
      <c r="G368" s="128">
        <v>834.0</v>
      </c>
      <c r="H368" s="128">
        <v>17.0</v>
      </c>
      <c r="I368" s="128">
        <v>834.8978158321426</v>
      </c>
      <c r="J368" s="44" t="s">
        <v>121</v>
      </c>
      <c r="K368" s="128">
        <v>856.1</v>
      </c>
      <c r="L368" s="128">
        <v>7.0</v>
      </c>
      <c r="M368" s="128">
        <v>856.11</v>
      </c>
      <c r="N368" s="44" t="s">
        <v>47</v>
      </c>
      <c r="O368" s="128">
        <v>1070.0170834358403</v>
      </c>
      <c r="P368" s="128">
        <v>24.0</v>
      </c>
      <c r="Q368" s="128">
        <v>1071.5439800462977</v>
      </c>
      <c r="R368" s="44" t="s">
        <v>31</v>
      </c>
      <c r="S368" s="128">
        <v>1495.6549940964326</v>
      </c>
      <c r="T368" s="128">
        <v>53.0</v>
      </c>
      <c r="U368" s="128">
        <v>1500.51763548713</v>
      </c>
      <c r="V368" s="44" t="s">
        <v>245</v>
      </c>
      <c r="W368" s="44">
        <v>1083.23</v>
      </c>
      <c r="X368" s="44">
        <v>12.0</v>
      </c>
      <c r="Y368" s="44">
        <v>1080.72</v>
      </c>
      <c r="Z368" s="44" t="s">
        <v>90</v>
      </c>
      <c r="AA368" s="128">
        <v>951.6689207456145</v>
      </c>
      <c r="AB368" s="128">
        <v>16.0</v>
      </c>
      <c r="AC368" s="128">
        <v>949.4073569424822</v>
      </c>
      <c r="AD368" s="44" t="s">
        <v>112</v>
      </c>
      <c r="AE368" s="128">
        <v>1007.7951136322356</v>
      </c>
      <c r="AF368" s="128">
        <v>19.0</v>
      </c>
      <c r="AG368" s="128">
        <v>1005.8425661197768</v>
      </c>
      <c r="AH368" s="44" t="s">
        <v>27</v>
      </c>
      <c r="AI368" s="128">
        <v>1122.3606774767104</v>
      </c>
      <c r="AJ368" s="128">
        <v>35.0</v>
      </c>
      <c r="AK368" s="128">
        <v>1122.2217447406865</v>
      </c>
      <c r="AL368" s="44" t="s">
        <v>23</v>
      </c>
      <c r="AM368" s="128">
        <v>1509.71010837813</v>
      </c>
      <c r="AN368" s="128">
        <v>31.0</v>
      </c>
      <c r="AO368" s="128">
        <v>1509.0741890461</v>
      </c>
      <c r="AP368" s="128">
        <v>14.0</v>
      </c>
      <c r="AQ368" s="128">
        <v>14.0</v>
      </c>
      <c r="AS368" s="44" t="s">
        <v>485</v>
      </c>
      <c r="AT368" s="44">
        <v>367.0</v>
      </c>
      <c r="AU368" s="44"/>
      <c r="AV368" s="44" t="s">
        <v>127</v>
      </c>
      <c r="AW368" s="45">
        <v>609.0072153240105</v>
      </c>
      <c r="AX368" s="44">
        <v>4.0</v>
      </c>
      <c r="AY368" s="145">
        <v>609.02</v>
      </c>
      <c r="AZ368" s="93"/>
      <c r="BA368" s="93"/>
      <c r="BB368" s="155"/>
      <c r="BC368" s="93"/>
      <c r="BD368" s="44" t="s">
        <v>129</v>
      </c>
      <c r="BE368" s="128">
        <v>743.0434536542465</v>
      </c>
      <c r="BF368" s="128">
        <v>16.0</v>
      </c>
      <c r="BG368" s="128">
        <v>741.0324170378914</v>
      </c>
      <c r="BH368" s="93"/>
      <c r="BI368" s="93"/>
      <c r="BJ368" s="155"/>
      <c r="BK368" s="93"/>
    </row>
    <row r="369">
      <c r="A369" s="166">
        <v>44280.931272511574</v>
      </c>
      <c r="B369" s="44" t="s">
        <v>486</v>
      </c>
      <c r="C369" s="128">
        <v>1000.0</v>
      </c>
      <c r="D369" s="128">
        <v>21.0</v>
      </c>
      <c r="E369" s="128">
        <v>995.9288996987402</v>
      </c>
      <c r="F369" s="44" t="s">
        <v>112</v>
      </c>
      <c r="G369" s="128">
        <v>1005.8425661197768</v>
      </c>
      <c r="H369" s="128">
        <v>17.0</v>
      </c>
      <c r="I369" s="128">
        <v>1000.010330523515</v>
      </c>
      <c r="J369" s="44" t="s">
        <v>92</v>
      </c>
      <c r="K369" s="128">
        <v>1112.4263095376139</v>
      </c>
      <c r="L369" s="128">
        <v>19.0</v>
      </c>
      <c r="M369" s="128">
        <v>1107.3200298270528</v>
      </c>
      <c r="N369" s="44" t="s">
        <v>27</v>
      </c>
      <c r="O369" s="128">
        <v>1122.2217447406865</v>
      </c>
      <c r="P369" s="128">
        <v>17.0</v>
      </c>
      <c r="Q369" s="128">
        <v>1116.2313603487694</v>
      </c>
      <c r="V369" s="44" t="s">
        <v>123</v>
      </c>
      <c r="W369" s="45">
        <v>799.9970382005348</v>
      </c>
      <c r="X369" s="128">
        <v>13.0</v>
      </c>
      <c r="Y369" s="145">
        <v>803.2785505461727</v>
      </c>
      <c r="Z369" s="44" t="s">
        <v>88</v>
      </c>
      <c r="AA369" s="128">
        <v>834.8978158321426</v>
      </c>
      <c r="AB369" s="128">
        <v>6.0</v>
      </c>
      <c r="AC369" s="128">
        <v>834.9780034720424</v>
      </c>
      <c r="AD369" s="44" t="s">
        <v>47</v>
      </c>
      <c r="AE369" s="128">
        <v>1071.5439800462977</v>
      </c>
      <c r="AF369" s="128">
        <v>18.0</v>
      </c>
      <c r="AG369" s="128">
        <v>1076.2800959981666</v>
      </c>
      <c r="AH369" s="44" t="s">
        <v>23</v>
      </c>
      <c r="AI369" s="128">
        <v>1509.0741890461</v>
      </c>
      <c r="AJ369" s="128">
        <v>37.0</v>
      </c>
      <c r="AK369" s="128">
        <v>1521.9763731086935</v>
      </c>
      <c r="AP369" s="128">
        <v>12.0</v>
      </c>
      <c r="AQ369" s="128">
        <v>16.0</v>
      </c>
      <c r="AT369" s="44">
        <v>368.0</v>
      </c>
      <c r="AU369" s="44"/>
      <c r="AW369" s="93"/>
      <c r="AY369" s="93"/>
      <c r="AZ369" s="93"/>
      <c r="BA369" s="93"/>
      <c r="BB369" s="155"/>
      <c r="BC369" s="93"/>
      <c r="BE369" s="93"/>
      <c r="BG369" s="93"/>
      <c r="BH369" s="93"/>
      <c r="BI369" s="93"/>
      <c r="BJ369" s="155"/>
      <c r="BK369" s="93"/>
    </row>
    <row r="370">
      <c r="A370" s="166">
        <v>44280.99213333333</v>
      </c>
      <c r="B370" s="44" t="s">
        <v>123</v>
      </c>
      <c r="C370" s="128">
        <v>803.2785505461727</v>
      </c>
      <c r="D370" s="128">
        <v>9.0</v>
      </c>
      <c r="E370" s="128">
        <v>781.8209709920927</v>
      </c>
      <c r="F370" s="44" t="s">
        <v>88</v>
      </c>
      <c r="G370" s="128">
        <v>834.9780034720424</v>
      </c>
      <c r="H370" s="128">
        <v>8.0</v>
      </c>
      <c r="I370" s="128">
        <v>811.8245812482129</v>
      </c>
      <c r="J370" s="44" t="s">
        <v>23</v>
      </c>
      <c r="K370" s="128">
        <v>1521.9763731086935</v>
      </c>
      <c r="L370" s="128">
        <v>21.0</v>
      </c>
      <c r="M370" s="128">
        <v>1515.587374886603</v>
      </c>
      <c r="N370" s="44"/>
      <c r="O370" s="128"/>
      <c r="P370" s="128"/>
      <c r="Q370" s="128"/>
      <c r="V370" s="44" t="s">
        <v>90</v>
      </c>
      <c r="W370" s="128">
        <v>949.4073569424822</v>
      </c>
      <c r="X370" s="128">
        <v>23.0</v>
      </c>
      <c r="Y370" s="128">
        <v>967.8452553069629</v>
      </c>
      <c r="Z370" s="44" t="s">
        <v>486</v>
      </c>
      <c r="AA370" s="128">
        <v>995.9288996987402</v>
      </c>
      <c r="AB370" s="128">
        <v>18.0</v>
      </c>
      <c r="AC370" s="128">
        <v>1006.8806592188961</v>
      </c>
      <c r="AD370" s="44" t="s">
        <v>27</v>
      </c>
      <c r="AE370" s="128">
        <v>1116.2313603487694</v>
      </c>
      <c r="AF370" s="128">
        <v>26.0</v>
      </c>
      <c r="AG370" s="128">
        <v>1137.8417024641328</v>
      </c>
      <c r="AH370" s="44"/>
      <c r="AI370" s="128"/>
      <c r="AJ370" s="128"/>
      <c r="AK370" s="128"/>
      <c r="AP370" s="128">
        <v>9.0</v>
      </c>
      <c r="AQ370" s="128">
        <v>19.0</v>
      </c>
      <c r="AT370" s="44">
        <v>369.0</v>
      </c>
      <c r="AU370" s="44"/>
      <c r="AW370" s="93"/>
      <c r="AY370" s="93"/>
      <c r="AZ370" s="93"/>
      <c r="BA370" s="93"/>
      <c r="BB370" s="155"/>
      <c r="BC370" s="93"/>
      <c r="BE370" s="93"/>
      <c r="BG370" s="93"/>
      <c r="BH370" s="93"/>
      <c r="BI370" s="93"/>
      <c r="BJ370" s="155"/>
      <c r="BK370" s="93"/>
    </row>
    <row r="371">
      <c r="A371" s="166">
        <v>44281.97424980324</v>
      </c>
      <c r="B371" s="44" t="s">
        <v>98</v>
      </c>
      <c r="C371" s="128">
        <v>885.713470416115</v>
      </c>
      <c r="D371" s="128">
        <v>8.0</v>
      </c>
      <c r="E371" s="128">
        <v>880.1408053636417</v>
      </c>
      <c r="F371" s="44" t="s">
        <v>47</v>
      </c>
      <c r="G371" s="128">
        <v>1076.2800959981666</v>
      </c>
      <c r="H371" s="128">
        <v>23.0</v>
      </c>
      <c r="I371" s="128">
        <v>1074.85276105064</v>
      </c>
      <c r="J371" s="44"/>
      <c r="K371" s="128"/>
      <c r="L371" s="128"/>
      <c r="M371" s="128"/>
      <c r="N371" s="44"/>
      <c r="O371" s="128"/>
      <c r="P371" s="128"/>
      <c r="Q371" s="128"/>
      <c r="V371" s="44" t="s">
        <v>107</v>
      </c>
      <c r="W371" s="128">
        <v>1106.3378665140553</v>
      </c>
      <c r="X371" s="128">
        <v>18.0</v>
      </c>
      <c r="Y371" s="128">
        <v>1109.264608813913</v>
      </c>
      <c r="Z371" s="44" t="s">
        <v>27</v>
      </c>
      <c r="AA371" s="128">
        <v>1137.8417024641328</v>
      </c>
      <c r="AB371" s="128">
        <v>22.0</v>
      </c>
      <c r="AC371" s="128">
        <v>1141.9149601642753</v>
      </c>
      <c r="AD371" s="44"/>
      <c r="AE371" s="128"/>
      <c r="AF371" s="128"/>
      <c r="AG371" s="128"/>
      <c r="AH371" s="44"/>
      <c r="AI371" s="128"/>
      <c r="AJ371" s="128"/>
      <c r="AK371" s="128"/>
      <c r="AP371" s="128">
        <v>12.0</v>
      </c>
      <c r="AQ371" s="128">
        <v>15.0</v>
      </c>
      <c r="AT371" s="44">
        <v>370.0</v>
      </c>
      <c r="AU371" s="44"/>
      <c r="AW371" s="93"/>
      <c r="AY371" s="93"/>
      <c r="AZ371" s="93"/>
      <c r="BA371" s="93"/>
      <c r="BB371" s="155"/>
      <c r="BC371" s="93"/>
      <c r="BE371" s="93"/>
      <c r="BG371" s="93"/>
      <c r="BH371" s="93"/>
      <c r="BI371" s="93"/>
      <c r="BJ371" s="155"/>
      <c r="BK371" s="93"/>
    </row>
    <row r="372">
      <c r="A372" s="166">
        <v>44282.02089339121</v>
      </c>
      <c r="B372" s="44" t="s">
        <v>98</v>
      </c>
      <c r="C372" s="128">
        <v>880.1408053636417</v>
      </c>
      <c r="D372" s="128">
        <v>9.0</v>
      </c>
      <c r="E372" s="128">
        <v>880.6246180748332</v>
      </c>
      <c r="F372" s="44" t="s">
        <v>47</v>
      </c>
      <c r="G372" s="128">
        <v>1074.85276105064</v>
      </c>
      <c r="H372" s="128">
        <v>30.0</v>
      </c>
      <c r="I372" s="128">
        <v>1079.5008325729327</v>
      </c>
      <c r="J372" s="44" t="s">
        <v>107</v>
      </c>
      <c r="K372" s="128">
        <v>1109.264608813913</v>
      </c>
      <c r="L372" s="128">
        <v>13.0</v>
      </c>
      <c r="M372" s="128">
        <v>1110.3516939564422</v>
      </c>
      <c r="N372" s="44" t="s">
        <v>27</v>
      </c>
      <c r="O372" s="128">
        <v>1141.9149601642753</v>
      </c>
      <c r="P372" s="128">
        <v>26.0</v>
      </c>
      <c r="Q372" s="128">
        <v>1145.695990788262</v>
      </c>
      <c r="V372" s="44" t="s">
        <v>88</v>
      </c>
      <c r="W372" s="128">
        <v>811.8245812482129</v>
      </c>
      <c r="X372" s="128">
        <v>12.0</v>
      </c>
      <c r="Y372" s="128">
        <v>807.7198134444883</v>
      </c>
      <c r="Z372" s="44" t="s">
        <v>110</v>
      </c>
      <c r="AA372" s="128">
        <v>908.9567630874883</v>
      </c>
      <c r="AB372" s="128">
        <v>18.0</v>
      </c>
      <c r="AC372" s="128">
        <v>905.9245202193548</v>
      </c>
      <c r="AD372" s="44" t="s">
        <v>90</v>
      </c>
      <c r="AE372" s="128">
        <v>967.8452553069629</v>
      </c>
      <c r="AF372" s="128">
        <v>17.0</v>
      </c>
      <c r="AG372" s="128">
        <v>964.5231930883068</v>
      </c>
      <c r="AH372" s="44" t="s">
        <v>23</v>
      </c>
      <c r="AI372" s="128">
        <v>1515.587374886603</v>
      </c>
      <c r="AJ372" s="128">
        <v>36.0</v>
      </c>
      <c r="AK372" s="128">
        <v>1516.0464477771172</v>
      </c>
      <c r="AP372" s="128">
        <v>15.0</v>
      </c>
      <c r="AQ372" s="128">
        <v>13.0</v>
      </c>
      <c r="AR372" s="44" t="s">
        <v>487</v>
      </c>
      <c r="AS372" s="44" t="s">
        <v>243</v>
      </c>
      <c r="AT372" s="44">
        <v>371.0</v>
      </c>
      <c r="AU372" s="44"/>
      <c r="AW372" s="93"/>
      <c r="AY372" s="93"/>
      <c r="AZ372" s="93"/>
      <c r="BA372" s="93"/>
      <c r="BB372" s="155"/>
      <c r="BC372" s="93"/>
      <c r="BE372" s="93"/>
      <c r="BG372" s="93"/>
      <c r="BH372" s="93"/>
      <c r="BI372" s="93"/>
      <c r="BJ372" s="155"/>
      <c r="BK372" s="93"/>
    </row>
    <row r="373">
      <c r="A373" s="166">
        <v>44282.731653055554</v>
      </c>
      <c r="B373" s="44" t="s">
        <v>98</v>
      </c>
      <c r="C373" s="128">
        <v>880.6246180748332</v>
      </c>
      <c r="D373" s="128">
        <v>18.0</v>
      </c>
      <c r="E373" s="128">
        <v>882.5231873554089</v>
      </c>
      <c r="F373" s="44" t="s">
        <v>47</v>
      </c>
      <c r="G373" s="128">
        <v>1079.5008325729327</v>
      </c>
      <c r="H373" s="128">
        <v>24.0</v>
      </c>
      <c r="I373" s="128">
        <v>1082.3211831183494</v>
      </c>
      <c r="J373" s="44" t="s">
        <v>107</v>
      </c>
      <c r="K373" s="128">
        <v>1110.3516939564422</v>
      </c>
      <c r="L373" s="128">
        <v>16.0</v>
      </c>
      <c r="M373" s="128">
        <v>1111.6558031318077</v>
      </c>
      <c r="N373" s="44" t="s">
        <v>27</v>
      </c>
      <c r="O373" s="128">
        <v>1145.695990788262</v>
      </c>
      <c r="P373" s="128">
        <v>25.0</v>
      </c>
      <c r="Q373" s="128">
        <v>1148.672961786904</v>
      </c>
      <c r="V373" s="44" t="s">
        <v>88</v>
      </c>
      <c r="W373" s="128">
        <v>807.7198134444883</v>
      </c>
      <c r="X373" s="128">
        <v>12.0</v>
      </c>
      <c r="Y373" s="128">
        <v>804.4292111434528</v>
      </c>
      <c r="Z373" s="44" t="s">
        <v>110</v>
      </c>
      <c r="AA373" s="128">
        <v>905.9245202193548</v>
      </c>
      <c r="AB373" s="128">
        <v>12.0</v>
      </c>
      <c r="AC373" s="128">
        <v>902.4887274707737</v>
      </c>
      <c r="AD373" s="44" t="s">
        <v>90</v>
      </c>
      <c r="AE373" s="128">
        <v>964.5231930883068</v>
      </c>
      <c r="AF373" s="128">
        <v>15.0</v>
      </c>
      <c r="AG373" s="128">
        <v>961.5841441759782</v>
      </c>
      <c r="AH373" s="44" t="s">
        <v>23</v>
      </c>
      <c r="AI373" s="128">
        <v>1516.0464477771172</v>
      </c>
      <c r="AJ373" s="128">
        <v>35.0</v>
      </c>
      <c r="AK373" s="128">
        <v>1516.7118917390624</v>
      </c>
      <c r="AP373" s="128">
        <v>15.0</v>
      </c>
      <c r="AQ373" s="128">
        <v>13.0</v>
      </c>
      <c r="AR373" s="44" t="s">
        <v>488</v>
      </c>
      <c r="AS373" s="44" t="s">
        <v>290</v>
      </c>
      <c r="AT373" s="44">
        <v>372.0</v>
      </c>
      <c r="AU373" s="44"/>
      <c r="AW373" s="93"/>
      <c r="AY373" s="93"/>
      <c r="AZ373" s="93"/>
      <c r="BA373" s="93"/>
      <c r="BB373" s="155"/>
      <c r="BC373" s="93"/>
      <c r="BE373" s="93"/>
      <c r="BG373" s="93"/>
      <c r="BH373" s="93"/>
      <c r="BI373" s="93"/>
      <c r="BJ373" s="155"/>
      <c r="BK373" s="93"/>
    </row>
    <row r="374">
      <c r="A374" s="166">
        <v>44282.82130282407</v>
      </c>
      <c r="B374" s="44" t="s">
        <v>88</v>
      </c>
      <c r="C374" s="128">
        <v>804.4292111434528</v>
      </c>
      <c r="D374" s="128">
        <v>8.0</v>
      </c>
      <c r="E374" s="128">
        <v>804.7847161477584</v>
      </c>
      <c r="F374" s="44" t="s">
        <v>47</v>
      </c>
      <c r="G374" s="128">
        <v>1082.3211831183494</v>
      </c>
      <c r="H374" s="128">
        <v>27.0</v>
      </c>
      <c r="I374" s="128">
        <v>1092.2375573275026</v>
      </c>
      <c r="J374" s="44" t="s">
        <v>23</v>
      </c>
      <c r="K374" s="128">
        <v>1516.7118917390624</v>
      </c>
      <c r="L374" s="128">
        <v>27.0</v>
      </c>
      <c r="M374" s="128">
        <v>1526.4400125256036</v>
      </c>
      <c r="N374" s="44"/>
      <c r="O374" s="128"/>
      <c r="P374" s="128"/>
      <c r="Q374" s="128"/>
      <c r="V374" s="44" t="s">
        <v>110</v>
      </c>
      <c r="W374" s="128">
        <v>902.4887274707737</v>
      </c>
      <c r="X374" s="128">
        <v>6.0</v>
      </c>
      <c r="Y374" s="128">
        <v>891.2553042921575</v>
      </c>
      <c r="Z374" s="44" t="s">
        <v>486</v>
      </c>
      <c r="AA374" s="128">
        <v>1006.8806592188961</v>
      </c>
      <c r="AB374" s="128">
        <v>14.0</v>
      </c>
      <c r="AC374" s="128">
        <v>999.8431740183026</v>
      </c>
      <c r="AD374" s="44" t="s">
        <v>31</v>
      </c>
      <c r="AE374" s="128">
        <v>1500.51763548713</v>
      </c>
      <c r="AF374" s="128">
        <v>24.0</v>
      </c>
      <c r="AG374" s="128">
        <v>1498.7885438663398</v>
      </c>
      <c r="AH374" s="44"/>
      <c r="AI374" s="128"/>
      <c r="AJ374" s="128"/>
      <c r="AK374" s="128"/>
      <c r="AP374" s="128">
        <v>18.0</v>
      </c>
      <c r="AQ374" s="128">
        <v>10.0</v>
      </c>
      <c r="AT374" s="44">
        <v>373.0</v>
      </c>
      <c r="AU374" s="44"/>
      <c r="AW374" s="93"/>
      <c r="AY374" s="93"/>
      <c r="AZ374" s="93"/>
      <c r="BA374" s="93"/>
      <c r="BB374" s="155"/>
      <c r="BC374" s="93"/>
      <c r="BE374" s="93"/>
      <c r="BG374" s="93"/>
      <c r="BH374" s="93"/>
      <c r="BI374" s="93"/>
      <c r="BJ374" s="155"/>
      <c r="BK374" s="93"/>
    </row>
    <row r="375">
      <c r="A375" s="166">
        <v>44283.002558541666</v>
      </c>
      <c r="B375" s="44" t="s">
        <v>88</v>
      </c>
      <c r="C375" s="128">
        <v>804.7847161477584</v>
      </c>
      <c r="D375" s="128">
        <v>12.0</v>
      </c>
      <c r="E375" s="128">
        <v>804.7947161477584</v>
      </c>
      <c r="F375" s="44" t="s">
        <v>98</v>
      </c>
      <c r="G375" s="128">
        <v>882.5231873554089</v>
      </c>
      <c r="H375" s="128">
        <v>32.0</v>
      </c>
      <c r="I375" s="128">
        <v>882.5331873554089</v>
      </c>
      <c r="J375" s="44" t="s">
        <v>486</v>
      </c>
      <c r="K375" s="128">
        <v>999.8431740183026</v>
      </c>
      <c r="L375" s="128">
        <v>20.0</v>
      </c>
      <c r="M375" s="128">
        <v>999.8531740183026</v>
      </c>
      <c r="N375" s="44" t="s">
        <v>248</v>
      </c>
      <c r="O375" s="128">
        <v>1018.5722253281638</v>
      </c>
      <c r="P375" s="128">
        <v>22.0</v>
      </c>
      <c r="Q375" s="128">
        <v>1018.5822253281638</v>
      </c>
      <c r="R375" s="44" t="s">
        <v>31</v>
      </c>
      <c r="S375" s="128">
        <v>1498.7885438663398</v>
      </c>
      <c r="T375" s="128">
        <v>25.0</v>
      </c>
      <c r="U375" s="128">
        <v>1498.7985438663397</v>
      </c>
      <c r="V375" s="44" t="s">
        <v>110</v>
      </c>
      <c r="W375" s="128">
        <v>891.2553042921575</v>
      </c>
      <c r="X375" s="128">
        <v>24.0</v>
      </c>
      <c r="Y375" s="128">
        <v>891.2553042921575</v>
      </c>
      <c r="Z375" s="44" t="s">
        <v>90</v>
      </c>
      <c r="AA375" s="128">
        <v>961.5841441759782</v>
      </c>
      <c r="AB375" s="128">
        <v>21.0</v>
      </c>
      <c r="AC375" s="128">
        <v>961.5841441759782</v>
      </c>
      <c r="AD375" s="44" t="s">
        <v>47</v>
      </c>
      <c r="AE375" s="128">
        <v>1092.2375573275026</v>
      </c>
      <c r="AF375" s="128">
        <v>18.0</v>
      </c>
      <c r="AG375" s="128">
        <v>1092.2375573275026</v>
      </c>
      <c r="AH375" s="44" t="s">
        <v>107</v>
      </c>
      <c r="AI375" s="128">
        <v>1111.6558031318077</v>
      </c>
      <c r="AJ375" s="128">
        <v>17.0</v>
      </c>
      <c r="AK375" s="128">
        <v>1111.6558031318077</v>
      </c>
      <c r="AL375" s="44" t="s">
        <v>27</v>
      </c>
      <c r="AM375" s="128">
        <v>1148.672961786904</v>
      </c>
      <c r="AN375" s="128">
        <v>29.0</v>
      </c>
      <c r="AO375" s="128">
        <v>1148.672961786904</v>
      </c>
      <c r="AP375" s="128">
        <v>14.0</v>
      </c>
      <c r="AQ375" s="128">
        <v>14.0</v>
      </c>
      <c r="AT375" s="44">
        <v>374.0</v>
      </c>
      <c r="AU375" s="44"/>
      <c r="AW375" s="93"/>
      <c r="AY375" s="93"/>
      <c r="AZ375" s="93"/>
      <c r="BA375" s="93"/>
      <c r="BB375" s="155"/>
      <c r="BC375" s="93"/>
      <c r="BE375" s="93"/>
      <c r="BG375" s="93"/>
      <c r="BH375" s="93"/>
      <c r="BI375" s="93"/>
      <c r="BJ375" s="155"/>
      <c r="BK375" s="93"/>
    </row>
    <row r="376">
      <c r="A376" s="166">
        <v>44283.915814733795</v>
      </c>
      <c r="B376" s="44" t="s">
        <v>88</v>
      </c>
      <c r="C376" s="128">
        <v>804.7947161477584</v>
      </c>
      <c r="D376" s="128">
        <v>13.0</v>
      </c>
      <c r="E376" s="128">
        <v>807.8257887145295</v>
      </c>
      <c r="F376" s="44" t="s">
        <v>112</v>
      </c>
      <c r="G376" s="128">
        <v>1000.010330523515</v>
      </c>
      <c r="H376" s="128">
        <v>17.0</v>
      </c>
      <c r="I376" s="128">
        <v>1004.3934785557046</v>
      </c>
      <c r="J376" s="44" t="s">
        <v>47</v>
      </c>
      <c r="K376" s="128">
        <v>1092.2375573275026</v>
      </c>
      <c r="L376" s="128">
        <v>31.0</v>
      </c>
      <c r="M376" s="128">
        <v>1103.823336728542</v>
      </c>
      <c r="N376" s="44"/>
      <c r="O376" s="128"/>
      <c r="P376" s="128"/>
      <c r="Q376" s="128"/>
      <c r="V376" s="44" t="s">
        <v>123</v>
      </c>
      <c r="W376" s="128">
        <v>781.8209709920927</v>
      </c>
      <c r="X376" s="128">
        <v>16.0</v>
      </c>
      <c r="Y376" s="128">
        <v>775.9841041998664</v>
      </c>
      <c r="Z376" s="44" t="s">
        <v>34</v>
      </c>
      <c r="AA376" s="128">
        <v>951.4626815767555</v>
      </c>
      <c r="AB376" s="128">
        <v>14.0</v>
      </c>
      <c r="AC376" s="128">
        <v>943.9824613960673</v>
      </c>
      <c r="AD376" s="44" t="s">
        <v>27</v>
      </c>
      <c r="AE376" s="128">
        <v>1148.672961786904</v>
      </c>
      <c r="AF376" s="128">
        <v>18.0</v>
      </c>
      <c r="AG376" s="128">
        <v>1142.9900487598184</v>
      </c>
      <c r="AH376" s="44"/>
      <c r="AI376" s="128"/>
      <c r="AJ376" s="128"/>
      <c r="AK376" s="128"/>
      <c r="AP376" s="128">
        <v>17.0</v>
      </c>
      <c r="AQ376" s="128">
        <v>11.0</v>
      </c>
      <c r="AT376" s="44">
        <v>375.0</v>
      </c>
      <c r="AU376" s="44"/>
      <c r="AW376" s="93"/>
      <c r="AY376" s="93"/>
      <c r="AZ376" s="93"/>
      <c r="BA376" s="93"/>
      <c r="BB376" s="155"/>
      <c r="BC376" s="93"/>
      <c r="BE376" s="93"/>
      <c r="BG376" s="93"/>
      <c r="BH376" s="93"/>
      <c r="BI376" s="93"/>
      <c r="BJ376" s="155"/>
      <c r="BK376" s="93"/>
    </row>
    <row r="377">
      <c r="A377" s="166">
        <v>44283.95508107639</v>
      </c>
      <c r="B377" s="44" t="s">
        <v>88</v>
      </c>
      <c r="C377" s="128">
        <v>807.8257887145295</v>
      </c>
      <c r="D377" s="128">
        <v>20.0</v>
      </c>
      <c r="E377" s="128">
        <v>810.5588700878702</v>
      </c>
      <c r="F377" s="44" t="s">
        <v>90</v>
      </c>
      <c r="G377" s="128">
        <v>961.5841441759782</v>
      </c>
      <c r="H377" s="128">
        <v>12.0</v>
      </c>
      <c r="I377" s="128">
        <v>962.4057488516065</v>
      </c>
      <c r="J377" s="44" t="s">
        <v>248</v>
      </c>
      <c r="K377" s="128">
        <v>1018.5822253281638</v>
      </c>
      <c r="L377" s="128">
        <v>26.0</v>
      </c>
      <c r="M377" s="128">
        <v>1022.2610959608791</v>
      </c>
      <c r="N377" s="44" t="s">
        <v>27</v>
      </c>
      <c r="O377" s="128">
        <v>1142.9900487598184</v>
      </c>
      <c r="P377" s="128">
        <v>22.0</v>
      </c>
      <c r="Q377" s="128">
        <v>1145.756492078134</v>
      </c>
      <c r="V377" s="44" t="s">
        <v>123</v>
      </c>
      <c r="W377" s="128">
        <v>775.9841041998664</v>
      </c>
      <c r="X377" s="128">
        <v>15.0</v>
      </c>
      <c r="Y377" s="128">
        <v>772.7316587816865</v>
      </c>
      <c r="Z377" s="44" t="s">
        <v>34</v>
      </c>
      <c r="AA377" s="128">
        <v>943.9824613960673</v>
      </c>
      <c r="AB377" s="128">
        <v>12.0</v>
      </c>
      <c r="AC377" s="128">
        <v>939.8148247522698</v>
      </c>
      <c r="AD377" s="44" t="s">
        <v>47</v>
      </c>
      <c r="AE377" s="128">
        <v>1103.823336728542</v>
      </c>
      <c r="AF377" s="128">
        <v>28.0</v>
      </c>
      <c r="AG377" s="128">
        <v>1102.8468085523252</v>
      </c>
      <c r="AH377" s="44" t="s">
        <v>92</v>
      </c>
      <c r="AI377" s="128">
        <v>1107.3200298270528</v>
      </c>
      <c r="AJ377" s="128">
        <v>25.0</v>
      </c>
      <c r="AK377" s="128">
        <v>1105.716640065247</v>
      </c>
      <c r="AP377" s="128">
        <v>15.0</v>
      </c>
      <c r="AQ377" s="128">
        <v>13.0</v>
      </c>
      <c r="AT377" s="44">
        <v>376.0</v>
      </c>
      <c r="AU377" s="44"/>
      <c r="AW377" s="93"/>
      <c r="AY377" s="93"/>
      <c r="AZ377" s="93"/>
      <c r="BA377" s="93"/>
      <c r="BB377" s="155"/>
      <c r="BC377" s="93"/>
      <c r="BE377" s="93"/>
      <c r="BG377" s="93"/>
      <c r="BH377" s="93"/>
      <c r="BI377" s="93"/>
      <c r="BJ377" s="155"/>
      <c r="BK377" s="93"/>
    </row>
    <row r="378">
      <c r="A378" s="166">
        <v>44283.99499420139</v>
      </c>
      <c r="B378" s="44" t="s">
        <v>88</v>
      </c>
      <c r="C378" s="128">
        <v>810.5588700878702</v>
      </c>
      <c r="D378" s="128">
        <v>16.0</v>
      </c>
      <c r="E378" s="128">
        <v>816.9017711160839</v>
      </c>
      <c r="F378" s="44" t="s">
        <v>90</v>
      </c>
      <c r="G378" s="128">
        <v>962.4057488516065</v>
      </c>
      <c r="H378" s="128">
        <v>21.0</v>
      </c>
      <c r="I378" s="128">
        <v>971.3307728393945</v>
      </c>
      <c r="J378" s="44" t="s">
        <v>248</v>
      </c>
      <c r="K378" s="128">
        <v>1022.2610959608791</v>
      </c>
      <c r="L378" s="128">
        <v>21.0</v>
      </c>
      <c r="M378" s="128">
        <v>1030.9931709448774</v>
      </c>
      <c r="N378" s="44"/>
      <c r="O378" s="128"/>
      <c r="P378" s="128"/>
      <c r="Q378" s="128"/>
      <c r="V378" s="44" t="s">
        <v>123</v>
      </c>
      <c r="W378" s="128">
        <v>772.7316587816865</v>
      </c>
      <c r="X378" s="128">
        <v>13.0</v>
      </c>
      <c r="Y378" s="128">
        <v>762.5440377468816</v>
      </c>
      <c r="Z378" s="44" t="s">
        <v>34</v>
      </c>
      <c r="AA378" s="128">
        <v>939.8148247522698</v>
      </c>
      <c r="AB378" s="128">
        <v>15.0</v>
      </c>
      <c r="AC378" s="128">
        <v>930.1427613790495</v>
      </c>
      <c r="AD378" s="44" t="s">
        <v>27</v>
      </c>
      <c r="AE378" s="128">
        <v>1145.756492078134</v>
      </c>
      <c r="AF378" s="128">
        <v>24.0</v>
      </c>
      <c r="AG378" s="128">
        <v>1141.6161764861592</v>
      </c>
      <c r="AH378" s="44"/>
      <c r="AI378" s="128"/>
      <c r="AJ378" s="128"/>
      <c r="AK378" s="128"/>
      <c r="AP378" s="128">
        <v>15.0</v>
      </c>
      <c r="AQ378" s="128">
        <v>12.0</v>
      </c>
      <c r="AT378" s="44">
        <v>377.0</v>
      </c>
      <c r="AU378" s="44"/>
      <c r="AW378" s="93"/>
      <c r="AY378" s="93"/>
      <c r="AZ378" s="93"/>
      <c r="BA378" s="93"/>
      <c r="BB378" s="155"/>
      <c r="BC378" s="93"/>
      <c r="BE378" s="93"/>
      <c r="BG378" s="93"/>
      <c r="BH378" s="93"/>
      <c r="BI378" s="93"/>
      <c r="BJ378" s="155"/>
      <c r="BK378" s="93"/>
    </row>
    <row r="379">
      <c r="A379" s="166">
        <v>44284.921731689814</v>
      </c>
      <c r="B379" s="44" t="s">
        <v>47</v>
      </c>
      <c r="C379" s="128">
        <v>1102.8468085523252</v>
      </c>
      <c r="D379" s="128">
        <v>19.0</v>
      </c>
      <c r="E379" s="128">
        <v>1097.693442587079</v>
      </c>
      <c r="F379" s="44" t="s">
        <v>92</v>
      </c>
      <c r="G379" s="128">
        <v>1105.716640065247</v>
      </c>
      <c r="H379" s="128">
        <v>19.0</v>
      </c>
      <c r="I379" s="128">
        <v>1100.5601796703645</v>
      </c>
      <c r="J379" s="44" t="s">
        <v>27</v>
      </c>
      <c r="K379" s="128">
        <v>1141.6161764861592</v>
      </c>
      <c r="L379" s="128">
        <v>14.0</v>
      </c>
      <c r="M379" s="128">
        <v>1133.926002846288</v>
      </c>
      <c r="N379" s="44"/>
      <c r="O379" s="128"/>
      <c r="P379" s="128"/>
      <c r="Q379" s="128"/>
      <c r="V379" s="44" t="s">
        <v>98</v>
      </c>
      <c r="W379" s="128">
        <v>882.5331873554089</v>
      </c>
      <c r="X379" s="128">
        <v>15.0</v>
      </c>
      <c r="Y379" s="128">
        <v>887.001580143979</v>
      </c>
      <c r="Z379" s="44" t="s">
        <v>90</v>
      </c>
      <c r="AA379" s="128">
        <v>971.3307728393945</v>
      </c>
      <c r="AB379" s="128">
        <v>13.0</v>
      </c>
      <c r="AC379" s="128">
        <v>974.5302065988034</v>
      </c>
      <c r="AD379" s="44" t="s">
        <v>23</v>
      </c>
      <c r="AE379" s="128">
        <v>1526.4400125256036</v>
      </c>
      <c r="AF379" s="128">
        <v>28.0</v>
      </c>
      <c r="AG379" s="128">
        <v>1536.7721859776248</v>
      </c>
      <c r="AH379" s="44"/>
      <c r="AI379" s="128"/>
      <c r="AJ379" s="128"/>
      <c r="AK379" s="128"/>
      <c r="AP379" s="128">
        <v>12.0</v>
      </c>
      <c r="AQ379" s="128">
        <v>16.0</v>
      </c>
      <c r="AR379" s="44" t="s">
        <v>489</v>
      </c>
      <c r="AS379" s="44" t="s">
        <v>403</v>
      </c>
      <c r="AT379" s="44">
        <v>378.0</v>
      </c>
      <c r="AU379" s="44"/>
      <c r="AW379" s="93"/>
      <c r="AY379" s="93"/>
      <c r="AZ379" s="93"/>
      <c r="BA379" s="93"/>
      <c r="BB379" s="155"/>
      <c r="BC379" s="93"/>
      <c r="BE379" s="93"/>
      <c r="BG379" s="93"/>
      <c r="BH379" s="93"/>
      <c r="BI379" s="93"/>
      <c r="BJ379" s="155"/>
      <c r="BK379" s="93"/>
    </row>
    <row r="380">
      <c r="A380" s="166">
        <v>44284.96243060185</v>
      </c>
      <c r="B380" s="44" t="s">
        <v>121</v>
      </c>
      <c r="C380" s="128">
        <v>856.11</v>
      </c>
      <c r="D380" s="128">
        <v>7.0</v>
      </c>
      <c r="E380" s="128">
        <v>856.12</v>
      </c>
      <c r="F380" s="44" t="s">
        <v>90</v>
      </c>
      <c r="G380" s="128">
        <v>974.5302065988034</v>
      </c>
      <c r="H380" s="128">
        <v>14.0</v>
      </c>
      <c r="I380" s="128">
        <v>974.5402065988034</v>
      </c>
      <c r="J380" s="44" t="s">
        <v>47</v>
      </c>
      <c r="K380" s="128">
        <v>1097.693442587079</v>
      </c>
      <c r="L380" s="128">
        <v>27.0</v>
      </c>
      <c r="M380" s="128">
        <v>1097.703442587079</v>
      </c>
      <c r="N380" s="44" t="s">
        <v>27</v>
      </c>
      <c r="O380" s="128">
        <v>1133.926002846288</v>
      </c>
      <c r="P380" s="128">
        <v>26.0</v>
      </c>
      <c r="Q380" s="128">
        <v>1133.936002846288</v>
      </c>
      <c r="V380" s="44" t="s">
        <v>127</v>
      </c>
      <c r="W380" s="128">
        <v>609.02</v>
      </c>
      <c r="X380" s="128">
        <v>3.0</v>
      </c>
      <c r="Y380" s="128">
        <v>609.02</v>
      </c>
      <c r="Z380" s="44" t="s">
        <v>88</v>
      </c>
      <c r="AA380" s="128">
        <v>816.9017711160839</v>
      </c>
      <c r="AB380" s="128">
        <v>15.0</v>
      </c>
      <c r="AC380" s="128">
        <v>816.9017711160839</v>
      </c>
      <c r="AD380" s="44" t="s">
        <v>92</v>
      </c>
      <c r="AE380" s="128">
        <v>1100.5601796703645</v>
      </c>
      <c r="AF380" s="128">
        <v>25.0</v>
      </c>
      <c r="AG380" s="128">
        <v>1100.5601796703645</v>
      </c>
      <c r="AH380" s="44" t="s">
        <v>23</v>
      </c>
      <c r="AI380" s="128">
        <v>1536.7721859776248</v>
      </c>
      <c r="AJ380" s="128">
        <v>30.0</v>
      </c>
      <c r="AK380" s="128">
        <v>1536.7721859776248</v>
      </c>
      <c r="AP380" s="128">
        <v>14.0</v>
      </c>
      <c r="AQ380" s="128">
        <v>14.0</v>
      </c>
      <c r="AR380" s="44" t="s">
        <v>490</v>
      </c>
      <c r="AS380" s="44" t="s">
        <v>232</v>
      </c>
      <c r="AT380" s="44">
        <v>379.0</v>
      </c>
      <c r="AU380" s="44"/>
      <c r="AW380" s="93"/>
      <c r="AY380" s="93"/>
      <c r="AZ380" s="93"/>
      <c r="BA380" s="93"/>
      <c r="BB380" s="155"/>
      <c r="BC380" s="93"/>
      <c r="BE380" s="93"/>
      <c r="BG380" s="93"/>
      <c r="BH380" s="93"/>
      <c r="BI380" s="93"/>
      <c r="BJ380" s="155"/>
      <c r="BK380" s="93"/>
    </row>
    <row r="381">
      <c r="A381" s="166">
        <v>44285.92801724537</v>
      </c>
      <c r="B381" s="44" t="s">
        <v>88</v>
      </c>
      <c r="C381" s="128">
        <v>816.9017711160839</v>
      </c>
      <c r="D381" s="128">
        <v>20.0</v>
      </c>
      <c r="E381" s="128">
        <v>831.9306044275925</v>
      </c>
      <c r="F381" s="44" t="s">
        <v>112</v>
      </c>
      <c r="G381" s="128">
        <v>1004.3934785557046</v>
      </c>
      <c r="H381" s="128">
        <v>24.0</v>
      </c>
      <c r="I381" s="128">
        <v>1022.7300316403679</v>
      </c>
      <c r="J381" s="44" t="s">
        <v>92</v>
      </c>
      <c r="K381" s="128">
        <v>1100.5601796703645</v>
      </c>
      <c r="L381" s="128">
        <v>19.0</v>
      </c>
      <c r="M381" s="128">
        <v>1112.1947932741928</v>
      </c>
      <c r="N381" s="44"/>
      <c r="O381" s="128"/>
      <c r="P381" s="128"/>
      <c r="Q381" s="128"/>
      <c r="V381" s="44" t="s">
        <v>34</v>
      </c>
      <c r="W381" s="128">
        <v>930.1427613790495</v>
      </c>
      <c r="X381" s="128">
        <v>14.0</v>
      </c>
      <c r="Y381" s="128">
        <v>916.6123372118711</v>
      </c>
      <c r="Z381" s="44" t="s">
        <v>224</v>
      </c>
      <c r="AA381" s="128">
        <v>942.0720263956077</v>
      </c>
      <c r="AB381" s="128">
        <v>3.0</v>
      </c>
      <c r="AC381" s="128">
        <v>914.7317341551417</v>
      </c>
      <c r="AD381" s="44" t="s">
        <v>47</v>
      </c>
      <c r="AE381" s="128">
        <v>1097.703442587079</v>
      </c>
      <c r="AF381" s="128">
        <v>22.0</v>
      </c>
      <c r="AG381" s="128">
        <v>1093.5741589947236</v>
      </c>
      <c r="AH381" s="44"/>
      <c r="AI381" s="128"/>
      <c r="AJ381" s="128"/>
      <c r="AK381" s="128"/>
      <c r="AP381" s="128">
        <v>20.0</v>
      </c>
      <c r="AQ381" s="128">
        <v>7.0</v>
      </c>
      <c r="AS381" s="44" t="s">
        <v>243</v>
      </c>
      <c r="AT381" s="44">
        <v>380.0</v>
      </c>
      <c r="AU381" s="44"/>
      <c r="AW381" s="93"/>
      <c r="AY381" s="93"/>
      <c r="AZ381" s="93"/>
      <c r="BA381" s="93"/>
      <c r="BB381" s="155"/>
      <c r="BC381" s="93"/>
      <c r="BE381" s="93"/>
      <c r="BG381" s="93"/>
      <c r="BH381" s="93"/>
      <c r="BI381" s="93"/>
      <c r="BJ381" s="155"/>
      <c r="BK381" s="93"/>
    </row>
    <row r="382">
      <c r="A382" s="166">
        <v>44285.97094493055</v>
      </c>
      <c r="B382" s="44" t="s">
        <v>88</v>
      </c>
      <c r="C382" s="128">
        <v>831.9306044275925</v>
      </c>
      <c r="D382" s="128">
        <v>22.0</v>
      </c>
      <c r="E382" s="128">
        <v>830.3163765067146</v>
      </c>
      <c r="F382" s="44" t="s">
        <v>34</v>
      </c>
      <c r="G382" s="128">
        <v>916.6123372118711</v>
      </c>
      <c r="H382" s="128">
        <v>15.0</v>
      </c>
      <c r="I382" s="128">
        <v>913.5659974462721</v>
      </c>
      <c r="J382" s="44" t="s">
        <v>112</v>
      </c>
      <c r="K382" s="128">
        <v>1022.7300316403679</v>
      </c>
      <c r="L382" s="128">
        <v>27.0</v>
      </c>
      <c r="M382" s="128">
        <v>1021.8289459373254</v>
      </c>
      <c r="N382" s="44" t="s">
        <v>31</v>
      </c>
      <c r="O382" s="128">
        <v>1498.7985438663397</v>
      </c>
      <c r="P382" s="128">
        <v>14.0</v>
      </c>
      <c r="Q382" s="128">
        <v>1495.360197255859</v>
      </c>
      <c r="V382" s="44" t="s">
        <v>90</v>
      </c>
      <c r="W382" s="128">
        <v>974.5402065988034</v>
      </c>
      <c r="X382" s="128">
        <v>19.0</v>
      </c>
      <c r="Y382" s="128">
        <v>976.7199946160683</v>
      </c>
      <c r="Z382" s="44" t="s">
        <v>47</v>
      </c>
      <c r="AA382" s="128">
        <v>1093.5741589947236</v>
      </c>
      <c r="AB382" s="128">
        <v>16.0</v>
      </c>
      <c r="AC382" s="128">
        <v>1095.106292081235</v>
      </c>
      <c r="AD382" s="44" t="s">
        <v>92</v>
      </c>
      <c r="AE382" s="128">
        <v>1112.1947932741928</v>
      </c>
      <c r="AF382" s="128">
        <v>19.0</v>
      </c>
      <c r="AG382" s="128">
        <v>1114.2807342923256</v>
      </c>
      <c r="AH382" s="44" t="s">
        <v>27</v>
      </c>
      <c r="AI382" s="128">
        <v>1133.936002846288</v>
      </c>
      <c r="AJ382" s="128">
        <v>25.0</v>
      </c>
      <c r="AK382" s="128">
        <v>1137.1381407243787</v>
      </c>
      <c r="AP382" s="128">
        <v>13.0</v>
      </c>
      <c r="AQ382" s="128">
        <v>14.0</v>
      </c>
      <c r="AS382" s="44" t="s">
        <v>290</v>
      </c>
      <c r="AT382" s="44">
        <v>381.0</v>
      </c>
      <c r="AU382" s="44"/>
      <c r="AW382" s="93"/>
      <c r="AY382" s="93"/>
      <c r="AZ382" s="93"/>
      <c r="BA382" s="93"/>
      <c r="BB382" s="155"/>
      <c r="BC382" s="93"/>
      <c r="BE382" s="93"/>
      <c r="BG382" s="93"/>
      <c r="BH382" s="93"/>
      <c r="BI382" s="93"/>
      <c r="BJ382" s="155"/>
      <c r="BK382" s="93"/>
    </row>
    <row r="383">
      <c r="A383" s="166">
        <v>44286.99811930556</v>
      </c>
      <c r="B383" s="44" t="s">
        <v>88</v>
      </c>
      <c r="C383" s="128">
        <v>830.3163765067146</v>
      </c>
      <c r="D383" s="128">
        <v>10.0</v>
      </c>
      <c r="E383" s="128">
        <v>830.787973709278</v>
      </c>
      <c r="F383" s="44" t="s">
        <v>34</v>
      </c>
      <c r="G383" s="128">
        <v>913.5659974462721</v>
      </c>
      <c r="H383" s="128">
        <v>23.0</v>
      </c>
      <c r="I383" s="128">
        <v>918.1376248812766</v>
      </c>
      <c r="J383" s="44" t="s">
        <v>90</v>
      </c>
      <c r="K383" s="128">
        <v>976.7199946160683</v>
      </c>
      <c r="L383" s="128">
        <v>16.0</v>
      </c>
      <c r="M383" s="128">
        <v>978.8223584217646</v>
      </c>
      <c r="N383" s="44" t="s">
        <v>112</v>
      </c>
      <c r="O383" s="128">
        <v>1021.8289459373254</v>
      </c>
      <c r="P383" s="128">
        <v>22.0</v>
      </c>
      <c r="Q383" s="128">
        <v>1025.8549822628072</v>
      </c>
      <c r="R383" s="44" t="s">
        <v>31</v>
      </c>
      <c r="S383" s="128">
        <v>1495.360197255859</v>
      </c>
      <c r="T383" s="128">
        <v>37.0</v>
      </c>
      <c r="U383" s="128">
        <v>1504.188572487113</v>
      </c>
      <c r="V383" s="44" t="s">
        <v>127</v>
      </c>
      <c r="W383" s="128">
        <v>609.02</v>
      </c>
      <c r="X383" s="128">
        <v>8.0</v>
      </c>
      <c r="Y383" s="128">
        <v>602.274990929842</v>
      </c>
      <c r="Z383" s="44" t="s">
        <v>121</v>
      </c>
      <c r="AA383" s="128">
        <v>856.12</v>
      </c>
      <c r="AB383" s="128">
        <v>7.0</v>
      </c>
      <c r="AC383" s="128">
        <v>848.1500809277678</v>
      </c>
      <c r="AD383" s="44" t="s">
        <v>47</v>
      </c>
      <c r="AE383" s="128">
        <v>1095.106292081235</v>
      </c>
      <c r="AF383" s="128">
        <v>26.0</v>
      </c>
      <c r="AG383" s="128">
        <v>1093.0545393451166</v>
      </c>
      <c r="AH383" s="44" t="s">
        <v>27</v>
      </c>
      <c r="AI383" s="128">
        <v>1137.1381407243787</v>
      </c>
      <c r="AJ383" s="128">
        <v>30.0</v>
      </c>
      <c r="AK383" s="128">
        <v>1136.3873450902472</v>
      </c>
      <c r="AL383" s="44" t="s">
        <v>23</v>
      </c>
      <c r="AM383" s="128">
        <v>1536.7721859776248</v>
      </c>
      <c r="AN383" s="128">
        <v>25.0</v>
      </c>
      <c r="AO383" s="128">
        <v>1534.2896624902648</v>
      </c>
      <c r="AP383" s="128">
        <v>17.0</v>
      </c>
      <c r="AQ383" s="128">
        <v>11.0</v>
      </c>
      <c r="AS383" s="44" t="s">
        <v>290</v>
      </c>
      <c r="AT383" s="44">
        <v>382.0</v>
      </c>
      <c r="AU383" s="44"/>
      <c r="AW383" s="93"/>
      <c r="AY383" s="93"/>
      <c r="AZ383" s="93"/>
      <c r="BA383" s="93"/>
      <c r="BB383" s="155"/>
      <c r="BC383" s="93"/>
      <c r="BE383" s="93"/>
      <c r="BG383" s="93"/>
      <c r="BH383" s="93"/>
      <c r="BI383" s="93"/>
      <c r="BJ383" s="155"/>
      <c r="BK383" s="93"/>
    </row>
    <row r="384">
      <c r="A384" s="166">
        <v>44287.94199228009</v>
      </c>
      <c r="B384" s="44" t="s">
        <v>88</v>
      </c>
      <c r="C384" s="128">
        <v>830.787973709278</v>
      </c>
      <c r="D384" s="128">
        <v>16.0</v>
      </c>
      <c r="E384" s="128">
        <v>833.8789016705813</v>
      </c>
      <c r="F384" s="44" t="s">
        <v>98</v>
      </c>
      <c r="G384" s="128">
        <v>887.001580143979</v>
      </c>
      <c r="H384" s="128">
        <v>16.0</v>
      </c>
      <c r="I384" s="128">
        <v>889.8341371919381</v>
      </c>
      <c r="J384" s="44" t="s">
        <v>23</v>
      </c>
      <c r="K384" s="128">
        <v>1534.2896624902648</v>
      </c>
      <c r="L384" s="128">
        <v>36.0</v>
      </c>
      <c r="M384" s="128">
        <v>1546.3661774810025</v>
      </c>
      <c r="N384" s="44"/>
      <c r="O384" s="128"/>
      <c r="P384" s="128"/>
      <c r="Q384" s="128"/>
      <c r="V384" s="44" t="s">
        <v>34</v>
      </c>
      <c r="W384" s="128">
        <v>918.1376248812766</v>
      </c>
      <c r="X384" s="128">
        <v>13.0</v>
      </c>
      <c r="Y384" s="128">
        <v>910.9815761138627</v>
      </c>
      <c r="Z384" s="44" t="s">
        <v>112</v>
      </c>
      <c r="AA384" s="128">
        <v>1025.8549822628072</v>
      </c>
      <c r="AB384" s="128">
        <v>16.0</v>
      </c>
      <c r="AC384" s="128">
        <v>1019.977257004898</v>
      </c>
      <c r="AD384" s="44" t="s">
        <v>47</v>
      </c>
      <c r="AE384" s="128">
        <v>1093.0545393451166</v>
      </c>
      <c r="AF384" s="128">
        <v>18.0</v>
      </c>
      <c r="AG384" s="128">
        <v>1088.0883133704397</v>
      </c>
      <c r="AH384" s="44"/>
      <c r="AI384" s="128"/>
      <c r="AJ384" s="128"/>
      <c r="AK384" s="128"/>
      <c r="AP384" s="128">
        <v>19.0</v>
      </c>
      <c r="AQ384" s="128">
        <v>9.0</v>
      </c>
      <c r="AT384" s="44">
        <v>383.0</v>
      </c>
      <c r="AU384" s="44"/>
      <c r="AW384" s="93"/>
      <c r="AY384" s="93"/>
      <c r="AZ384" s="93"/>
      <c r="BA384" s="93"/>
      <c r="BB384" s="155"/>
      <c r="BC384" s="93"/>
      <c r="BE384" s="93"/>
      <c r="BG384" s="93"/>
      <c r="BH384" s="93"/>
      <c r="BI384" s="93"/>
      <c r="BJ384" s="155"/>
      <c r="BK384" s="93"/>
    </row>
    <row r="385">
      <c r="A385" s="166">
        <v>44288.94795508102</v>
      </c>
      <c r="B385" s="44" t="s">
        <v>88</v>
      </c>
      <c r="C385" s="128">
        <v>833.8789016705813</v>
      </c>
      <c r="D385" s="128">
        <v>16.0</v>
      </c>
      <c r="E385" s="128">
        <v>834.5113565274308</v>
      </c>
      <c r="F385" s="44" t="s">
        <v>90</v>
      </c>
      <c r="G385" s="128">
        <v>978.8223584217646</v>
      </c>
      <c r="H385" s="128">
        <v>20.0</v>
      </c>
      <c r="I385" s="128">
        <v>979.6292430429812</v>
      </c>
      <c r="J385" s="44" t="s">
        <v>92</v>
      </c>
      <c r="K385" s="128">
        <v>1114.2807342923256</v>
      </c>
      <c r="L385" s="128">
        <v>16.0</v>
      </c>
      <c r="M385" s="128">
        <v>1114.8413948142595</v>
      </c>
      <c r="N385" s="44"/>
      <c r="O385" s="128"/>
      <c r="P385" s="128"/>
      <c r="Q385" s="128"/>
      <c r="V385" s="44" t="s">
        <v>78</v>
      </c>
      <c r="W385" s="128">
        <v>945.122989592522</v>
      </c>
      <c r="X385" s="128">
        <v>19.0</v>
      </c>
      <c r="Y385" s="128">
        <v>944.542753458962</v>
      </c>
      <c r="Z385" s="44" t="s">
        <v>58</v>
      </c>
      <c r="AA385" s="128">
        <v>971.6257841033472</v>
      </c>
      <c r="AB385" s="128">
        <v>12.0</v>
      </c>
      <c r="AC385" s="128">
        <v>970.6494652845985</v>
      </c>
      <c r="AD385" s="44" t="s">
        <v>47</v>
      </c>
      <c r="AE385" s="128">
        <v>1088.0883133704397</v>
      </c>
      <c r="AF385" s="128">
        <v>22.0</v>
      </c>
      <c r="AG385" s="128">
        <v>1087.6448683227484</v>
      </c>
      <c r="AH385" s="44"/>
      <c r="AI385" s="128"/>
      <c r="AJ385" s="128"/>
      <c r="AK385" s="128"/>
      <c r="AP385" s="128">
        <v>14.0</v>
      </c>
      <c r="AQ385" s="128">
        <v>14.0</v>
      </c>
      <c r="AT385" s="44">
        <v>384.0</v>
      </c>
      <c r="AU385" s="44"/>
      <c r="AW385" s="93"/>
      <c r="AY385" s="93"/>
      <c r="AZ385" s="93"/>
      <c r="BA385" s="93"/>
      <c r="BB385" s="155"/>
      <c r="BC385" s="93"/>
      <c r="BE385" s="93"/>
      <c r="BG385" s="93"/>
      <c r="BH385" s="93"/>
      <c r="BI385" s="93"/>
      <c r="BJ385" s="155"/>
      <c r="BK385" s="93"/>
    </row>
    <row r="386">
      <c r="A386" s="166">
        <v>44289.01425849537</v>
      </c>
      <c r="B386" s="44" t="s">
        <v>88</v>
      </c>
      <c r="C386" s="128">
        <v>834.5113565274308</v>
      </c>
      <c r="D386" s="128">
        <v>21.0</v>
      </c>
      <c r="E386" s="128">
        <v>834.5213565274308</v>
      </c>
      <c r="F386" s="44" t="s">
        <v>98</v>
      </c>
      <c r="G386" s="128">
        <v>889.8341371919381</v>
      </c>
      <c r="H386" s="128">
        <v>26.0</v>
      </c>
      <c r="I386" s="128">
        <v>889.8441371919381</v>
      </c>
      <c r="J386" s="44" t="s">
        <v>248</v>
      </c>
      <c r="K386" s="128">
        <v>1030.9931709448774</v>
      </c>
      <c r="L386" s="128">
        <v>31.0</v>
      </c>
      <c r="M386" s="128">
        <v>1031.0031709448774</v>
      </c>
      <c r="N386" s="44" t="s">
        <v>92</v>
      </c>
      <c r="O386" s="128">
        <v>1114.8413948142595</v>
      </c>
      <c r="P386" s="128">
        <v>41.0</v>
      </c>
      <c r="Q386" s="128">
        <v>1114.8513948142595</v>
      </c>
      <c r="R386" s="44" t="s">
        <v>27</v>
      </c>
      <c r="S386" s="128">
        <v>1136.3873450902472</v>
      </c>
      <c r="T386" s="128">
        <v>30.0</v>
      </c>
      <c r="U386" s="128">
        <v>1136.3973450902472</v>
      </c>
      <c r="V386" s="44" t="s">
        <v>78</v>
      </c>
      <c r="W386" s="128">
        <v>944.542753458962</v>
      </c>
      <c r="X386" s="128">
        <v>19.0</v>
      </c>
      <c r="Y386" s="128">
        <v>944.542753458962</v>
      </c>
      <c r="Z386" s="44" t="s">
        <v>58</v>
      </c>
      <c r="AA386" s="128">
        <v>970.6494652845985</v>
      </c>
      <c r="AB386" s="128">
        <v>30.0</v>
      </c>
      <c r="AC386" s="128">
        <v>970.6494652845985</v>
      </c>
      <c r="AD386" s="44" t="s">
        <v>90</v>
      </c>
      <c r="AE386" s="128">
        <v>979.6292430429812</v>
      </c>
      <c r="AF386" s="128">
        <v>27.0</v>
      </c>
      <c r="AG386" s="128">
        <v>979.6292430429812</v>
      </c>
      <c r="AH386" s="44" t="s">
        <v>112</v>
      </c>
      <c r="AI386" s="128">
        <v>1019.977257004898</v>
      </c>
      <c r="AJ386" s="128">
        <v>28.0</v>
      </c>
      <c r="AK386" s="128">
        <v>1019.977257004898</v>
      </c>
      <c r="AL386" s="44" t="s">
        <v>47</v>
      </c>
      <c r="AM386" s="128">
        <v>1087.6448683227484</v>
      </c>
      <c r="AN386" s="128">
        <v>37.0</v>
      </c>
      <c r="AO386" s="128">
        <v>1087.6448683227484</v>
      </c>
      <c r="AP386" s="128">
        <v>21.0</v>
      </c>
      <c r="AQ386" s="128">
        <v>21.0</v>
      </c>
      <c r="AS386" s="44" t="s">
        <v>491</v>
      </c>
      <c r="AT386" s="44">
        <v>385.0</v>
      </c>
      <c r="AU386" s="44"/>
      <c r="AW386" s="93"/>
      <c r="AY386" s="93"/>
      <c r="AZ386" s="93"/>
      <c r="BA386" s="93"/>
      <c r="BB386" s="155"/>
      <c r="BC386" s="93"/>
      <c r="BE386" s="93"/>
      <c r="BG386" s="93"/>
      <c r="BH386" s="93"/>
      <c r="BI386" s="93"/>
      <c r="BJ386" s="155"/>
      <c r="BK386" s="93"/>
    </row>
    <row r="387">
      <c r="A387" s="166">
        <v>44289.051139560186</v>
      </c>
      <c r="B387" s="44" t="s">
        <v>88</v>
      </c>
      <c r="C387" s="128">
        <v>834.5213565274308</v>
      </c>
      <c r="D387" s="128">
        <v>8.0</v>
      </c>
      <c r="E387" s="128">
        <v>834.6389331811752</v>
      </c>
      <c r="F387" s="44" t="s">
        <v>110</v>
      </c>
      <c r="G387" s="128">
        <v>891.2553042921575</v>
      </c>
      <c r="H387" s="128">
        <v>25.0</v>
      </c>
      <c r="I387" s="128">
        <v>898.2641961943654</v>
      </c>
      <c r="J387" s="44" t="s">
        <v>112</v>
      </c>
      <c r="K387" s="128">
        <v>1019.977257004898</v>
      </c>
      <c r="L387" s="128">
        <v>23.0</v>
      </c>
      <c r="M387" s="128">
        <v>1025.839850605486</v>
      </c>
      <c r="N387" s="44" t="s">
        <v>47</v>
      </c>
      <c r="O387" s="128">
        <v>1087.6448683227484</v>
      </c>
      <c r="P387" s="128">
        <v>26.0</v>
      </c>
      <c r="Q387" s="128">
        <v>1094.6558061662083</v>
      </c>
      <c r="V387" s="44" t="s">
        <v>98</v>
      </c>
      <c r="W387" s="128">
        <v>889.8441371919381</v>
      </c>
      <c r="X387" s="128">
        <v>9.0</v>
      </c>
      <c r="Y387" s="128">
        <v>881.9629382550212</v>
      </c>
      <c r="Z387" s="44" t="s">
        <v>78</v>
      </c>
      <c r="AA387" s="128">
        <v>944.542753458962</v>
      </c>
      <c r="AB387" s="128">
        <v>22.0</v>
      </c>
      <c r="AC387" s="128">
        <v>941.9565432302078</v>
      </c>
      <c r="AD387" s="44" t="s">
        <v>58</v>
      </c>
      <c r="AE387" s="128">
        <v>970.6494652845985</v>
      </c>
      <c r="AF387" s="128">
        <v>16.0</v>
      </c>
      <c r="AG387" s="128">
        <v>965.5137058794795</v>
      </c>
      <c r="AH387" s="44" t="s">
        <v>248</v>
      </c>
      <c r="AI387" s="128">
        <v>1031.0031709448774</v>
      </c>
      <c r="AJ387" s="128">
        <v>18.0</v>
      </c>
      <c r="AK387" s="128">
        <v>1026.6063395156675</v>
      </c>
      <c r="AP387" s="128">
        <v>17.0</v>
      </c>
      <c r="AQ387" s="128">
        <v>11.0</v>
      </c>
      <c r="AS387" s="44" t="s">
        <v>255</v>
      </c>
      <c r="AT387" s="44">
        <v>386.0</v>
      </c>
      <c r="AU387" s="44"/>
      <c r="AW387" s="93"/>
      <c r="AY387" s="93"/>
      <c r="AZ387" s="93"/>
      <c r="BA387" s="93"/>
      <c r="BB387" s="155"/>
      <c r="BC387" s="93"/>
      <c r="BE387" s="93"/>
      <c r="BG387" s="93"/>
      <c r="BH387" s="93"/>
      <c r="BI387" s="93"/>
      <c r="BJ387" s="155"/>
      <c r="BK387" s="93"/>
    </row>
    <row r="388">
      <c r="A388" s="166">
        <v>44289.954041793986</v>
      </c>
      <c r="B388" s="44" t="s">
        <v>47</v>
      </c>
      <c r="C388" s="128">
        <v>1094.6558061662083</v>
      </c>
      <c r="D388" s="128">
        <v>14.0</v>
      </c>
      <c r="E388" s="128">
        <v>1089.4424879883543</v>
      </c>
      <c r="F388" s="44" t="s">
        <v>107</v>
      </c>
      <c r="G388" s="128">
        <v>1111.6558031318077</v>
      </c>
      <c r="H388" s="128">
        <v>12.0</v>
      </c>
      <c r="I388" s="128">
        <v>1105.7635437423207</v>
      </c>
      <c r="J388" s="44" t="s">
        <v>92</v>
      </c>
      <c r="K388" s="128">
        <v>1114.8513948142595</v>
      </c>
      <c r="L388" s="128">
        <v>27.0</v>
      </c>
      <c r="M388" s="128">
        <v>1113.9569723816005</v>
      </c>
      <c r="N388" s="44"/>
      <c r="O388" s="128"/>
      <c r="P388" s="128"/>
      <c r="Q388" s="128"/>
      <c r="V388" s="44" t="s">
        <v>78</v>
      </c>
      <c r="W388" s="128">
        <v>941.9565432302078</v>
      </c>
      <c r="X388" s="128">
        <v>17.0</v>
      </c>
      <c r="Y388" s="128">
        <v>944.8623086486125</v>
      </c>
      <c r="Z388" s="44" t="s">
        <v>90</v>
      </c>
      <c r="AA388" s="128">
        <v>979.6292430429812</v>
      </c>
      <c r="AB388" s="128">
        <v>12.0</v>
      </c>
      <c r="AC388" s="128">
        <v>980.8019284537492</v>
      </c>
      <c r="AD388" s="44" t="s">
        <v>23</v>
      </c>
      <c r="AE388" s="128">
        <v>1546.3661774810025</v>
      </c>
      <c r="AF388" s="128">
        <v>33.0</v>
      </c>
      <c r="AG388" s="128">
        <v>1554.2877266518299</v>
      </c>
      <c r="AH388" s="44"/>
      <c r="AI388" s="128"/>
      <c r="AJ388" s="128"/>
      <c r="AK388" s="128"/>
      <c r="AP388" s="128">
        <v>10.0</v>
      </c>
      <c r="AQ388" s="128">
        <v>18.0</v>
      </c>
      <c r="AT388" s="44">
        <v>387.0</v>
      </c>
      <c r="AU388" s="44"/>
      <c r="AW388" s="93"/>
      <c r="AY388" s="93"/>
      <c r="AZ388" s="93"/>
      <c r="BA388" s="93"/>
      <c r="BB388" s="155"/>
      <c r="BC388" s="93"/>
      <c r="BE388" s="93"/>
      <c r="BG388" s="93"/>
      <c r="BH388" s="93"/>
      <c r="BI388" s="93"/>
      <c r="BJ388" s="155"/>
      <c r="BK388" s="93"/>
    </row>
    <row r="389">
      <c r="A389" s="166">
        <v>44289.98971090278</v>
      </c>
      <c r="B389" s="44" t="s">
        <v>90</v>
      </c>
      <c r="C389" s="128">
        <v>980.8019284537492</v>
      </c>
      <c r="D389" s="128">
        <v>12.0</v>
      </c>
      <c r="E389" s="128">
        <v>972.7307273692637</v>
      </c>
      <c r="F389" s="44" t="s">
        <v>47</v>
      </c>
      <c r="G389" s="128">
        <v>1089.4424879883543</v>
      </c>
      <c r="H389" s="128">
        <v>24.0</v>
      </c>
      <c r="I389" s="128">
        <v>1086.4594149479556</v>
      </c>
      <c r="J389" s="44" t="s">
        <v>107</v>
      </c>
      <c r="K389" s="128">
        <v>1105.7635437423207</v>
      </c>
      <c r="L389" s="128">
        <v>18.0</v>
      </c>
      <c r="M389" s="128">
        <v>1100.1383988662983</v>
      </c>
      <c r="N389" s="44" t="s">
        <v>92</v>
      </c>
      <c r="O389" s="128">
        <v>1113.9569723816005</v>
      </c>
      <c r="P389" s="128">
        <v>21.0</v>
      </c>
      <c r="Q389" s="128">
        <v>1109.636391382507</v>
      </c>
      <c r="V389" s="44" t="s">
        <v>98</v>
      </c>
      <c r="W389" s="128">
        <v>881.9629382550212</v>
      </c>
      <c r="X389" s="128">
        <v>19.0</v>
      </c>
      <c r="Y389" s="128">
        <v>886.972925446433</v>
      </c>
      <c r="Z389" s="44" t="s">
        <v>110</v>
      </c>
      <c r="AA389" s="128">
        <v>898.2641961943654</v>
      </c>
      <c r="AB389" s="128">
        <v>10.0</v>
      </c>
      <c r="AC389" s="128">
        <v>899.2889940208584</v>
      </c>
      <c r="AD389" s="44" t="s">
        <v>78</v>
      </c>
      <c r="AE389" s="128">
        <v>944.8623086486125</v>
      </c>
      <c r="AF389" s="128">
        <v>16.0</v>
      </c>
      <c r="AG389" s="128">
        <v>948.389621258499</v>
      </c>
      <c r="AH389" s="44" t="s">
        <v>23</v>
      </c>
      <c r="AI389" s="128">
        <v>1554.2877266518299</v>
      </c>
      <c r="AJ389" s="128">
        <v>35.0</v>
      </c>
      <c r="AK389" s="128">
        <v>1565.7256290240384</v>
      </c>
      <c r="AP389" s="128">
        <v>12.0</v>
      </c>
      <c r="AQ389" s="128">
        <v>16.0</v>
      </c>
      <c r="AT389" s="44">
        <v>388.0</v>
      </c>
      <c r="AU389" s="44"/>
      <c r="AW389" s="93"/>
      <c r="AY389" s="93"/>
      <c r="AZ389" s="93"/>
      <c r="BA389" s="93"/>
      <c r="BB389" s="155"/>
      <c r="BC389" s="93"/>
      <c r="BE389" s="93"/>
      <c r="BG389" s="93"/>
      <c r="BH389" s="93"/>
      <c r="BI389" s="93"/>
      <c r="BJ389" s="155"/>
      <c r="BK389" s="93"/>
    </row>
    <row r="390">
      <c r="A390" s="166">
        <v>44290.87443172454</v>
      </c>
      <c r="B390" s="44" t="s">
        <v>90</v>
      </c>
      <c r="C390" s="128">
        <v>972.7307273692637</v>
      </c>
      <c r="D390" s="128">
        <v>10.0</v>
      </c>
      <c r="E390" s="128">
        <v>965.898847437192</v>
      </c>
      <c r="F390" s="44" t="s">
        <v>47</v>
      </c>
      <c r="G390" s="128">
        <v>1086.4594149479556</v>
      </c>
      <c r="H390" s="128">
        <v>13.0</v>
      </c>
      <c r="I390" s="128">
        <v>1080.6214727076247</v>
      </c>
      <c r="J390" s="44" t="s">
        <v>107</v>
      </c>
      <c r="K390" s="128">
        <v>1100.1383988662983</v>
      </c>
      <c r="L390" s="128">
        <v>20.0</v>
      </c>
      <c r="M390" s="128">
        <v>1096.9143885221122</v>
      </c>
      <c r="N390" s="44" t="s">
        <v>92</v>
      </c>
      <c r="O390" s="128">
        <v>1109.636391382507</v>
      </c>
      <c r="P390" s="128">
        <v>23.0</v>
      </c>
      <c r="Q390" s="128">
        <v>1107.5302238990957</v>
      </c>
      <c r="V390" s="44" t="s">
        <v>98</v>
      </c>
      <c r="W390" s="128">
        <v>886.972925446433</v>
      </c>
      <c r="X390" s="128">
        <v>23.0</v>
      </c>
      <c r="Y390" s="128">
        <v>891.6585763864937</v>
      </c>
      <c r="Z390" s="44" t="s">
        <v>110</v>
      </c>
      <c r="AA390" s="128">
        <v>899.2889940208584</v>
      </c>
      <c r="AB390" s="128">
        <v>16.0</v>
      </c>
      <c r="AC390" s="128">
        <v>901.3147115668854</v>
      </c>
      <c r="AD390" s="44" t="s">
        <v>78</v>
      </c>
      <c r="AE390" s="128">
        <v>948.389621258499</v>
      </c>
      <c r="AF390" s="128">
        <v>19.0</v>
      </c>
      <c r="AG390" s="128">
        <v>951.4149507983682</v>
      </c>
      <c r="AH390" s="44" t="s">
        <v>23</v>
      </c>
      <c r="AI390" s="128">
        <v>1565.7256290240384</v>
      </c>
      <c r="AJ390" s="128">
        <v>34.0</v>
      </c>
      <c r="AK390" s="128">
        <v>1573.9889309980815</v>
      </c>
      <c r="AP390" s="128">
        <v>10.0</v>
      </c>
      <c r="AQ390" s="128">
        <v>18.0</v>
      </c>
      <c r="AT390" s="44">
        <v>389.0</v>
      </c>
      <c r="AU390" s="44"/>
      <c r="AW390" s="93"/>
      <c r="AY390" s="93"/>
      <c r="AZ390" s="93"/>
      <c r="BA390" s="93"/>
      <c r="BB390" s="155"/>
      <c r="BC390" s="93"/>
      <c r="BE390" s="93"/>
      <c r="BG390" s="93"/>
      <c r="BH390" s="93"/>
      <c r="BI390" s="93"/>
      <c r="BJ390" s="155"/>
      <c r="BK390" s="93"/>
    </row>
    <row r="391">
      <c r="A391" s="166">
        <v>44290.94967267361</v>
      </c>
      <c r="B391" s="44" t="s">
        <v>98</v>
      </c>
      <c r="C391" s="128">
        <v>891.6585763864937</v>
      </c>
      <c r="D391" s="128">
        <v>17.0</v>
      </c>
      <c r="E391" s="128">
        <v>894.6336245008553</v>
      </c>
      <c r="F391" s="44" t="s">
        <v>58</v>
      </c>
      <c r="G391" s="128">
        <v>965.5137058794795</v>
      </c>
      <c r="H391" s="128">
        <v>20.0</v>
      </c>
      <c r="I391" s="128">
        <v>969.2932074810385</v>
      </c>
      <c r="J391" s="44" t="s">
        <v>90</v>
      </c>
      <c r="K391" s="128">
        <v>965.898847437192</v>
      </c>
      <c r="L391" s="128">
        <v>21.0</v>
      </c>
      <c r="M391" s="128">
        <v>969.9902477935925</v>
      </c>
      <c r="N391" s="44" t="s">
        <v>31</v>
      </c>
      <c r="O391" s="128">
        <v>1504.188572487113</v>
      </c>
      <c r="P391" s="128">
        <v>22.0</v>
      </c>
      <c r="Q391" s="128">
        <v>1508.342622414792</v>
      </c>
      <c r="V391" s="44" t="s">
        <v>112</v>
      </c>
      <c r="W391" s="128">
        <v>1025.839850605486</v>
      </c>
      <c r="X391" s="128">
        <v>18.0</v>
      </c>
      <c r="Y391" s="128">
        <v>1022.1202532070421</v>
      </c>
      <c r="Z391" s="44" t="s">
        <v>248</v>
      </c>
      <c r="AA391" s="128">
        <v>1026.6063395156675</v>
      </c>
      <c r="AB391" s="128">
        <v>11.0</v>
      </c>
      <c r="AC391" s="128">
        <v>1020.6984315615554</v>
      </c>
      <c r="AD391" s="44" t="s">
        <v>47</v>
      </c>
      <c r="AE391" s="128">
        <v>1080.6214727076247</v>
      </c>
      <c r="AF391" s="128">
        <v>20.0</v>
      </c>
      <c r="AG391" s="128">
        <v>1077.4763202199165</v>
      </c>
      <c r="AH391" s="44" t="s">
        <v>92</v>
      </c>
      <c r="AI391" s="128">
        <v>1107.5302238990957</v>
      </c>
      <c r="AJ391" s="128">
        <v>23.0</v>
      </c>
      <c r="AK391" s="128">
        <v>1105.30288173936</v>
      </c>
      <c r="AP391" s="128">
        <v>17.0</v>
      </c>
      <c r="AQ391" s="128">
        <v>11.0</v>
      </c>
      <c r="AT391" s="44">
        <v>390.0</v>
      </c>
      <c r="AU391" s="44"/>
      <c r="AW391" s="93"/>
      <c r="AY391" s="93"/>
      <c r="AZ391" s="93"/>
      <c r="BA391" s="93"/>
      <c r="BB391" s="155"/>
      <c r="BC391" s="93"/>
      <c r="BE391" s="93"/>
      <c r="BG391" s="93"/>
      <c r="BH391" s="93"/>
      <c r="BI391" s="93"/>
      <c r="BJ391" s="155"/>
      <c r="BK391" s="93"/>
    </row>
    <row r="392">
      <c r="A392" s="166">
        <v>44290.986279108794</v>
      </c>
      <c r="B392" s="44" t="s">
        <v>98</v>
      </c>
      <c r="C392" s="128">
        <v>894.6336245008553</v>
      </c>
      <c r="D392" s="128">
        <v>20.0</v>
      </c>
      <c r="E392" s="128">
        <v>896.1036317077138</v>
      </c>
      <c r="F392" s="44" t="s">
        <v>78</v>
      </c>
      <c r="G392" s="128">
        <v>951.4149507983682</v>
      </c>
      <c r="H392" s="128">
        <v>17.0</v>
      </c>
      <c r="I392" s="128">
        <v>952.4666842281879</v>
      </c>
      <c r="J392" s="44" t="s">
        <v>58</v>
      </c>
      <c r="K392" s="128">
        <v>969.2932074810385</v>
      </c>
      <c r="L392" s="128">
        <v>19.0</v>
      </c>
      <c r="M392" s="128">
        <v>970.5831107179656</v>
      </c>
      <c r="N392" s="44" t="s">
        <v>31</v>
      </c>
      <c r="O392" s="128">
        <v>1508.342622414792</v>
      </c>
      <c r="P392" s="128">
        <v>27.0</v>
      </c>
      <c r="Q392" s="128">
        <v>1510.5309785411866</v>
      </c>
      <c r="V392" s="44" t="s">
        <v>90</v>
      </c>
      <c r="W392" s="128">
        <v>969.9902477935925</v>
      </c>
      <c r="X392" s="128">
        <v>11.0</v>
      </c>
      <c r="Y392" s="128">
        <v>967.6775212105148</v>
      </c>
      <c r="Z392" s="44" t="s">
        <v>248</v>
      </c>
      <c r="AA392" s="128">
        <v>1020.6984315615554</v>
      </c>
      <c r="AB392" s="128">
        <v>16.0</v>
      </c>
      <c r="AC392" s="128">
        <v>1018.9861939059997</v>
      </c>
      <c r="AD392" s="44" t="s">
        <v>47</v>
      </c>
      <c r="AE392" s="128">
        <v>1077.4763202199165</v>
      </c>
      <c r="AF392" s="128">
        <v>24.0</v>
      </c>
      <c r="AG392" s="128">
        <v>1076.7428960130258</v>
      </c>
      <c r="AH392" s="44" t="s">
        <v>92</v>
      </c>
      <c r="AI392" s="128">
        <v>1105.30288173936</v>
      </c>
      <c r="AJ392" s="128">
        <v>20.0</v>
      </c>
      <c r="AK392" s="128">
        <v>1104.0612701848843</v>
      </c>
      <c r="AP392" s="128">
        <v>15.0</v>
      </c>
      <c r="AQ392" s="128">
        <v>13.0</v>
      </c>
      <c r="AT392" s="44">
        <v>391.0</v>
      </c>
      <c r="AU392" s="44"/>
      <c r="AW392" s="93"/>
      <c r="AY392" s="93"/>
      <c r="AZ392" s="93"/>
      <c r="BA392" s="93"/>
      <c r="BB392" s="155"/>
      <c r="BC392" s="93"/>
      <c r="BE392" s="93"/>
      <c r="BG392" s="93"/>
      <c r="BH392" s="93"/>
      <c r="BI392" s="93"/>
      <c r="BJ392" s="155"/>
      <c r="BK392" s="93"/>
    </row>
    <row r="393">
      <c r="A393" s="166">
        <v>44291.91933467593</v>
      </c>
      <c r="B393" s="44" t="s">
        <v>123</v>
      </c>
      <c r="C393" s="128">
        <v>762.5440377468816</v>
      </c>
      <c r="D393" s="128">
        <v>17.0</v>
      </c>
      <c r="E393" s="128">
        <v>768.5450297872258</v>
      </c>
      <c r="F393" s="44" t="s">
        <v>78</v>
      </c>
      <c r="G393" s="128">
        <v>952.4666842281879</v>
      </c>
      <c r="H393" s="128">
        <v>23.0</v>
      </c>
      <c r="I393" s="128">
        <v>961.2602922886466</v>
      </c>
      <c r="J393" s="44" t="s">
        <v>92</v>
      </c>
      <c r="K393" s="128">
        <v>1104.0612701848843</v>
      </c>
      <c r="L393" s="128">
        <v>21.0</v>
      </c>
      <c r="M393" s="128">
        <v>1111.2666700840814</v>
      </c>
      <c r="N393" s="44"/>
      <c r="O393" s="128"/>
      <c r="P393" s="128"/>
      <c r="Q393" s="128"/>
      <c r="V393" s="44" t="s">
        <v>88</v>
      </c>
      <c r="W393" s="128">
        <v>834.6389331811752</v>
      </c>
      <c r="X393" s="128">
        <v>14.0</v>
      </c>
      <c r="Y393" s="128">
        <v>826.4055388524623</v>
      </c>
      <c r="Z393" s="44" t="s">
        <v>61</v>
      </c>
      <c r="AA393" s="128">
        <v>937.1736779354777</v>
      </c>
      <c r="AB393" s="128">
        <v>20.0</v>
      </c>
      <c r="AC393" s="128">
        <v>932.2688692124391</v>
      </c>
      <c r="AD393" s="44" t="s">
        <v>47</v>
      </c>
      <c r="AE393" s="128">
        <v>1076.7428960130258</v>
      </c>
      <c r="AF393" s="128">
        <v>14.0</v>
      </c>
      <c r="AG393" s="128">
        <v>1067.8810990647773</v>
      </c>
      <c r="AH393" s="44"/>
      <c r="AI393" s="128"/>
      <c r="AJ393" s="128"/>
      <c r="AK393" s="128"/>
      <c r="AP393" s="128">
        <v>16.0</v>
      </c>
      <c r="AQ393" s="128">
        <v>12.0</v>
      </c>
      <c r="AT393" s="44">
        <v>392.0</v>
      </c>
      <c r="AU393" s="44"/>
      <c r="AW393" s="93"/>
      <c r="AY393" s="93"/>
      <c r="AZ393" s="93"/>
      <c r="BA393" s="93"/>
      <c r="BB393" s="155"/>
      <c r="BC393" s="93"/>
      <c r="BE393" s="93"/>
      <c r="BG393" s="93"/>
      <c r="BH393" s="93"/>
      <c r="BI393" s="93"/>
      <c r="BJ393" s="155"/>
      <c r="BK393" s="93"/>
    </row>
    <row r="394">
      <c r="A394" s="166">
        <v>44291.96496494213</v>
      </c>
      <c r="B394" s="44" t="s">
        <v>123</v>
      </c>
      <c r="C394" s="128">
        <v>768.5450297872258</v>
      </c>
      <c r="D394" s="128">
        <v>25.0</v>
      </c>
      <c r="E394" s="128">
        <v>772.3144747779533</v>
      </c>
      <c r="F394" s="44" t="s">
        <v>88</v>
      </c>
      <c r="G394" s="128">
        <v>826.4055388524623</v>
      </c>
      <c r="H394" s="128">
        <v>7.0</v>
      </c>
      <c r="I394" s="128">
        <v>826.4155388524623</v>
      </c>
      <c r="J394" s="44" t="s">
        <v>47</v>
      </c>
      <c r="K394" s="128">
        <v>1067.8810990647773</v>
      </c>
      <c r="L394" s="128">
        <v>29.0</v>
      </c>
      <c r="M394" s="128">
        <v>1072.0944040401203</v>
      </c>
      <c r="N394" s="44" t="s">
        <v>92</v>
      </c>
      <c r="O394" s="128">
        <v>1111.2666700840814</v>
      </c>
      <c r="P394" s="128">
        <v>19.0</v>
      </c>
      <c r="Q394" s="128">
        <v>1113.3714388532342</v>
      </c>
      <c r="V394" s="44" t="s">
        <v>121</v>
      </c>
      <c r="W394" s="128">
        <v>848.1500809277678</v>
      </c>
      <c r="X394" s="128">
        <v>12.0</v>
      </c>
      <c r="Y394" s="128">
        <v>844.3121118374984</v>
      </c>
      <c r="Z394" s="44" t="s">
        <v>100</v>
      </c>
      <c r="AA394" s="128">
        <v>955.2164870122512</v>
      </c>
      <c r="AB394" s="128">
        <v>17.0</v>
      </c>
      <c r="AC394" s="128">
        <v>952.2823274930108</v>
      </c>
      <c r="AD394" s="44" t="s">
        <v>78</v>
      </c>
      <c r="AE394" s="128">
        <v>961.2602922886466</v>
      </c>
      <c r="AF394" s="128">
        <v>25.0</v>
      </c>
      <c r="AG394" s="128">
        <v>959.9864844066352</v>
      </c>
      <c r="AH394" s="44" t="s">
        <v>112</v>
      </c>
      <c r="AI394" s="128">
        <v>1022.1202532070421</v>
      </c>
      <c r="AJ394" s="128">
        <v>22.0</v>
      </c>
      <c r="AK394" s="128">
        <v>1020.1661896985631</v>
      </c>
      <c r="AP394" s="128">
        <v>15.0</v>
      </c>
      <c r="AQ394" s="128">
        <v>13.0</v>
      </c>
      <c r="AT394" s="44">
        <v>393.0</v>
      </c>
      <c r="AU394" s="44"/>
      <c r="AW394" s="93"/>
      <c r="AY394" s="93"/>
      <c r="AZ394" s="93"/>
      <c r="BA394" s="93"/>
      <c r="BB394" s="155"/>
      <c r="BC394" s="93"/>
      <c r="BE394" s="93"/>
      <c r="BG394" s="93"/>
      <c r="BH394" s="93"/>
      <c r="BI394" s="93"/>
      <c r="BJ394" s="155"/>
      <c r="BK394" s="93"/>
    </row>
    <row r="395">
      <c r="A395" s="166">
        <v>44292.00458894676</v>
      </c>
      <c r="B395" s="44" t="s">
        <v>127</v>
      </c>
      <c r="C395" s="128">
        <v>602.274990929842</v>
      </c>
      <c r="D395" s="128">
        <v>5.0</v>
      </c>
      <c r="E395" s="128">
        <v>602.284990929842</v>
      </c>
      <c r="F395" s="44" t="s">
        <v>123</v>
      </c>
      <c r="G395" s="128">
        <v>772.3144747779533</v>
      </c>
      <c r="H395" s="128">
        <v>26.0</v>
      </c>
      <c r="I395" s="128">
        <v>779.9439105576303</v>
      </c>
      <c r="J395" s="44" t="s">
        <v>90</v>
      </c>
      <c r="K395" s="128">
        <v>967.6775212105148</v>
      </c>
      <c r="L395" s="128">
        <v>25.0</v>
      </c>
      <c r="M395" s="128">
        <v>974.2751275392799</v>
      </c>
      <c r="N395" s="44" t="s">
        <v>112</v>
      </c>
      <c r="O395" s="128">
        <v>1020.1661896985631</v>
      </c>
      <c r="P395" s="128">
        <v>24.0</v>
      </c>
      <c r="Q395" s="128">
        <v>1026.2428721078559</v>
      </c>
      <c r="V395" s="44" t="s">
        <v>129</v>
      </c>
      <c r="W395" s="128">
        <v>741.0324170378914</v>
      </c>
      <c r="X395" s="128">
        <v>15.0</v>
      </c>
      <c r="Y395" s="128">
        <v>735.304485646582</v>
      </c>
      <c r="Z395" s="44" t="s">
        <v>88</v>
      </c>
      <c r="AA395" s="128">
        <v>826.4155388524623</v>
      </c>
      <c r="AB395" s="128">
        <v>23.0</v>
      </c>
      <c r="AC395" s="128">
        <v>823.728072751356</v>
      </c>
      <c r="AD395" s="44" t="s">
        <v>121</v>
      </c>
      <c r="AE395" s="128">
        <v>844.3121118374984</v>
      </c>
      <c r="AF395" s="128">
        <v>10.0</v>
      </c>
      <c r="AG395" s="128">
        <v>836.1541109461582</v>
      </c>
      <c r="AH395" s="44" t="s">
        <v>100</v>
      </c>
      <c r="AI395" s="128">
        <v>952.2823274930108</v>
      </c>
      <c r="AJ395" s="128">
        <v>22.0</v>
      </c>
      <c r="AK395" s="128">
        <v>948.8557258767668</v>
      </c>
      <c r="AP395" s="128">
        <v>16.0</v>
      </c>
      <c r="AQ395" s="128">
        <v>12.0</v>
      </c>
      <c r="AS395" s="44" t="s">
        <v>232</v>
      </c>
      <c r="AT395" s="44">
        <v>394.0</v>
      </c>
      <c r="AU395" s="44"/>
      <c r="AW395" s="93"/>
      <c r="AY395" s="93"/>
      <c r="AZ395" s="93"/>
      <c r="BA395" s="93"/>
      <c r="BB395" s="155"/>
      <c r="BC395" s="93"/>
      <c r="BE395" s="93"/>
      <c r="BG395" s="93"/>
      <c r="BH395" s="93"/>
      <c r="BI395" s="93"/>
      <c r="BJ395" s="155"/>
      <c r="BK395" s="93"/>
    </row>
    <row r="396">
      <c r="A396" s="166">
        <v>44292.009217638886</v>
      </c>
      <c r="B396" s="44" t="s">
        <v>447</v>
      </c>
      <c r="C396" s="128">
        <v>1018.5219852678482</v>
      </c>
      <c r="D396" s="128">
        <v>21.0</v>
      </c>
      <c r="E396" s="128">
        <v>1021.2255427401644</v>
      </c>
      <c r="F396" s="44" t="s">
        <v>47</v>
      </c>
      <c r="G396" s="128">
        <v>1072.0944040401203</v>
      </c>
      <c r="H396" s="128">
        <v>17.0</v>
      </c>
      <c r="I396" s="128">
        <v>1073.9856893616798</v>
      </c>
      <c r="J396" s="44" t="s">
        <v>31</v>
      </c>
      <c r="K396" s="128">
        <v>1510.5309785411866</v>
      </c>
      <c r="L396" s="128">
        <v>20.0</v>
      </c>
      <c r="M396" s="128">
        <v>1512.936135747311</v>
      </c>
      <c r="N396" s="44"/>
      <c r="O396" s="128"/>
      <c r="P396" s="128"/>
      <c r="Q396" s="128"/>
      <c r="V396" s="44" t="s">
        <v>245</v>
      </c>
      <c r="W396" s="128">
        <v>1080.72</v>
      </c>
      <c r="X396" s="128">
        <v>18.0</v>
      </c>
      <c r="Y396" s="128">
        <v>1078.3346485124734</v>
      </c>
      <c r="Z396" s="44" t="s">
        <v>92</v>
      </c>
      <c r="AA396" s="128">
        <v>1113.3714388532342</v>
      </c>
      <c r="AB396" s="128">
        <v>8.0</v>
      </c>
      <c r="AC396" s="128">
        <v>1109.0268182343002</v>
      </c>
      <c r="AD396" s="44" t="s">
        <v>27</v>
      </c>
      <c r="AE396" s="128">
        <v>1136.3973450902472</v>
      </c>
      <c r="AF396" s="128">
        <v>29.0</v>
      </c>
      <c r="AG396" s="128">
        <v>1136.1273171967075</v>
      </c>
      <c r="AH396" s="44"/>
      <c r="AI396" s="128"/>
      <c r="AJ396" s="128"/>
      <c r="AK396" s="128"/>
      <c r="AP396" s="128">
        <v>16.0</v>
      </c>
      <c r="AQ396" s="128">
        <v>12.0</v>
      </c>
      <c r="AT396" s="44">
        <v>395.0</v>
      </c>
      <c r="AU396" s="44"/>
      <c r="AW396" s="93"/>
      <c r="AY396" s="93"/>
      <c r="AZ396" s="93"/>
      <c r="BA396" s="93"/>
      <c r="BB396" s="155"/>
      <c r="BC396" s="93"/>
      <c r="BE396" s="93"/>
      <c r="BG396" s="93"/>
      <c r="BH396" s="93"/>
      <c r="BI396" s="93"/>
      <c r="BJ396" s="155"/>
      <c r="BK396" s="93"/>
    </row>
    <row r="397">
      <c r="A397" s="166">
        <v>44292.0555271875</v>
      </c>
      <c r="B397" s="44" t="s">
        <v>100</v>
      </c>
      <c r="C397" s="128">
        <v>948.8557258767668</v>
      </c>
      <c r="D397" s="128">
        <v>16.0</v>
      </c>
      <c r="E397" s="128">
        <v>951.4505477286633</v>
      </c>
      <c r="F397" s="44" t="s">
        <v>447</v>
      </c>
      <c r="G397" s="128">
        <v>1021.2255427401644</v>
      </c>
      <c r="H397" s="128">
        <v>35.0</v>
      </c>
      <c r="I397" s="128">
        <v>1035.596320012415</v>
      </c>
      <c r="J397" s="44" t="s">
        <v>47</v>
      </c>
      <c r="K397" s="128">
        <v>1073.9856893616798</v>
      </c>
      <c r="L397" s="128">
        <v>20.0</v>
      </c>
      <c r="M397" s="128">
        <v>1078.7174475446213</v>
      </c>
      <c r="N397" s="44" t="s">
        <v>245</v>
      </c>
      <c r="O397" s="128">
        <v>1078.3346485124734</v>
      </c>
      <c r="P397" s="128">
        <v>22.0</v>
      </c>
      <c r="Q397" s="128">
        <v>1084.3232961879226</v>
      </c>
      <c r="R397" s="44" t="s">
        <v>27</v>
      </c>
      <c r="S397" s="128">
        <v>1136.1273171967075</v>
      </c>
      <c r="T397" s="128">
        <v>29.0</v>
      </c>
      <c r="U397" s="128">
        <v>1146.4413122141698</v>
      </c>
      <c r="V397" s="44" t="s">
        <v>123</v>
      </c>
      <c r="W397" s="128">
        <v>779.9439105576303</v>
      </c>
      <c r="X397" s="128">
        <v>3.0</v>
      </c>
      <c r="Y397" s="128">
        <v>765.1875287212935</v>
      </c>
      <c r="Z397" s="44" t="s">
        <v>88</v>
      </c>
      <c r="AA397" s="128">
        <v>823.728072751356</v>
      </c>
      <c r="AB397" s="128">
        <v>8.0</v>
      </c>
      <c r="AC397" s="128">
        <v>811.9560472366729</v>
      </c>
      <c r="AD397" s="44" t="s">
        <v>112</v>
      </c>
      <c r="AE397" s="128">
        <v>1026.2428721078559</v>
      </c>
      <c r="AF397" s="128">
        <v>25.0</v>
      </c>
      <c r="AG397" s="128">
        <v>1024.6535062197495</v>
      </c>
      <c r="AH397" s="44" t="s">
        <v>107</v>
      </c>
      <c r="AI397" s="128">
        <v>1096.9143885221122</v>
      </c>
      <c r="AJ397" s="128">
        <v>7.0</v>
      </c>
      <c r="AK397" s="128">
        <v>1083.814783240973</v>
      </c>
      <c r="AL397" s="44" t="s">
        <v>31</v>
      </c>
      <c r="AM397" s="128">
        <v>1512.936135747311</v>
      </c>
      <c r="AN397" s="128">
        <v>33.0</v>
      </c>
      <c r="AO397" s="128">
        <v>1516.1535142675764</v>
      </c>
      <c r="AP397" s="128">
        <v>20.0</v>
      </c>
      <c r="AQ397" s="128">
        <v>8.0</v>
      </c>
      <c r="AS397" s="44" t="s">
        <v>268</v>
      </c>
      <c r="AT397" s="44">
        <v>396.0</v>
      </c>
      <c r="AU397" s="44"/>
      <c r="AW397" s="93"/>
      <c r="AY397" s="93"/>
      <c r="AZ397" s="93"/>
      <c r="BA397" s="93"/>
      <c r="BB397" s="155"/>
      <c r="BC397" s="93"/>
      <c r="BE397" s="93"/>
      <c r="BG397" s="93"/>
      <c r="BH397" s="93"/>
      <c r="BI397" s="93"/>
      <c r="BJ397" s="155"/>
      <c r="BK397" s="93"/>
    </row>
    <row r="398">
      <c r="A398" s="166">
        <v>44292.989829768514</v>
      </c>
      <c r="B398" s="44" t="s">
        <v>123</v>
      </c>
      <c r="C398" s="128">
        <v>765.1875287212935</v>
      </c>
      <c r="D398" s="128">
        <v>18.0</v>
      </c>
      <c r="E398" s="128">
        <v>761.1852606642381</v>
      </c>
      <c r="F398" s="44" t="s">
        <v>248</v>
      </c>
      <c r="G398" s="128">
        <v>1018.9861939059997</v>
      </c>
      <c r="H398" s="128">
        <v>39.0</v>
      </c>
      <c r="I398" s="128">
        <v>1018.4672847465448</v>
      </c>
      <c r="J398" s="44" t="s">
        <v>112</v>
      </c>
      <c r="K398" s="128">
        <v>1024.6535062197495</v>
      </c>
      <c r="L398" s="128">
        <v>35.0</v>
      </c>
      <c r="M398" s="128">
        <v>1023.3785347448609</v>
      </c>
      <c r="N398" s="44" t="s">
        <v>107</v>
      </c>
      <c r="O398" s="128">
        <v>1083.814783240973</v>
      </c>
      <c r="P398" s="128">
        <v>25.0</v>
      </c>
      <c r="Q398" s="128">
        <v>1080.6109319323718</v>
      </c>
      <c r="V398" s="44" t="s">
        <v>88</v>
      </c>
      <c r="W398" s="128">
        <v>811.9560472366729</v>
      </c>
      <c r="X398" s="128">
        <v>34.0</v>
      </c>
      <c r="Y398" s="128">
        <v>815.439253491186</v>
      </c>
      <c r="Z398" s="44" t="s">
        <v>34</v>
      </c>
      <c r="AA398" s="128">
        <v>910.9815761138627</v>
      </c>
      <c r="AB398" s="128">
        <v>25.0</v>
      </c>
      <c r="AC398" s="128">
        <v>912.5865352500224</v>
      </c>
      <c r="AD398" s="44" t="s">
        <v>47</v>
      </c>
      <c r="AE398" s="128">
        <v>1078.7174475446213</v>
      </c>
      <c r="AF398" s="128">
        <v>30.0</v>
      </c>
      <c r="AG398" s="128">
        <v>1081.0592053141402</v>
      </c>
      <c r="AH398" s="44" t="s">
        <v>92</v>
      </c>
      <c r="AI398" s="128">
        <v>1109.0268182343002</v>
      </c>
      <c r="AJ398" s="128">
        <v>26.0</v>
      </c>
      <c r="AK398" s="128">
        <v>1110.5968950741085</v>
      </c>
      <c r="AP398" s="128">
        <v>20.0</v>
      </c>
      <c r="AQ398" s="128">
        <v>22.0</v>
      </c>
      <c r="AT398" s="44">
        <v>397.0</v>
      </c>
      <c r="AU398" s="44"/>
      <c r="AW398" s="93"/>
      <c r="AY398" s="93"/>
      <c r="AZ398" s="93"/>
      <c r="BA398" s="93"/>
      <c r="BB398" s="155"/>
      <c r="BC398" s="93"/>
      <c r="BE398" s="93"/>
      <c r="BG398" s="93"/>
      <c r="BH398" s="93"/>
      <c r="BI398" s="93"/>
      <c r="BJ398" s="155"/>
      <c r="BK398" s="93"/>
    </row>
    <row r="399">
      <c r="A399" s="166">
        <v>44293.932385</v>
      </c>
      <c r="B399" s="44" t="s">
        <v>110</v>
      </c>
      <c r="C399" s="128">
        <v>901.3147115668854</v>
      </c>
      <c r="D399" s="128">
        <v>20.0</v>
      </c>
      <c r="E399" s="128">
        <v>903.4698439844509</v>
      </c>
      <c r="F399" s="44" t="s">
        <v>92</v>
      </c>
      <c r="G399" s="128">
        <v>1110.5968950741085</v>
      </c>
      <c r="H399" s="128">
        <v>14.0</v>
      </c>
      <c r="I399" s="128">
        <v>1111.6088350142998</v>
      </c>
      <c r="J399" s="44" t="s">
        <v>27</v>
      </c>
      <c r="K399" s="128">
        <v>1146.4413122141698</v>
      </c>
      <c r="L399" s="128">
        <v>25.0</v>
      </c>
      <c r="M399" s="128">
        <v>1149.274239856413</v>
      </c>
      <c r="N399" s="44"/>
      <c r="O399" s="128"/>
      <c r="P399" s="128"/>
      <c r="Q399" s="128"/>
      <c r="V399" s="44" t="s">
        <v>98</v>
      </c>
      <c r="W399" s="128">
        <v>896.1036317077138</v>
      </c>
      <c r="X399" s="128">
        <v>18.0</v>
      </c>
      <c r="Y399" s="128">
        <v>894.1235165799856</v>
      </c>
      <c r="Z399" s="44" t="s">
        <v>112</v>
      </c>
      <c r="AA399" s="128">
        <v>1023.3785347448609</v>
      </c>
      <c r="AB399" s="128">
        <v>22.0</v>
      </c>
      <c r="AC399" s="128">
        <v>1021.9665514180625</v>
      </c>
      <c r="AD399" s="44" t="s">
        <v>47</v>
      </c>
      <c r="AE399" s="128">
        <v>1081.0592053141402</v>
      </c>
      <c r="AF399" s="128">
        <v>15.0</v>
      </c>
      <c r="AG399" s="128">
        <v>1078.4513037686668</v>
      </c>
      <c r="AH399" s="44"/>
      <c r="AI399" s="128"/>
      <c r="AJ399" s="128"/>
      <c r="AK399" s="128"/>
      <c r="AP399" s="128">
        <v>15.0</v>
      </c>
      <c r="AQ399" s="128">
        <v>13.0</v>
      </c>
      <c r="AT399" s="44">
        <v>398.0</v>
      </c>
      <c r="AU399" s="44"/>
      <c r="AW399" s="93"/>
      <c r="AY399" s="93"/>
      <c r="AZ399" s="93"/>
      <c r="BA399" s="93"/>
      <c r="BB399" s="155"/>
      <c r="BC399" s="93"/>
      <c r="BE399" s="93"/>
      <c r="BG399" s="93"/>
      <c r="BH399" s="93"/>
      <c r="BI399" s="93"/>
      <c r="BJ399" s="155"/>
      <c r="BK399" s="93"/>
    </row>
    <row r="400">
      <c r="A400" s="166">
        <v>44293.968282511574</v>
      </c>
      <c r="B400" s="44" t="s">
        <v>110</v>
      </c>
      <c r="C400" s="128">
        <v>903.4698439844509</v>
      </c>
      <c r="D400" s="128">
        <v>25.0</v>
      </c>
      <c r="E400" s="128">
        <v>914.3028269865149</v>
      </c>
      <c r="F400" s="44" t="s">
        <v>92</v>
      </c>
      <c r="G400" s="128">
        <v>1111.6088350142998</v>
      </c>
      <c r="H400" s="128">
        <v>17.0</v>
      </c>
      <c r="I400" s="128">
        <v>1117.297327631493</v>
      </c>
      <c r="J400" s="44" t="s">
        <v>27</v>
      </c>
      <c r="K400" s="128">
        <v>1149.274239856413</v>
      </c>
      <c r="L400" s="128">
        <v>15.0</v>
      </c>
      <c r="M400" s="128">
        <v>1153.7527642371558</v>
      </c>
      <c r="N400" s="44"/>
      <c r="O400" s="128"/>
      <c r="P400" s="128"/>
      <c r="Q400" s="128"/>
      <c r="V400" s="44" t="s">
        <v>112</v>
      </c>
      <c r="W400" s="128">
        <v>1021.9665514180625</v>
      </c>
      <c r="X400" s="128">
        <v>20.0</v>
      </c>
      <c r="Y400" s="128">
        <v>1016.972535946675</v>
      </c>
      <c r="Z400" s="44" t="s">
        <v>47</v>
      </c>
      <c r="AA400" s="128">
        <v>1078.4513037686668</v>
      </c>
      <c r="AB400" s="128">
        <v>13.0</v>
      </c>
      <c r="AC400" s="128">
        <v>1069.2831231264186</v>
      </c>
      <c r="AD400" s="44" t="s">
        <v>107</v>
      </c>
      <c r="AE400" s="128">
        <v>1080.6109319323718</v>
      </c>
      <c r="AF400" s="128">
        <v>17.0</v>
      </c>
      <c r="AG400" s="128">
        <v>1073.7731280460077</v>
      </c>
      <c r="AH400" s="44"/>
      <c r="AI400" s="128"/>
      <c r="AJ400" s="128"/>
      <c r="AK400" s="128"/>
      <c r="AP400" s="128">
        <v>16.0</v>
      </c>
      <c r="AQ400" s="128">
        <v>12.0</v>
      </c>
      <c r="AT400" s="44">
        <v>399.0</v>
      </c>
      <c r="AU400" s="44"/>
      <c r="AW400" s="93"/>
      <c r="AY400" s="93"/>
      <c r="AZ400" s="93"/>
      <c r="BA400" s="93"/>
      <c r="BB400" s="155"/>
      <c r="BC400" s="93"/>
      <c r="BE400" s="93"/>
      <c r="BG400" s="93"/>
      <c r="BH400" s="93"/>
      <c r="BI400" s="93"/>
      <c r="BJ400" s="155"/>
      <c r="BK400" s="93"/>
    </row>
    <row r="401">
      <c r="A401" s="166">
        <v>44294.00235380787</v>
      </c>
      <c r="B401" s="44" t="s">
        <v>110</v>
      </c>
      <c r="C401" s="128">
        <v>914.3028269865149</v>
      </c>
      <c r="D401" s="128">
        <v>21.0</v>
      </c>
      <c r="E401" s="128">
        <v>908.9709691031019</v>
      </c>
      <c r="F401" s="44" t="s">
        <v>92</v>
      </c>
      <c r="G401" s="128">
        <v>1117.297327631493</v>
      </c>
      <c r="H401" s="128">
        <v>18.0</v>
      </c>
      <c r="I401" s="128">
        <v>1109.774795898211</v>
      </c>
      <c r="J401" s="44" t="s">
        <v>27</v>
      </c>
      <c r="K401" s="128">
        <v>1153.7527642371558</v>
      </c>
      <c r="L401" s="128">
        <v>17.0</v>
      </c>
      <c r="M401" s="128">
        <v>1145.6071538538508</v>
      </c>
      <c r="N401" s="44"/>
      <c r="O401" s="128"/>
      <c r="P401" s="128"/>
      <c r="Q401" s="128"/>
      <c r="V401" s="44" t="s">
        <v>112</v>
      </c>
      <c r="W401" s="128">
        <v>1016.972535946675</v>
      </c>
      <c r="X401" s="128">
        <v>32.0</v>
      </c>
      <c r="Y401" s="128">
        <v>1031.045008759187</v>
      </c>
      <c r="Z401" s="44" t="s">
        <v>47</v>
      </c>
      <c r="AA401" s="128">
        <v>1069.2831231264186</v>
      </c>
      <c r="AB401" s="128">
        <v>8.0</v>
      </c>
      <c r="AC401" s="128">
        <v>1069.2507507255032</v>
      </c>
      <c r="AD401" s="44" t="s">
        <v>107</v>
      </c>
      <c r="AE401" s="128">
        <v>1073.7731280460077</v>
      </c>
      <c r="AF401" s="128">
        <v>20.0</v>
      </c>
      <c r="AG401" s="128">
        <v>1080.733027634411</v>
      </c>
      <c r="AH401" s="44"/>
      <c r="AI401" s="128"/>
      <c r="AJ401" s="128"/>
      <c r="AK401" s="128"/>
      <c r="AP401" s="128">
        <v>11.0</v>
      </c>
      <c r="AQ401" s="128">
        <v>17.0</v>
      </c>
      <c r="AS401" s="44" t="s">
        <v>287</v>
      </c>
      <c r="AT401" s="44">
        <v>400.0</v>
      </c>
      <c r="AU401" s="44"/>
      <c r="AW401" s="93"/>
      <c r="AY401" s="93"/>
      <c r="AZ401" s="93"/>
      <c r="BA401" s="93"/>
      <c r="BB401" s="155"/>
      <c r="BC401" s="93"/>
      <c r="BE401" s="93"/>
      <c r="BG401" s="93"/>
      <c r="BH401" s="93"/>
      <c r="BI401" s="93"/>
      <c r="BJ401" s="155"/>
      <c r="BK401" s="93"/>
    </row>
    <row r="402">
      <c r="A402" s="166">
        <v>44294.93366086806</v>
      </c>
      <c r="B402" s="44" t="s">
        <v>123</v>
      </c>
      <c r="C402" s="128">
        <v>761.1852606642381</v>
      </c>
      <c r="D402" s="128">
        <v>20.0</v>
      </c>
      <c r="E402" s="128">
        <v>767.9866367049439</v>
      </c>
      <c r="F402" s="44" t="s">
        <v>110</v>
      </c>
      <c r="G402" s="128">
        <v>908.9709691031019</v>
      </c>
      <c r="H402" s="128">
        <v>20.0</v>
      </c>
      <c r="I402" s="128">
        <v>914.9164533505683</v>
      </c>
      <c r="J402" s="44" t="s">
        <v>112</v>
      </c>
      <c r="K402" s="128">
        <v>1031.045008759187</v>
      </c>
      <c r="L402" s="128">
        <v>21.0</v>
      </c>
      <c r="M402" s="128">
        <v>1037.1895238184213</v>
      </c>
      <c r="N402" s="44" t="s">
        <v>27</v>
      </c>
      <c r="O402" s="128">
        <v>1145.6071538538508</v>
      </c>
      <c r="P402" s="128">
        <v>16.0</v>
      </c>
      <c r="Q402" s="128">
        <v>1148.2635663410013</v>
      </c>
      <c r="R402" s="44" t="s">
        <v>31</v>
      </c>
      <c r="S402" s="128">
        <v>1516.1535142675764</v>
      </c>
      <c r="T402" s="128">
        <v>39.0</v>
      </c>
      <c r="U402" s="128">
        <v>1533.6057264330195</v>
      </c>
      <c r="V402" s="44" t="s">
        <v>88</v>
      </c>
      <c r="W402" s="128">
        <v>815.439253491186</v>
      </c>
      <c r="X402" s="128">
        <v>17.0</v>
      </c>
      <c r="Y402" s="128">
        <v>808.6737009603239</v>
      </c>
      <c r="Z402" s="44" t="s">
        <v>98</v>
      </c>
      <c r="AA402" s="128">
        <v>894.1235165799856</v>
      </c>
      <c r="AB402" s="128">
        <v>13.0</v>
      </c>
      <c r="AC402" s="128">
        <v>884.4568627526554</v>
      </c>
      <c r="AD402" s="44" t="s">
        <v>486</v>
      </c>
      <c r="AE402" s="128">
        <v>999.8531740183026</v>
      </c>
      <c r="AF402" s="128">
        <v>14.0</v>
      </c>
      <c r="AG402" s="128">
        <v>990.538413569861</v>
      </c>
      <c r="AH402" s="44" t="s">
        <v>47</v>
      </c>
      <c r="AI402" s="128">
        <v>1069.2507507255032</v>
      </c>
      <c r="AJ402" s="128">
        <v>18.0</v>
      </c>
      <c r="AK402" s="128">
        <v>1062.4023949291322</v>
      </c>
      <c r="AL402" s="44" t="s">
        <v>23</v>
      </c>
      <c r="AM402" s="128">
        <v>1573.9889309980815</v>
      </c>
      <c r="AN402" s="128">
        <v>19.0</v>
      </c>
      <c r="AO402" s="128">
        <v>1567.5842536010866</v>
      </c>
      <c r="AP402" s="128">
        <v>21.0</v>
      </c>
      <c r="AQ402" s="128">
        <v>6.0</v>
      </c>
      <c r="AS402" s="44" t="s">
        <v>229</v>
      </c>
      <c r="AT402" s="44">
        <v>401.0</v>
      </c>
      <c r="AU402" s="44"/>
      <c r="AW402" s="93"/>
      <c r="AY402" s="93"/>
      <c r="AZ402" s="93"/>
      <c r="BA402" s="93"/>
      <c r="BB402" s="155"/>
      <c r="BC402" s="93"/>
      <c r="BE402" s="93"/>
      <c r="BG402" s="93"/>
      <c r="BH402" s="93"/>
      <c r="BI402" s="93"/>
      <c r="BJ402" s="155"/>
      <c r="BK402" s="93"/>
    </row>
    <row r="403">
      <c r="A403" s="166">
        <v>44295.00247914351</v>
      </c>
      <c r="B403" s="44" t="s">
        <v>123</v>
      </c>
      <c r="C403" s="128">
        <v>767.9866367049439</v>
      </c>
      <c r="D403" s="128">
        <v>24.0</v>
      </c>
      <c r="E403" s="128">
        <v>763.5470764065869</v>
      </c>
      <c r="F403" s="44" t="s">
        <v>88</v>
      </c>
      <c r="G403" s="128">
        <v>808.6737009603239</v>
      </c>
      <c r="H403" s="128">
        <v>20.0</v>
      </c>
      <c r="I403" s="128">
        <v>802.7427365563595</v>
      </c>
      <c r="J403" s="44" t="s">
        <v>112</v>
      </c>
      <c r="K403" s="128">
        <v>1037.1895238184213</v>
      </c>
      <c r="L403" s="128">
        <v>14.0</v>
      </c>
      <c r="M403" s="128">
        <v>1028.6555053403054</v>
      </c>
      <c r="N403" s="44" t="s">
        <v>27</v>
      </c>
      <c r="O403" s="128">
        <v>1148.2635663410013</v>
      </c>
      <c r="P403" s="128">
        <v>34.0</v>
      </c>
      <c r="Q403" s="128">
        <v>1146.261521400468</v>
      </c>
      <c r="R403" s="44" t="s">
        <v>23</v>
      </c>
      <c r="S403" s="128">
        <v>1567.5842536010866</v>
      </c>
      <c r="T403" s="128">
        <v>43.0</v>
      </c>
      <c r="U403" s="128">
        <v>1567.5742536010866</v>
      </c>
      <c r="V403" s="44" t="s">
        <v>98</v>
      </c>
      <c r="W403" s="128">
        <v>884.4568627526554</v>
      </c>
      <c r="X403" s="128">
        <v>29.0</v>
      </c>
      <c r="Y403" s="128">
        <v>887.7344349177523</v>
      </c>
      <c r="Z403" s="44" t="s">
        <v>110</v>
      </c>
      <c r="AA403" s="128">
        <v>914.9164533505683</v>
      </c>
      <c r="AB403" s="128">
        <v>24.0</v>
      </c>
      <c r="AC403" s="128">
        <v>916.4256446536416</v>
      </c>
      <c r="AD403" s="44" t="s">
        <v>61</v>
      </c>
      <c r="AE403" s="128">
        <v>932.2688692124391</v>
      </c>
      <c r="AF403" s="128">
        <v>23.0</v>
      </c>
      <c r="AG403" s="128">
        <v>933.3913241866694</v>
      </c>
      <c r="AH403" s="44" t="s">
        <v>47</v>
      </c>
      <c r="AI403" s="128">
        <v>1062.4023949291322</v>
      </c>
      <c r="AJ403" s="128">
        <v>33.0</v>
      </c>
      <c r="AK403" s="128">
        <v>1066.5577893798932</v>
      </c>
      <c r="AL403" s="44" t="s">
        <v>31</v>
      </c>
      <c r="AM403" s="128">
        <v>1533.6057264330195</v>
      </c>
      <c r="AN403" s="128">
        <v>51.0</v>
      </c>
      <c r="AO403" s="128">
        <v>1543.541113539858</v>
      </c>
      <c r="AP403" s="128">
        <v>18.0</v>
      </c>
      <c r="AQ403" s="128">
        <v>24.0</v>
      </c>
      <c r="AS403" s="44" t="s">
        <v>492</v>
      </c>
      <c r="AT403" s="44">
        <v>402.0</v>
      </c>
      <c r="AU403" s="44"/>
      <c r="AW403" s="93"/>
      <c r="AY403" s="93"/>
      <c r="AZ403" s="93"/>
      <c r="BA403" s="93"/>
      <c r="BB403" s="155"/>
      <c r="BC403" s="93"/>
      <c r="BE403" s="93"/>
      <c r="BG403" s="93"/>
      <c r="BH403" s="93"/>
      <c r="BI403" s="93"/>
      <c r="BJ403" s="155"/>
      <c r="BK403" s="93"/>
    </row>
    <row r="404">
      <c r="A404" s="166">
        <v>44295.92047795139</v>
      </c>
      <c r="B404" s="44" t="s">
        <v>123</v>
      </c>
      <c r="C404" s="128">
        <v>763.5470764065869</v>
      </c>
      <c r="D404" s="128">
        <v>9.0</v>
      </c>
      <c r="E404" s="128">
        <v>749.4617627551867</v>
      </c>
      <c r="F404" s="44" t="s">
        <v>486</v>
      </c>
      <c r="G404" s="128">
        <v>990.538413569861</v>
      </c>
      <c r="H404" s="128">
        <v>13.0</v>
      </c>
      <c r="I404" s="128">
        <v>978.9283522488761</v>
      </c>
      <c r="J404" s="44" t="s">
        <v>107</v>
      </c>
      <c r="K404" s="128">
        <v>1080.733027634411</v>
      </c>
      <c r="L404" s="128">
        <v>9.0</v>
      </c>
      <c r="M404" s="128">
        <v>1065.5048317917892</v>
      </c>
      <c r="N404" s="44" t="s">
        <v>31</v>
      </c>
      <c r="O404" s="128">
        <v>1543.541113539858</v>
      </c>
      <c r="P404" s="128">
        <v>27.0</v>
      </c>
      <c r="Q404" s="128">
        <v>1543.464684354865</v>
      </c>
      <c r="V404" s="44" t="s">
        <v>88</v>
      </c>
      <c r="W404" s="128">
        <v>802.7427365563595</v>
      </c>
      <c r="X404" s="128">
        <v>13.0</v>
      </c>
      <c r="Y404" s="128">
        <v>805.6929844755512</v>
      </c>
      <c r="Z404" s="44" t="s">
        <v>61</v>
      </c>
      <c r="AA404" s="128">
        <v>933.3913241866694</v>
      </c>
      <c r="AB404" s="128">
        <v>18.0</v>
      </c>
      <c r="AC404" s="128">
        <v>939.7395415544513</v>
      </c>
      <c r="AD404" s="44" t="s">
        <v>47</v>
      </c>
      <c r="AE404" s="128">
        <v>1066.5577893798932</v>
      </c>
      <c r="AF404" s="128">
        <v>29.0</v>
      </c>
      <c r="AG404" s="128">
        <v>1081.7499422580208</v>
      </c>
      <c r="AH404" s="44" t="s">
        <v>23</v>
      </c>
      <c r="AI404" s="128">
        <v>1567.5742536010866</v>
      </c>
      <c r="AJ404" s="128">
        <v>31.0</v>
      </c>
      <c r="AK404" s="128">
        <v>1584.0836354359856</v>
      </c>
      <c r="AP404" s="128">
        <v>8.0</v>
      </c>
      <c r="AQ404" s="128">
        <v>20.0</v>
      </c>
      <c r="AT404" s="44">
        <v>403.0</v>
      </c>
      <c r="AU404" s="44"/>
      <c r="AW404" s="93"/>
      <c r="AY404" s="93"/>
      <c r="AZ404" s="93"/>
      <c r="BA404" s="93"/>
      <c r="BB404" s="155"/>
      <c r="BC404" s="93"/>
      <c r="BE404" s="93"/>
      <c r="BG404" s="93"/>
      <c r="BH404" s="93"/>
      <c r="BI404" s="93"/>
      <c r="BJ404" s="155"/>
      <c r="BK404" s="93"/>
    </row>
    <row r="405">
      <c r="A405" s="166">
        <v>44295.975903287035</v>
      </c>
      <c r="B405" s="44" t="s">
        <v>90</v>
      </c>
      <c r="C405" s="128">
        <v>974.2751275392799</v>
      </c>
      <c r="D405" s="128">
        <v>16.0</v>
      </c>
      <c r="E405" s="128">
        <v>974.6406518730538</v>
      </c>
      <c r="F405" s="44" t="s">
        <v>486</v>
      </c>
      <c r="G405" s="128">
        <v>978.9283522488761</v>
      </c>
      <c r="H405" s="128">
        <v>16.0</v>
      </c>
      <c r="I405" s="128">
        <v>979.2922622577497</v>
      </c>
      <c r="J405" s="44" t="s">
        <v>112</v>
      </c>
      <c r="K405" s="128">
        <v>1028.6555053403054</v>
      </c>
      <c r="L405" s="128">
        <v>19.0</v>
      </c>
      <c r="M405" s="128">
        <v>1029.2040353781003</v>
      </c>
      <c r="N405" s="44" t="s">
        <v>447</v>
      </c>
      <c r="O405" s="128">
        <v>1035.596320012415</v>
      </c>
      <c r="P405" s="128">
        <v>28.0</v>
      </c>
      <c r="Q405" s="128">
        <v>1036.7429675136748</v>
      </c>
      <c r="R405" s="44" t="s">
        <v>31</v>
      </c>
      <c r="S405" s="128">
        <v>1543.464684354865</v>
      </c>
      <c r="T405" s="128">
        <v>35.0</v>
      </c>
      <c r="U405" s="128">
        <v>1545.0400724731626</v>
      </c>
      <c r="V405" s="44" t="s">
        <v>121</v>
      </c>
      <c r="W405" s="128">
        <v>836.1541109461582</v>
      </c>
      <c r="X405" s="128">
        <v>12.0</v>
      </c>
      <c r="Y405" s="128">
        <v>834.6796955509761</v>
      </c>
      <c r="Z405" s="44" t="s">
        <v>98</v>
      </c>
      <c r="AA405" s="128">
        <v>887.7344349177523</v>
      </c>
      <c r="AB405" s="128">
        <v>25.0</v>
      </c>
      <c r="AC405" s="128">
        <v>887.0994114116509</v>
      </c>
      <c r="AD405" s="44" t="s">
        <v>61</v>
      </c>
      <c r="AE405" s="128">
        <v>939.7395415544513</v>
      </c>
      <c r="AF405" s="128">
        <v>17.0</v>
      </c>
      <c r="AG405" s="128">
        <v>938.5478144868787</v>
      </c>
      <c r="AH405" s="44" t="s">
        <v>47</v>
      </c>
      <c r="AI405" s="128">
        <v>1081.7499422580208</v>
      </c>
      <c r="AJ405" s="128">
        <v>26.0</v>
      </c>
      <c r="AK405" s="128">
        <v>1081.1143542403868</v>
      </c>
      <c r="AL405" s="44" t="s">
        <v>23</v>
      </c>
      <c r="AM405" s="128">
        <v>1584.0836354359856</v>
      </c>
      <c r="AN405" s="128">
        <v>35.0</v>
      </c>
      <c r="AO405" s="128">
        <v>1584.0203894224758</v>
      </c>
      <c r="AP405" s="128">
        <v>15.0</v>
      </c>
      <c r="AQ405" s="128">
        <v>13.0</v>
      </c>
      <c r="AT405" s="44">
        <v>404.0</v>
      </c>
      <c r="AU405" s="44"/>
      <c r="AV405" s="44" t="s">
        <v>123</v>
      </c>
      <c r="AW405" s="145">
        <v>749.46</v>
      </c>
      <c r="AX405" s="44">
        <v>14.0</v>
      </c>
      <c r="AY405" s="145">
        <v>749.66</v>
      </c>
      <c r="AZ405" s="93"/>
      <c r="BA405" s="93"/>
      <c r="BB405" s="155"/>
      <c r="BC405" s="93"/>
      <c r="BD405" s="44" t="s">
        <v>88</v>
      </c>
      <c r="BE405" s="45">
        <v>805.6929844755512</v>
      </c>
      <c r="BF405" s="44">
        <v>10.0</v>
      </c>
      <c r="BG405" s="145">
        <v>803.41</v>
      </c>
      <c r="BH405" s="93"/>
      <c r="BI405" s="93"/>
      <c r="BJ405" s="155"/>
      <c r="BK405" s="93"/>
    </row>
    <row r="406">
      <c r="A406" s="166">
        <v>44296.02906752315</v>
      </c>
      <c r="B406" s="44" t="s">
        <v>88</v>
      </c>
      <c r="C406" s="128">
        <v>803.41</v>
      </c>
      <c r="D406" s="128">
        <v>8.0</v>
      </c>
      <c r="E406" s="128">
        <v>789.1356563713096</v>
      </c>
      <c r="F406" s="44" t="s">
        <v>61</v>
      </c>
      <c r="G406" s="128">
        <v>938.5478144868787</v>
      </c>
      <c r="H406" s="128">
        <v>19.0</v>
      </c>
      <c r="I406" s="128">
        <v>930.8663048122958</v>
      </c>
      <c r="J406" s="44" t="s">
        <v>486</v>
      </c>
      <c r="K406" s="128">
        <v>979.2922622577497</v>
      </c>
      <c r="L406" s="128">
        <v>23.0</v>
      </c>
      <c r="M406" s="128">
        <v>974.0862554487176</v>
      </c>
      <c r="N406" s="44" t="s">
        <v>27</v>
      </c>
      <c r="O406" s="128">
        <v>1146.261521400468</v>
      </c>
      <c r="P406" s="128">
        <v>16.0</v>
      </c>
      <c r="Q406" s="128">
        <v>1136.182298767511</v>
      </c>
      <c r="R406" s="44" t="s">
        <v>23</v>
      </c>
      <c r="S406" s="128">
        <v>1584.0203894224758</v>
      </c>
      <c r="T406" s="128">
        <v>29.0</v>
      </c>
      <c r="U406" s="128">
        <v>1582.2614721677382</v>
      </c>
      <c r="V406" s="44" t="s">
        <v>98</v>
      </c>
      <c r="W406" s="128">
        <v>887.0994114116509</v>
      </c>
      <c r="X406" s="128">
        <v>15.0</v>
      </c>
      <c r="Y406" s="128">
        <v>888.2528493125064</v>
      </c>
      <c r="Z406" s="44" t="s">
        <v>110</v>
      </c>
      <c r="AA406" s="128">
        <v>916.4256446536416</v>
      </c>
      <c r="AB406" s="128">
        <v>19.0</v>
      </c>
      <c r="AC406" s="128">
        <v>920.0296139265605</v>
      </c>
      <c r="AD406" s="44" t="s">
        <v>112</v>
      </c>
      <c r="AE406" s="128">
        <v>1029.2040353781003</v>
      </c>
      <c r="AF406" s="128">
        <v>29.0</v>
      </c>
      <c r="AG406" s="128">
        <v>1038.863058356772</v>
      </c>
      <c r="AH406" s="44" t="s">
        <v>47</v>
      </c>
      <c r="AI406" s="128">
        <v>1081.1143542403868</v>
      </c>
      <c r="AJ406" s="128">
        <v>29.0</v>
      </c>
      <c r="AK406" s="128">
        <v>1090.632847940218</v>
      </c>
      <c r="AL406" s="44" t="s">
        <v>31</v>
      </c>
      <c r="AM406" s="128">
        <v>1545.0400724731626</v>
      </c>
      <c r="AN406" s="128">
        <v>38.0</v>
      </c>
      <c r="AO406" s="128">
        <v>1560.1051486208853</v>
      </c>
      <c r="AP406" s="128">
        <v>9.0</v>
      </c>
      <c r="AQ406" s="128">
        <v>19.0</v>
      </c>
      <c r="AT406" s="44">
        <v>405.0</v>
      </c>
      <c r="AU406" s="44"/>
      <c r="AV406" s="44" t="s">
        <v>123</v>
      </c>
      <c r="AW406" s="145">
        <v>749.66</v>
      </c>
      <c r="AX406" s="44">
        <v>14.0</v>
      </c>
      <c r="AY406" s="145">
        <v>737.45</v>
      </c>
      <c r="AZ406" s="93"/>
      <c r="BA406" s="93"/>
      <c r="BB406" s="155"/>
      <c r="BC406" s="93"/>
      <c r="BD406" s="44" t="s">
        <v>127</v>
      </c>
      <c r="BE406" s="45">
        <v>602.284990929842</v>
      </c>
      <c r="BF406" s="44">
        <v>7.0</v>
      </c>
      <c r="BG406" s="145">
        <v>603.89</v>
      </c>
      <c r="BH406" s="93"/>
      <c r="BI406" s="93"/>
      <c r="BJ406" s="155"/>
      <c r="BK406" s="93"/>
    </row>
    <row r="407">
      <c r="A407" s="166">
        <v>44296.082221226854</v>
      </c>
      <c r="B407" s="44" t="s">
        <v>110</v>
      </c>
      <c r="C407" s="128">
        <v>920.0296139265605</v>
      </c>
      <c r="D407" s="128">
        <v>23.0</v>
      </c>
      <c r="E407" s="128">
        <v>923.6224227179191</v>
      </c>
      <c r="F407" s="44" t="s">
        <v>61</v>
      </c>
      <c r="G407" s="128">
        <v>930.8663048122958</v>
      </c>
      <c r="H407" s="128">
        <v>19.0</v>
      </c>
      <c r="I407" s="128">
        <v>933.1012921055734</v>
      </c>
      <c r="J407" s="44" t="s">
        <v>248</v>
      </c>
      <c r="K407" s="128">
        <v>1018.4672847465448</v>
      </c>
      <c r="L407" s="128">
        <v>27.0</v>
      </c>
      <c r="M407" s="128">
        <v>1023.2039947273005</v>
      </c>
      <c r="N407" s="44" t="s">
        <v>27</v>
      </c>
      <c r="O407" s="128">
        <v>1136.182298767511</v>
      </c>
      <c r="P407" s="128">
        <v>24.0</v>
      </c>
      <c r="Q407" s="128">
        <v>1139.780976556767</v>
      </c>
      <c r="R407" s="44" t="s">
        <v>31</v>
      </c>
      <c r="S407" s="128">
        <v>1560.1051486208853</v>
      </c>
      <c r="T407" s="128">
        <v>31.0</v>
      </c>
      <c r="U407" s="128">
        <v>1565.9419647662373</v>
      </c>
      <c r="V407" s="44" t="s">
        <v>98</v>
      </c>
      <c r="W407" s="128">
        <v>888.2528493125064</v>
      </c>
      <c r="X407" s="128">
        <v>20.0</v>
      </c>
      <c r="Y407" s="128">
        <v>884.2768810529981</v>
      </c>
      <c r="Z407" s="44" t="s">
        <v>486</v>
      </c>
      <c r="AA407" s="128">
        <v>974.0862554487176</v>
      </c>
      <c r="AB407" s="128">
        <v>10.0</v>
      </c>
      <c r="AC407" s="128">
        <v>966.6189265356483</v>
      </c>
      <c r="AD407" s="44" t="s">
        <v>112</v>
      </c>
      <c r="AE407" s="128">
        <v>1038.863058356772</v>
      </c>
      <c r="AF407" s="128">
        <v>10.0</v>
      </c>
      <c r="AG407" s="128">
        <v>1031.307108973303</v>
      </c>
      <c r="AH407" s="44" t="s">
        <v>47</v>
      </c>
      <c r="AI407" s="128">
        <v>1090.632847940218</v>
      </c>
      <c r="AJ407" s="128">
        <v>21.0</v>
      </c>
      <c r="AK407" s="128">
        <v>1086.6899965450275</v>
      </c>
      <c r="AL407" s="44" t="s">
        <v>23</v>
      </c>
      <c r="AM407" s="128">
        <v>1582.2614721677382</v>
      </c>
      <c r="AN407" s="128">
        <v>42.0</v>
      </c>
      <c r="AO407" s="128">
        <v>1585.2035701189754</v>
      </c>
      <c r="AP407" s="128">
        <v>18.0</v>
      </c>
      <c r="AQ407" s="128">
        <v>10.0</v>
      </c>
      <c r="AT407" s="44">
        <v>406.0</v>
      </c>
      <c r="AU407" s="44"/>
      <c r="AW407" s="93"/>
      <c r="AY407" s="93"/>
      <c r="AZ407" s="93"/>
      <c r="BA407" s="93"/>
      <c r="BB407" s="155"/>
      <c r="BC407" s="93"/>
      <c r="BE407" s="93"/>
      <c r="BG407" s="93"/>
      <c r="BH407" s="93"/>
      <c r="BI407" s="93"/>
      <c r="BJ407" s="155"/>
      <c r="BK407" s="93"/>
    </row>
    <row r="408">
      <c r="A408" s="166">
        <v>44296.13112038195</v>
      </c>
      <c r="B408" s="44" t="s">
        <v>110</v>
      </c>
      <c r="C408" s="128">
        <v>923.6224227179191</v>
      </c>
      <c r="D408" s="128">
        <v>14.0</v>
      </c>
      <c r="E408" s="128">
        <v>925.2104846056137</v>
      </c>
      <c r="F408" s="44" t="s">
        <v>61</v>
      </c>
      <c r="G408" s="128">
        <v>933.1012921055734</v>
      </c>
      <c r="H408" s="128">
        <v>11.0</v>
      </c>
      <c r="I408" s="128">
        <v>933.9265434704505</v>
      </c>
      <c r="J408" s="44" t="s">
        <v>31</v>
      </c>
      <c r="K408" s="128">
        <v>1565.9419647662373</v>
      </c>
      <c r="L408" s="128">
        <v>35.0</v>
      </c>
      <c r="M408" s="128">
        <v>1572.5286515136656</v>
      </c>
      <c r="N408" s="44"/>
      <c r="O408" s="128"/>
      <c r="P408" s="128"/>
      <c r="Q408" s="128"/>
      <c r="V408" s="44" t="s">
        <v>88</v>
      </c>
      <c r="W408" s="128">
        <v>789.1356563713096</v>
      </c>
      <c r="X408" s="128">
        <v>9.0</v>
      </c>
      <c r="Y408" s="128">
        <v>784.0554558501545</v>
      </c>
      <c r="Z408" s="44" t="s">
        <v>248</v>
      </c>
      <c r="AA408" s="128">
        <v>1023.2039947273005</v>
      </c>
      <c r="AB408" s="128">
        <v>23.0</v>
      </c>
      <c r="AC408" s="128">
        <v>1021.3076321455807</v>
      </c>
      <c r="AD408" s="44" t="s">
        <v>23</v>
      </c>
      <c r="AE408" s="128">
        <v>1585.2035701189754</v>
      </c>
      <c r="AF408" s="128">
        <v>23.0</v>
      </c>
      <c r="AG408" s="128">
        <v>1583.1801332218502</v>
      </c>
      <c r="AH408" s="44"/>
      <c r="AI408" s="128"/>
      <c r="AJ408" s="128"/>
      <c r="AK408" s="128"/>
      <c r="AP408" s="128">
        <v>15.0</v>
      </c>
      <c r="AQ408" s="128">
        <v>13.0</v>
      </c>
      <c r="AT408" s="44">
        <v>407.0</v>
      </c>
      <c r="AU408" s="44"/>
      <c r="AW408" s="93"/>
      <c r="AY408" s="93"/>
      <c r="AZ408" s="93"/>
      <c r="BA408" s="93"/>
      <c r="BB408" s="155"/>
      <c r="BC408" s="93"/>
      <c r="BE408" s="93"/>
      <c r="BG408" s="93"/>
      <c r="BH408" s="93"/>
      <c r="BI408" s="93"/>
      <c r="BJ408" s="155"/>
      <c r="BK408" s="93"/>
    </row>
    <row r="409">
      <c r="A409" s="166">
        <v>44296.99749112269</v>
      </c>
      <c r="B409" s="44" t="s">
        <v>88</v>
      </c>
      <c r="C409" s="128">
        <v>784.0554558501545</v>
      </c>
      <c r="D409" s="128">
        <v>13.0</v>
      </c>
      <c r="E409" s="128">
        <v>785.657893462595</v>
      </c>
      <c r="F409" s="44" t="s">
        <v>98</v>
      </c>
      <c r="G409" s="128">
        <v>884.2768810529981</v>
      </c>
      <c r="H409" s="128">
        <v>26.0</v>
      </c>
      <c r="I409" s="128">
        <v>889.9537866804918</v>
      </c>
      <c r="J409" s="44" t="s">
        <v>78</v>
      </c>
      <c r="K409" s="128">
        <v>959.9864844066352</v>
      </c>
      <c r="L409" s="128">
        <v>20.0</v>
      </c>
      <c r="M409" s="128">
        <v>963.5133725535684</v>
      </c>
      <c r="N409" s="44" t="s">
        <v>90</v>
      </c>
      <c r="O409" s="128">
        <v>974.6406518730538</v>
      </c>
      <c r="P409" s="128">
        <v>21.0</v>
      </c>
      <c r="Q409" s="128">
        <v>978.4762646960544</v>
      </c>
      <c r="R409" s="44" t="s">
        <v>47</v>
      </c>
      <c r="S409" s="128">
        <v>1086.6899965450275</v>
      </c>
      <c r="T409" s="128">
        <v>26.0</v>
      </c>
      <c r="U409" s="128">
        <v>1092.0481523351596</v>
      </c>
      <c r="V409" s="44" t="s">
        <v>129</v>
      </c>
      <c r="W409" s="128">
        <v>735.304485646582</v>
      </c>
      <c r="X409" s="128">
        <v>10.0</v>
      </c>
      <c r="Y409" s="128">
        <v>728.8454519242208</v>
      </c>
      <c r="Z409" s="44" t="s">
        <v>121</v>
      </c>
      <c r="AA409" s="128">
        <v>834.6796955509761</v>
      </c>
      <c r="AB409" s="128">
        <v>7.0</v>
      </c>
      <c r="AC409" s="128">
        <v>826.9655932370465</v>
      </c>
      <c r="AD409" s="44" t="s">
        <v>248</v>
      </c>
      <c r="AE409" s="128">
        <v>1021.3076321455807</v>
      </c>
      <c r="AF409" s="128">
        <v>29.0</v>
      </c>
      <c r="AG409" s="128">
        <v>1020.6070418100408</v>
      </c>
      <c r="AH409" s="44" t="s">
        <v>112</v>
      </c>
      <c r="AI409" s="128">
        <v>1031.307108973303</v>
      </c>
      <c r="AJ409" s="128">
        <v>33.0</v>
      </c>
      <c r="AK409" s="128">
        <v>1031.9283482572687</v>
      </c>
      <c r="AL409" s="44" t="s">
        <v>107</v>
      </c>
      <c r="AM409" s="128">
        <v>1065.5048317917892</v>
      </c>
      <c r="AN409" s="128">
        <v>14.0</v>
      </c>
      <c r="AO409" s="128">
        <v>1059.7573188796543</v>
      </c>
      <c r="AP409" s="128">
        <v>17.0</v>
      </c>
      <c r="AQ409" s="128">
        <v>11.0</v>
      </c>
      <c r="AS409" s="44" t="s">
        <v>255</v>
      </c>
      <c r="AT409" s="44">
        <v>408.0</v>
      </c>
      <c r="AU409" s="44"/>
      <c r="AW409" s="93"/>
      <c r="AY409" s="93"/>
      <c r="AZ409" s="93"/>
      <c r="BA409" s="93"/>
      <c r="BB409" s="155"/>
      <c r="BC409" s="93"/>
      <c r="BE409" s="93"/>
      <c r="BG409" s="93"/>
      <c r="BH409" s="93"/>
      <c r="BI409" s="93"/>
      <c r="BJ409" s="155"/>
      <c r="BK409" s="93"/>
    </row>
    <row r="410">
      <c r="A410" s="166">
        <v>44297.05347646991</v>
      </c>
      <c r="B410" s="44" t="s">
        <v>88</v>
      </c>
      <c r="C410" s="128">
        <v>785.657893462595</v>
      </c>
      <c r="D410" s="128">
        <v>21.0</v>
      </c>
      <c r="E410" s="128">
        <v>789.2500249525672</v>
      </c>
      <c r="F410" s="44" t="s">
        <v>493</v>
      </c>
      <c r="G410" s="128">
        <v>1000.0</v>
      </c>
      <c r="H410" s="128">
        <v>5.0</v>
      </c>
      <c r="I410" s="128">
        <v>1000.01</v>
      </c>
      <c r="J410" s="44" t="s">
        <v>107</v>
      </c>
      <c r="K410" s="128">
        <v>1059.7573188796543</v>
      </c>
      <c r="L410" s="128">
        <v>30.0</v>
      </c>
      <c r="M410" s="128">
        <v>1065.2163453299906</v>
      </c>
      <c r="N410" s="44" t="s">
        <v>47</v>
      </c>
      <c r="O410" s="128">
        <v>1092.0481523351596</v>
      </c>
      <c r="P410" s="128">
        <v>23.0</v>
      </c>
      <c r="Q410" s="128">
        <v>1095.7341718219222</v>
      </c>
      <c r="V410" s="44" t="s">
        <v>78</v>
      </c>
      <c r="W410" s="128">
        <v>963.5133725535684</v>
      </c>
      <c r="X410" s="128">
        <v>24.0</v>
      </c>
      <c r="Y410" s="128">
        <v>961.8610100485967</v>
      </c>
      <c r="Z410" s="44" t="s">
        <v>90</v>
      </c>
      <c r="AA410" s="128">
        <v>978.4762646960544</v>
      </c>
      <c r="AB410" s="128">
        <v>21.0</v>
      </c>
      <c r="AC410" s="128">
        <v>976.057558588062</v>
      </c>
      <c r="AD410" s="44" t="s">
        <v>248</v>
      </c>
      <c r="AE410" s="128">
        <v>1020.6070418100408</v>
      </c>
      <c r="AF410" s="128">
        <v>15.0</v>
      </c>
      <c r="AG410" s="128">
        <v>1016.6474451883652</v>
      </c>
      <c r="AH410" s="44" t="s">
        <v>112</v>
      </c>
      <c r="AI410" s="128">
        <v>1031.9283482572687</v>
      </c>
      <c r="AJ410" s="128">
        <v>15.0</v>
      </c>
      <c r="AK410" s="128">
        <v>1027.9590134919085</v>
      </c>
      <c r="AP410" s="128">
        <v>15.0</v>
      </c>
      <c r="AQ410" s="128">
        <v>13.0</v>
      </c>
      <c r="AS410" s="44" t="s">
        <v>243</v>
      </c>
      <c r="AT410" s="44">
        <v>409.0</v>
      </c>
      <c r="AU410" s="44"/>
      <c r="AW410" s="93"/>
      <c r="AY410" s="93"/>
      <c r="AZ410" s="93"/>
      <c r="BA410" s="93"/>
      <c r="BB410" s="155"/>
      <c r="BC410" s="93"/>
      <c r="BE410" s="93"/>
      <c r="BG410" s="93"/>
      <c r="BH410" s="93"/>
      <c r="BI410" s="93"/>
      <c r="BJ410" s="155"/>
      <c r="BK410" s="93"/>
    </row>
    <row r="411">
      <c r="A411" s="166">
        <v>44297.87999913194</v>
      </c>
      <c r="B411" s="44" t="s">
        <v>88</v>
      </c>
      <c r="C411" s="128">
        <v>789.2500249525672</v>
      </c>
      <c r="D411" s="128">
        <v>16.0</v>
      </c>
      <c r="E411" s="128">
        <v>791.5285422346834</v>
      </c>
      <c r="F411" s="44" t="s">
        <v>61</v>
      </c>
      <c r="G411" s="128">
        <v>933.9265434704505</v>
      </c>
      <c r="H411" s="128">
        <v>24.0</v>
      </c>
      <c r="I411" s="128">
        <v>937.7765845854834</v>
      </c>
      <c r="J411" s="44" t="s">
        <v>23</v>
      </c>
      <c r="K411" s="128">
        <v>1583.1801332218502</v>
      </c>
      <c r="L411" s="128">
        <v>16.0</v>
      </c>
      <c r="M411" s="128">
        <v>1585.051574824701</v>
      </c>
      <c r="N411" s="44"/>
      <c r="O411" s="128"/>
      <c r="P411" s="128"/>
      <c r="Q411" s="128"/>
      <c r="V411" s="44" t="s">
        <v>58</v>
      </c>
      <c r="W411" s="128">
        <v>970.5831107179656</v>
      </c>
      <c r="X411" s="128">
        <v>4.0</v>
      </c>
      <c r="Y411" s="128">
        <v>965.5039109718166</v>
      </c>
      <c r="Z411" s="44" t="s">
        <v>493</v>
      </c>
      <c r="AA411" s="128">
        <v>1000.01</v>
      </c>
      <c r="AB411" s="128">
        <v>14.0</v>
      </c>
      <c r="AC411" s="128">
        <v>997.131532341675</v>
      </c>
      <c r="AD411" s="44" t="s">
        <v>47</v>
      </c>
      <c r="AE411" s="128">
        <v>1095.7341718219222</v>
      </c>
      <c r="AF411" s="128">
        <v>27.0</v>
      </c>
      <c r="AG411" s="128">
        <v>1095.6918392263963</v>
      </c>
      <c r="AH411" s="44"/>
      <c r="AI411" s="128"/>
      <c r="AJ411" s="128"/>
      <c r="AK411" s="128"/>
      <c r="AP411" s="128">
        <v>18.0</v>
      </c>
      <c r="AQ411" s="128">
        <v>10.0</v>
      </c>
      <c r="AT411" s="44">
        <v>410.0</v>
      </c>
      <c r="AU411" s="44"/>
      <c r="AW411" s="93"/>
      <c r="AY411" s="93"/>
      <c r="AZ411" s="93"/>
      <c r="BA411" s="93"/>
      <c r="BB411" s="155"/>
      <c r="BC411" s="93"/>
      <c r="BE411" s="93"/>
      <c r="BG411" s="93"/>
      <c r="BH411" s="93"/>
      <c r="BI411" s="93"/>
      <c r="BJ411" s="155"/>
      <c r="BK411" s="93"/>
    </row>
    <row r="412">
      <c r="A412" s="166">
        <v>44297.92769266204</v>
      </c>
      <c r="B412" s="44" t="s">
        <v>88</v>
      </c>
      <c r="C412" s="128">
        <v>791.5285422346834</v>
      </c>
      <c r="D412" s="128">
        <v>17.0</v>
      </c>
      <c r="E412" s="128">
        <v>790.3392466514514</v>
      </c>
      <c r="F412" s="44" t="s">
        <v>110</v>
      </c>
      <c r="G412" s="128">
        <v>925.2104846056137</v>
      </c>
      <c r="H412" s="128">
        <v>21.0</v>
      </c>
      <c r="I412" s="128">
        <v>924.2763272376972</v>
      </c>
      <c r="J412" s="44" t="s">
        <v>61</v>
      </c>
      <c r="K412" s="128">
        <v>937.7765845854834</v>
      </c>
      <c r="L412" s="128">
        <v>17.0</v>
      </c>
      <c r="M412" s="128">
        <v>936.5032740628748</v>
      </c>
      <c r="N412" s="44" t="s">
        <v>23</v>
      </c>
      <c r="O412" s="128">
        <v>1585.051574824701</v>
      </c>
      <c r="P412" s="128">
        <v>26.0</v>
      </c>
      <c r="Q412" s="128">
        <v>1584.4483382984583</v>
      </c>
      <c r="V412" s="44" t="s">
        <v>78</v>
      </c>
      <c r="W412" s="128">
        <v>961.8610100485967</v>
      </c>
      <c r="X412" s="128">
        <v>15.0</v>
      </c>
      <c r="Y412" s="128">
        <v>962.5047578269847</v>
      </c>
      <c r="Z412" s="44" t="s">
        <v>493</v>
      </c>
      <c r="AA412" s="128">
        <v>997.131532341675</v>
      </c>
      <c r="AB412" s="128">
        <v>13.0</v>
      </c>
      <c r="AC412" s="128">
        <v>997.5957575381346</v>
      </c>
      <c r="AD412" s="44" t="s">
        <v>112</v>
      </c>
      <c r="AE412" s="128">
        <v>1027.9590134919085</v>
      </c>
      <c r="AF412" s="128">
        <v>27.0</v>
      </c>
      <c r="AG412" s="128">
        <v>1029.5801522222307</v>
      </c>
      <c r="AH412" s="44" t="s">
        <v>47</v>
      </c>
      <c r="AI412" s="128">
        <v>1095.6918392263963</v>
      </c>
      <c r="AJ412" s="128">
        <v>23.0</v>
      </c>
      <c r="AK412" s="128">
        <v>1096.9627275212265</v>
      </c>
      <c r="AP412" s="128">
        <v>14.0</v>
      </c>
      <c r="AQ412" s="128">
        <v>14.0</v>
      </c>
      <c r="AT412" s="44">
        <v>411.0</v>
      </c>
      <c r="AU412" s="44"/>
      <c r="AW412" s="93"/>
      <c r="AY412" s="93"/>
      <c r="AZ412" s="93"/>
      <c r="BA412" s="93"/>
      <c r="BB412" s="155"/>
      <c r="BC412" s="93"/>
      <c r="BE412" s="93"/>
      <c r="BG412" s="93"/>
      <c r="BH412" s="93"/>
      <c r="BI412" s="93"/>
      <c r="BJ412" s="155"/>
      <c r="BK412" s="93"/>
    </row>
    <row r="413">
      <c r="A413" s="166">
        <v>44297.964558402775</v>
      </c>
      <c r="B413" s="44" t="s">
        <v>88</v>
      </c>
      <c r="C413" s="128">
        <v>790.3392466514514</v>
      </c>
      <c r="D413" s="128">
        <v>12.0</v>
      </c>
      <c r="E413" s="128">
        <v>792.16968264657</v>
      </c>
      <c r="F413" s="44" t="s">
        <v>493</v>
      </c>
      <c r="G413" s="128">
        <v>997.5957575381346</v>
      </c>
      <c r="H413" s="128">
        <v>14.0</v>
      </c>
      <c r="I413" s="128">
        <v>999.7046101536545</v>
      </c>
      <c r="J413" s="44" t="s">
        <v>112</v>
      </c>
      <c r="K413" s="128">
        <v>1029.5801522222307</v>
      </c>
      <c r="L413" s="128">
        <v>28.0</v>
      </c>
      <c r="M413" s="128">
        <v>1037.4680793978566</v>
      </c>
      <c r="N413" s="44" t="s">
        <v>27</v>
      </c>
      <c r="O413" s="128">
        <v>1139.780976556767</v>
      </c>
      <c r="P413" s="128">
        <v>29.0</v>
      </c>
      <c r="Q413" s="128">
        <v>1147.9537607705026</v>
      </c>
      <c r="V413" s="44" t="s">
        <v>110</v>
      </c>
      <c r="W413" s="128">
        <v>924.2763272376972</v>
      </c>
      <c r="X413" s="128">
        <v>18.0</v>
      </c>
      <c r="Y413" s="128">
        <v>919.2814150339552</v>
      </c>
      <c r="Z413" s="44" t="s">
        <v>78</v>
      </c>
      <c r="AA413" s="128">
        <v>962.5047578269847</v>
      </c>
      <c r="AB413" s="128">
        <v>12.0</v>
      </c>
      <c r="AC413" s="128">
        <v>954.9343497321821</v>
      </c>
      <c r="AD413" s="44" t="s">
        <v>90</v>
      </c>
      <c r="AE413" s="128">
        <v>976.057558588062</v>
      </c>
      <c r="AF413" s="128">
        <v>16.0</v>
      </c>
      <c r="AG413" s="128">
        <v>970.1295722838596</v>
      </c>
      <c r="AH413" s="44" t="s">
        <v>47</v>
      </c>
      <c r="AI413" s="128">
        <v>1096.9627275212265</v>
      </c>
      <c r="AJ413" s="128">
        <v>27.0</v>
      </c>
      <c r="AK413" s="128">
        <v>1095.4560341239733</v>
      </c>
      <c r="AP413" s="128">
        <v>16.0</v>
      </c>
      <c r="AQ413" s="128">
        <v>12.0</v>
      </c>
      <c r="AT413" s="44">
        <v>412.0</v>
      </c>
      <c r="AU413" s="44"/>
      <c r="AW413" s="93"/>
      <c r="AY413" s="93"/>
      <c r="AZ413" s="93"/>
      <c r="BA413" s="93"/>
      <c r="BB413" s="155"/>
      <c r="BC413" s="93"/>
      <c r="BE413" s="93"/>
      <c r="BG413" s="93"/>
      <c r="BH413" s="93"/>
      <c r="BI413" s="93"/>
      <c r="BJ413" s="155"/>
      <c r="BK413" s="93"/>
    </row>
    <row r="414">
      <c r="A414" s="166">
        <v>44298.91996858796</v>
      </c>
      <c r="B414" s="44" t="s">
        <v>88</v>
      </c>
      <c r="C414" s="128">
        <v>792.16968264657</v>
      </c>
      <c r="D414" s="128">
        <v>18.0</v>
      </c>
      <c r="E414" s="128">
        <v>787.8876537561093</v>
      </c>
      <c r="F414" s="44" t="s">
        <v>90</v>
      </c>
      <c r="G414" s="128">
        <v>970.1295722838596</v>
      </c>
      <c r="H414" s="128">
        <v>22.0</v>
      </c>
      <c r="I414" s="128">
        <v>967.0283717122148</v>
      </c>
      <c r="J414" s="44" t="s">
        <v>112</v>
      </c>
      <c r="K414" s="128">
        <v>1037.4680793978566</v>
      </c>
      <c r="L414" s="128">
        <v>13.0</v>
      </c>
      <c r="M414" s="128">
        <v>1030.7073069248934</v>
      </c>
      <c r="N414" s="44" t="s">
        <v>92</v>
      </c>
      <c r="O414" s="128">
        <v>1109.774795898211</v>
      </c>
      <c r="P414" s="128">
        <v>18.0</v>
      </c>
      <c r="Q414" s="128">
        <v>1104.9187978332798</v>
      </c>
      <c r="V414" s="44" t="s">
        <v>98</v>
      </c>
      <c r="W414" s="128">
        <v>889.9537866804918</v>
      </c>
      <c r="X414" s="128">
        <v>20.0</v>
      </c>
      <c r="Y414" s="128">
        <v>894.6683600666993</v>
      </c>
      <c r="Z414" s="44" t="s">
        <v>110</v>
      </c>
      <c r="AA414" s="128">
        <v>919.2814150339552</v>
      </c>
      <c r="AB414" s="128">
        <v>23.0</v>
      </c>
      <c r="AC414" s="128">
        <v>925.1126105864829</v>
      </c>
      <c r="AD414" s="44" t="s">
        <v>486</v>
      </c>
      <c r="AE414" s="128">
        <v>966.6189265356483</v>
      </c>
      <c r="AF414" s="128">
        <v>18.0</v>
      </c>
      <c r="AG414" s="128">
        <v>970.3707618543533</v>
      </c>
      <c r="AH414" s="44" t="s">
        <v>27</v>
      </c>
      <c r="AI414" s="128">
        <v>1147.9537607705026</v>
      </c>
      <c r="AJ414" s="128">
        <v>21.0</v>
      </c>
      <c r="AK414" s="128">
        <v>1152.6561565130623</v>
      </c>
      <c r="AP414" s="128">
        <v>11.0</v>
      </c>
      <c r="AQ414" s="128">
        <v>17.0</v>
      </c>
      <c r="AS414" s="44" t="s">
        <v>466</v>
      </c>
      <c r="AT414" s="44">
        <v>413.0</v>
      </c>
      <c r="AU414" s="44"/>
      <c r="AW414" s="93"/>
      <c r="AY414" s="93"/>
      <c r="AZ414" s="93"/>
      <c r="BA414" s="93"/>
      <c r="BB414" s="155"/>
      <c r="BC414" s="93"/>
      <c r="BE414" s="93"/>
      <c r="BG414" s="93"/>
      <c r="BH414" s="93"/>
      <c r="BI414" s="93"/>
      <c r="BJ414" s="155"/>
      <c r="BK414" s="93"/>
    </row>
    <row r="415">
      <c r="A415" s="166">
        <v>44298.971871875</v>
      </c>
      <c r="B415" s="44" t="s">
        <v>88</v>
      </c>
      <c r="C415" s="128">
        <v>787.8876537561093</v>
      </c>
      <c r="D415" s="128">
        <v>13.0</v>
      </c>
      <c r="E415" s="128">
        <v>785.5687623375944</v>
      </c>
      <c r="F415" s="44" t="s">
        <v>110</v>
      </c>
      <c r="G415" s="128">
        <v>925.1126105864829</v>
      </c>
      <c r="H415" s="128">
        <v>18.0</v>
      </c>
      <c r="I415" s="128">
        <v>923.4197667385896</v>
      </c>
      <c r="J415" s="44" t="s">
        <v>486</v>
      </c>
      <c r="K415" s="128">
        <v>970.3707618543533</v>
      </c>
      <c r="L415" s="128">
        <v>12.0</v>
      </c>
      <c r="M415" s="128">
        <v>967.7475485461459</v>
      </c>
      <c r="N415" s="44" t="s">
        <v>493</v>
      </c>
      <c r="O415" s="128">
        <v>999.7046101536545</v>
      </c>
      <c r="P415" s="128">
        <v>9.0</v>
      </c>
      <c r="Q415" s="128">
        <v>996.6143939121686</v>
      </c>
      <c r="R415" s="44" t="s">
        <v>23</v>
      </c>
      <c r="S415" s="128">
        <v>1584.4483382984583</v>
      </c>
      <c r="T415" s="128">
        <v>35.0</v>
      </c>
      <c r="U415" s="128">
        <v>1584.4383382984583</v>
      </c>
      <c r="V415" s="44" t="s">
        <v>90</v>
      </c>
      <c r="W415" s="128">
        <v>967.0283717122148</v>
      </c>
      <c r="X415" s="128">
        <v>17.0</v>
      </c>
      <c r="Y415" s="128">
        <v>968.2199302878505</v>
      </c>
      <c r="Z415" s="44" t="s">
        <v>112</v>
      </c>
      <c r="AA415" s="128">
        <v>1030.7073069248934</v>
      </c>
      <c r="AB415" s="128">
        <v>27.0</v>
      </c>
      <c r="AC415" s="128">
        <v>1033.356879040512</v>
      </c>
      <c r="AD415" s="44" t="s">
        <v>447</v>
      </c>
      <c r="AE415" s="128">
        <v>1036.7429675136748</v>
      </c>
      <c r="AF415" s="128">
        <v>18.0</v>
      </c>
      <c r="AG415" s="128">
        <v>1038.039145875982</v>
      </c>
      <c r="AH415" s="44" t="s">
        <v>92</v>
      </c>
      <c r="AI415" s="128">
        <v>1104.9187978332798</v>
      </c>
      <c r="AJ415" s="128">
        <v>18.0</v>
      </c>
      <c r="AK415" s="128">
        <v>1106.1831092805435</v>
      </c>
      <c r="AL415" s="44" t="s">
        <v>27</v>
      </c>
      <c r="AM415" s="128">
        <v>1152.6561565130623</v>
      </c>
      <c r="AN415" s="128">
        <v>27.0</v>
      </c>
      <c r="AO415" s="128">
        <v>1155.254536012237</v>
      </c>
      <c r="AP415" s="128">
        <v>13.0</v>
      </c>
      <c r="AQ415" s="128">
        <v>15.0</v>
      </c>
      <c r="AS415" s="44" t="s">
        <v>290</v>
      </c>
      <c r="AT415" s="44">
        <v>414.0</v>
      </c>
      <c r="AU415" s="44"/>
      <c r="AW415" s="93"/>
      <c r="AY415" s="93"/>
      <c r="AZ415" s="93"/>
      <c r="BA415" s="93"/>
      <c r="BB415" s="155"/>
      <c r="BC415" s="93"/>
      <c r="BE415" s="93"/>
      <c r="BG415" s="93"/>
      <c r="BH415" s="93"/>
      <c r="BI415" s="93"/>
      <c r="BJ415" s="155"/>
      <c r="BK415" s="93"/>
    </row>
    <row r="416">
      <c r="A416" s="166">
        <v>44299.914089502316</v>
      </c>
      <c r="B416" s="44" t="s">
        <v>88</v>
      </c>
      <c r="C416" s="128">
        <v>785.5687623375944</v>
      </c>
      <c r="D416" s="128">
        <v>13.0</v>
      </c>
      <c r="E416" s="128">
        <v>786.5895430319775</v>
      </c>
      <c r="F416" s="44" t="s">
        <v>110</v>
      </c>
      <c r="G416" s="128">
        <v>923.4197667385896</v>
      </c>
      <c r="H416" s="128">
        <v>17.0</v>
      </c>
      <c r="I416" s="128">
        <v>925.1755087853704</v>
      </c>
      <c r="J416" s="44" t="s">
        <v>31</v>
      </c>
      <c r="K416" s="128">
        <v>1572.5286515136656</v>
      </c>
      <c r="L416" s="128">
        <v>36.0</v>
      </c>
      <c r="M416" s="128">
        <v>1578.7521287725017</v>
      </c>
      <c r="N416" s="44"/>
      <c r="O416" s="128"/>
      <c r="P416" s="128"/>
      <c r="Q416" s="128"/>
      <c r="V416" s="44" t="s">
        <v>61</v>
      </c>
      <c r="W416" s="128">
        <v>936.5032740628748</v>
      </c>
      <c r="X416" s="128">
        <v>21.0</v>
      </c>
      <c r="Y416" s="128">
        <v>934.0853953584419</v>
      </c>
      <c r="Z416" s="44" t="s">
        <v>112</v>
      </c>
      <c r="AA416" s="128">
        <v>1033.356879040512</v>
      </c>
      <c r="AB416" s="128">
        <v>21.0</v>
      </c>
      <c r="AC416" s="128">
        <v>1030.8381493804343</v>
      </c>
      <c r="AD416" s="44" t="s">
        <v>47</v>
      </c>
      <c r="AE416" s="128">
        <v>1095.4560341239733</v>
      </c>
      <c r="AF416" s="128">
        <v>15.0</v>
      </c>
      <c r="AG416" s="128">
        <v>1091.392642488484</v>
      </c>
      <c r="AH416" s="44"/>
      <c r="AI416" s="128"/>
      <c r="AJ416" s="128"/>
      <c r="AK416" s="128"/>
      <c r="AP416" s="128">
        <v>16.0</v>
      </c>
      <c r="AQ416" s="128">
        <v>12.0</v>
      </c>
      <c r="AS416" s="44" t="s">
        <v>255</v>
      </c>
      <c r="AT416" s="44">
        <v>415.0</v>
      </c>
      <c r="AU416" s="44"/>
      <c r="AW416" s="93"/>
      <c r="AY416" s="93"/>
      <c r="AZ416" s="93"/>
      <c r="BA416" s="93"/>
      <c r="BB416" s="155"/>
      <c r="BC416" s="93"/>
      <c r="BE416" s="93"/>
      <c r="BG416" s="93"/>
      <c r="BH416" s="93"/>
      <c r="BI416" s="93"/>
      <c r="BJ416" s="155"/>
      <c r="BK416" s="93"/>
    </row>
    <row r="417">
      <c r="A417" s="166">
        <v>44299.97958721065</v>
      </c>
      <c r="B417" s="44" t="s">
        <v>88</v>
      </c>
      <c r="C417" s="128">
        <v>786.5895430319775</v>
      </c>
      <c r="D417" s="128">
        <v>15.0</v>
      </c>
      <c r="E417" s="128">
        <v>781.3837785894976</v>
      </c>
      <c r="F417" s="44" t="s">
        <v>112</v>
      </c>
      <c r="G417" s="128">
        <v>1030.8381493804343</v>
      </c>
      <c r="H417" s="128">
        <v>18.0</v>
      </c>
      <c r="I417" s="128">
        <v>1026.1143936107424</v>
      </c>
      <c r="J417" s="44" t="s">
        <v>107</v>
      </c>
      <c r="K417" s="128">
        <v>1065.2163453299906</v>
      </c>
      <c r="L417" s="128">
        <v>13.0</v>
      </c>
      <c r="M417" s="128">
        <v>1058.8720319731465</v>
      </c>
      <c r="N417" s="44" t="s">
        <v>92</v>
      </c>
      <c r="O417" s="128">
        <v>1106.1831092805435</v>
      </c>
      <c r="P417" s="128">
        <v>21.0</v>
      </c>
      <c r="Q417" s="128">
        <v>1102.3357029136862</v>
      </c>
      <c r="R417" s="44" t="s">
        <v>23</v>
      </c>
      <c r="S417" s="128">
        <v>1584.4383382984583</v>
      </c>
      <c r="T417" s="128">
        <v>37.0</v>
      </c>
      <c r="U417" s="128">
        <v>1584.4283382984584</v>
      </c>
      <c r="V417" s="44" t="s">
        <v>121</v>
      </c>
      <c r="W417" s="128">
        <v>826.9655932370465</v>
      </c>
      <c r="X417" s="128">
        <v>12.0</v>
      </c>
      <c r="Y417" s="128">
        <v>827.6487809551312</v>
      </c>
      <c r="Z417" s="44" t="s">
        <v>61</v>
      </c>
      <c r="AA417" s="128">
        <v>934.0853953584419</v>
      </c>
      <c r="AB417" s="128">
        <v>25.0</v>
      </c>
      <c r="AC417" s="128">
        <v>938.6379868586815</v>
      </c>
      <c r="AD417" s="44" t="s">
        <v>47</v>
      </c>
      <c r="AE417" s="128">
        <v>1091.392642488484</v>
      </c>
      <c r="AF417" s="128">
        <v>14.0</v>
      </c>
      <c r="AG417" s="128">
        <v>1092.2381361087891</v>
      </c>
      <c r="AH417" s="44" t="s">
        <v>27</v>
      </c>
      <c r="AI417" s="128">
        <v>1155.254536012237</v>
      </c>
      <c r="AJ417" s="128">
        <v>19.0</v>
      </c>
      <c r="AK417" s="128">
        <v>1157.6328928591884</v>
      </c>
      <c r="AL417" s="44" t="s">
        <v>31</v>
      </c>
      <c r="AM417" s="128">
        <v>1578.7521287725017</v>
      </c>
      <c r="AN417" s="128">
        <v>45.0</v>
      </c>
      <c r="AO417" s="128">
        <v>1589.2924990869208</v>
      </c>
      <c r="AP417" s="128">
        <v>10.0</v>
      </c>
      <c r="AQ417" s="128">
        <v>18.0</v>
      </c>
      <c r="AS417" s="44" t="s">
        <v>253</v>
      </c>
      <c r="AT417" s="44">
        <v>416.0</v>
      </c>
      <c r="AU417" s="44"/>
      <c r="AW417" s="93"/>
      <c r="AY417" s="93"/>
      <c r="AZ417" s="93"/>
      <c r="BA417" s="93"/>
      <c r="BB417" s="155"/>
      <c r="BC417" s="93"/>
      <c r="BE417" s="93"/>
      <c r="BG417" s="93"/>
      <c r="BH417" s="93"/>
      <c r="BI417" s="93"/>
      <c r="BJ417" s="155"/>
      <c r="BK417" s="93"/>
    </row>
    <row r="418">
      <c r="A418" s="166">
        <v>44300.037280902776</v>
      </c>
      <c r="B418" s="44" t="s">
        <v>110</v>
      </c>
      <c r="C418" s="128">
        <v>925.1755087853704</v>
      </c>
      <c r="D418" s="128">
        <v>18.0</v>
      </c>
      <c r="E418" s="128">
        <v>928.3091991273276</v>
      </c>
      <c r="F418" s="44" t="s">
        <v>248</v>
      </c>
      <c r="G418" s="128">
        <v>1016.6474451883652</v>
      </c>
      <c r="H418" s="128">
        <v>27.0</v>
      </c>
      <c r="I418" s="128">
        <v>1025.419243502768</v>
      </c>
      <c r="J418" s="44" t="s">
        <v>245</v>
      </c>
      <c r="K418" s="128">
        <v>1084.3232961879226</v>
      </c>
      <c r="L418" s="128">
        <v>38.0</v>
      </c>
      <c r="M418" s="128">
        <v>1100.2401580241258</v>
      </c>
      <c r="N418" s="44" t="s">
        <v>47</v>
      </c>
      <c r="O418" s="128">
        <v>1092.2381361087891</v>
      </c>
      <c r="P418" s="128">
        <v>17.0</v>
      </c>
      <c r="Q418" s="128">
        <v>1094.1369746477492</v>
      </c>
      <c r="R418" s="44" t="s">
        <v>31</v>
      </c>
      <c r="S418" s="128">
        <v>1589.2924990869208</v>
      </c>
      <c r="T418" s="128">
        <v>30.0</v>
      </c>
      <c r="U418" s="128">
        <v>1599.5713100553974</v>
      </c>
      <c r="V418" s="44" t="s">
        <v>61</v>
      </c>
      <c r="W418" s="128">
        <v>938.6379868586815</v>
      </c>
      <c r="X418" s="128">
        <v>21.0</v>
      </c>
      <c r="Y418" s="128">
        <v>931.0868605110487</v>
      </c>
      <c r="Z418" s="44" t="s">
        <v>90</v>
      </c>
      <c r="AA418" s="128">
        <v>968.2199302878505</v>
      </c>
      <c r="AB418" s="128">
        <v>15.0</v>
      </c>
      <c r="AC418" s="128">
        <v>956.568736400224</v>
      </c>
      <c r="AD418" s="44" t="s">
        <v>107</v>
      </c>
      <c r="AE418" s="128">
        <v>1058.8720319731465</v>
      </c>
      <c r="AF418" s="128">
        <v>10.0</v>
      </c>
      <c r="AG418" s="128">
        <v>1043.6471840699526</v>
      </c>
      <c r="AH418" s="44" t="s">
        <v>27</v>
      </c>
      <c r="AI418" s="128">
        <v>1157.6328928591884</v>
      </c>
      <c r="AJ418" s="128">
        <v>28.0</v>
      </c>
      <c r="AK418" s="128">
        <v>1154.2462709286904</v>
      </c>
      <c r="AL418" s="44" t="s">
        <v>23</v>
      </c>
      <c r="AM418" s="128">
        <v>1584.4283382984584</v>
      </c>
      <c r="AN418" s="128">
        <v>30.0</v>
      </c>
      <c r="AO418" s="128">
        <v>1582.2421283674096</v>
      </c>
      <c r="AP418" s="128">
        <v>19.0</v>
      </c>
      <c r="AQ418" s="128">
        <v>9.0</v>
      </c>
      <c r="AR418" s="44" t="s">
        <v>494</v>
      </c>
      <c r="AS418" s="44" t="s">
        <v>244</v>
      </c>
      <c r="AT418" s="44">
        <v>417.0</v>
      </c>
      <c r="AU418" s="44"/>
      <c r="AV418" s="44" t="s">
        <v>121</v>
      </c>
      <c r="AW418" s="45">
        <v>827.6487809551312</v>
      </c>
      <c r="AX418" s="44">
        <v>6.0</v>
      </c>
      <c r="AY418" s="145">
        <v>828.05</v>
      </c>
      <c r="AZ418" s="93"/>
      <c r="BA418" s="93"/>
      <c r="BB418" s="155"/>
      <c r="BC418" s="93"/>
      <c r="BD418" s="44" t="s">
        <v>129</v>
      </c>
      <c r="BE418" s="45">
        <v>728.8454519242208</v>
      </c>
      <c r="BF418" s="44">
        <v>6.0</v>
      </c>
      <c r="BG418" s="145">
        <v>711.59</v>
      </c>
      <c r="BH418" s="93"/>
      <c r="BI418" s="93"/>
      <c r="BJ418" s="155"/>
      <c r="BK418" s="93"/>
    </row>
    <row r="419">
      <c r="A419" s="166">
        <v>44300.959523784724</v>
      </c>
      <c r="B419" s="44" t="s">
        <v>88</v>
      </c>
      <c r="C419" s="128">
        <v>781.3837785894976</v>
      </c>
      <c r="D419" s="128">
        <v>15.0</v>
      </c>
      <c r="E419" s="128">
        <v>784.5162927909222</v>
      </c>
      <c r="F419" s="44" t="s">
        <v>98</v>
      </c>
      <c r="G419" s="128">
        <v>894.6683600666993</v>
      </c>
      <c r="H419" s="128">
        <v>17.0</v>
      </c>
      <c r="I419" s="128">
        <v>898.3215927928214</v>
      </c>
      <c r="J419" s="44" t="s">
        <v>27</v>
      </c>
      <c r="K419" s="128">
        <v>1154.2462709286904</v>
      </c>
      <c r="L419" s="128">
        <v>18.0</v>
      </c>
      <c r="M419" s="128">
        <v>1157.9018271627401</v>
      </c>
      <c r="N419" s="44" t="s">
        <v>23</v>
      </c>
      <c r="O419" s="128">
        <v>1582.2421283674096</v>
      </c>
      <c r="P419" s="128">
        <v>34.0</v>
      </c>
      <c r="Q419" s="128">
        <v>1592.800825205813</v>
      </c>
      <c r="V419" s="44" t="s">
        <v>121</v>
      </c>
      <c r="W419" s="128">
        <v>828.05</v>
      </c>
      <c r="X419" s="128">
        <v>7.0</v>
      </c>
      <c r="Y419" s="128">
        <v>818.741706834319</v>
      </c>
      <c r="Z419" s="44" t="s">
        <v>486</v>
      </c>
      <c r="AA419" s="128">
        <v>967.7475485461459</v>
      </c>
      <c r="AB419" s="128">
        <v>17.0</v>
      </c>
      <c r="AC419" s="128">
        <v>962.5174581403071</v>
      </c>
      <c r="AD419" s="44" t="s">
        <v>112</v>
      </c>
      <c r="AE419" s="128">
        <v>1026.1143936107424</v>
      </c>
      <c r="AF419" s="128">
        <v>15.0</v>
      </c>
      <c r="AG419" s="128">
        <v>1019.9223350302934</v>
      </c>
      <c r="AH419" s="44" t="s">
        <v>31</v>
      </c>
      <c r="AI419" s="128">
        <v>1599.5713100553974</v>
      </c>
      <c r="AJ419" s="128">
        <v>29.0</v>
      </c>
      <c r="AK419" s="128">
        <v>1599.3017522073662</v>
      </c>
      <c r="AP419" s="128">
        <v>16.0</v>
      </c>
      <c r="AQ419" s="128">
        <v>12.0</v>
      </c>
      <c r="AS419" s="44" t="s">
        <v>232</v>
      </c>
      <c r="AT419" s="44">
        <v>418.0</v>
      </c>
      <c r="AU419" s="44"/>
      <c r="AW419" s="93"/>
      <c r="AY419" s="93"/>
      <c r="AZ419" s="93"/>
      <c r="BA419" s="93"/>
      <c r="BB419" s="155"/>
      <c r="BC419" s="93"/>
      <c r="BE419" s="93"/>
      <c r="BG419" s="93"/>
      <c r="BH419" s="93"/>
      <c r="BI419" s="93"/>
      <c r="BJ419" s="155"/>
      <c r="BK419" s="93"/>
    </row>
    <row r="420">
      <c r="A420" s="166">
        <v>44301.011489282406</v>
      </c>
      <c r="B420" s="44" t="s">
        <v>88</v>
      </c>
      <c r="C420" s="128">
        <v>784.5162927909222</v>
      </c>
      <c r="D420" s="128">
        <v>11.0</v>
      </c>
      <c r="E420" s="128">
        <v>780.5595948795351</v>
      </c>
      <c r="F420" s="44" t="s">
        <v>110</v>
      </c>
      <c r="G420" s="128">
        <v>928.3091991273276</v>
      </c>
      <c r="H420" s="128">
        <v>21.0</v>
      </c>
      <c r="I420" s="128">
        <v>925.8342029535276</v>
      </c>
      <c r="J420" s="44" t="s">
        <v>245</v>
      </c>
      <c r="K420" s="128">
        <v>1100.2401580241258</v>
      </c>
      <c r="L420" s="128">
        <v>21.0</v>
      </c>
      <c r="M420" s="128">
        <v>1097.6361297510814</v>
      </c>
      <c r="N420" s="44" t="s">
        <v>27</v>
      </c>
      <c r="O420" s="128">
        <v>1157.9018271627401</v>
      </c>
      <c r="P420" s="128">
        <v>38.0</v>
      </c>
      <c r="Q420" s="128">
        <v>1157.8918271627401</v>
      </c>
      <c r="R420" s="44" t="s">
        <v>23</v>
      </c>
      <c r="S420" s="128">
        <v>1592.800825205813</v>
      </c>
      <c r="T420" s="128">
        <v>30.0</v>
      </c>
      <c r="U420" s="128">
        <v>1591.6313825517163</v>
      </c>
      <c r="V420" s="44" t="s">
        <v>90</v>
      </c>
      <c r="W420" s="128">
        <v>956.568736400224</v>
      </c>
      <c r="X420" s="128">
        <v>22.0</v>
      </c>
      <c r="Y420" s="128">
        <v>958.8825183840038</v>
      </c>
      <c r="Z420" s="44" t="s">
        <v>486</v>
      </c>
      <c r="AA420" s="128">
        <v>962.5174581403071</v>
      </c>
      <c r="AB420" s="128">
        <v>15.0</v>
      </c>
      <c r="AC420" s="128">
        <v>963.6599633362825</v>
      </c>
      <c r="AD420" s="44" t="s">
        <v>112</v>
      </c>
      <c r="AE420" s="128">
        <v>1019.9223350302934</v>
      </c>
      <c r="AF420" s="128">
        <v>23.0</v>
      </c>
      <c r="AG420" s="128">
        <v>1022.3587534791133</v>
      </c>
      <c r="AH420" s="44" t="s">
        <v>248</v>
      </c>
      <c r="AI420" s="128">
        <v>1025.419243502768</v>
      </c>
      <c r="AJ420" s="128">
        <v>25.0</v>
      </c>
      <c r="AK420" s="128">
        <v>1028.185688873658</v>
      </c>
      <c r="AL420" s="44" t="s">
        <v>31</v>
      </c>
      <c r="AM420" s="128">
        <v>1599.3017522073662</v>
      </c>
      <c r="AN420" s="128">
        <v>17.0</v>
      </c>
      <c r="AO420" s="128">
        <v>1600.6426012079012</v>
      </c>
      <c r="AP420" s="128">
        <v>13.0</v>
      </c>
      <c r="AQ420" s="128">
        <v>15.0</v>
      </c>
      <c r="AS420" s="44" t="s">
        <v>244</v>
      </c>
      <c r="AT420" s="44">
        <v>419.0</v>
      </c>
      <c r="AU420" s="44"/>
      <c r="AW420" s="93"/>
      <c r="AY420" s="93"/>
      <c r="AZ420" s="93"/>
      <c r="BA420" s="93"/>
      <c r="BB420" s="155"/>
      <c r="BC420" s="93"/>
      <c r="BD420" s="44" t="s">
        <v>127</v>
      </c>
      <c r="BE420" s="45">
        <v>603.89</v>
      </c>
      <c r="BF420" s="44">
        <v>0.0</v>
      </c>
      <c r="BG420" s="145">
        <v>603.9</v>
      </c>
      <c r="BH420" s="93"/>
      <c r="BI420" s="93"/>
      <c r="BJ420" s="155"/>
      <c r="BK420" s="93"/>
    </row>
    <row r="421">
      <c r="A421" s="166">
        <v>44301.05146166666</v>
      </c>
      <c r="B421" s="44" t="s">
        <v>88</v>
      </c>
      <c r="C421" s="128">
        <v>780.5595948795351</v>
      </c>
      <c r="D421" s="128">
        <v>12.0</v>
      </c>
      <c r="E421" s="128">
        <v>773.5969089935584</v>
      </c>
      <c r="F421" s="44" t="s">
        <v>110</v>
      </c>
      <c r="G421" s="128">
        <v>925.8342029535276</v>
      </c>
      <c r="H421" s="128">
        <v>20.0</v>
      </c>
      <c r="I421" s="128">
        <v>922.0250027890229</v>
      </c>
      <c r="J421" s="44" t="s">
        <v>90</v>
      </c>
      <c r="K421" s="128">
        <v>958.8825183840038</v>
      </c>
      <c r="L421" s="128">
        <v>8.0</v>
      </c>
      <c r="M421" s="128">
        <v>949.7635280707511</v>
      </c>
      <c r="N421" s="44" t="s">
        <v>31</v>
      </c>
      <c r="O421" s="128">
        <v>1600.6426012079012</v>
      </c>
      <c r="P421" s="128">
        <v>27.0</v>
      </c>
      <c r="Q421" s="128">
        <v>1599.533477571635</v>
      </c>
      <c r="V421" s="44" t="s">
        <v>486</v>
      </c>
      <c r="W421" s="128">
        <v>963.6599633362825</v>
      </c>
      <c r="X421" s="128">
        <v>15.0</v>
      </c>
      <c r="Y421" s="128">
        <v>966.218527365826</v>
      </c>
      <c r="Z421" s="44" t="s">
        <v>248</v>
      </c>
      <c r="AA421" s="128">
        <v>1028.185688873658</v>
      </c>
      <c r="AB421" s="128">
        <v>26.0</v>
      </c>
      <c r="AC421" s="128">
        <v>1035.4370154824794</v>
      </c>
      <c r="AD421" s="44" t="s">
        <v>245</v>
      </c>
      <c r="AE421" s="128">
        <v>1097.6361297510814</v>
      </c>
      <c r="AF421" s="128">
        <v>26.0</v>
      </c>
      <c r="AG421" s="128">
        <v>1104.7917711417447</v>
      </c>
      <c r="AH421" s="44" t="s">
        <v>27</v>
      </c>
      <c r="AI421" s="128">
        <v>1157.8918271627401</v>
      </c>
      <c r="AJ421" s="128">
        <v>19.0</v>
      </c>
      <c r="AK421" s="128">
        <v>1161.9262951337118</v>
      </c>
      <c r="AP421" s="128">
        <v>11.0</v>
      </c>
      <c r="AQ421" s="128">
        <v>17.0</v>
      </c>
      <c r="AT421" s="44">
        <v>420.0</v>
      </c>
      <c r="AU421" s="44"/>
      <c r="AW421" s="93"/>
      <c r="AY421" s="93"/>
      <c r="AZ421" s="93"/>
      <c r="BA421" s="93"/>
      <c r="BB421" s="155"/>
      <c r="BC421" s="93"/>
      <c r="BE421" s="93"/>
      <c r="BG421" s="93"/>
      <c r="BH421" s="93"/>
      <c r="BI421" s="93"/>
      <c r="BJ421" s="155"/>
      <c r="BK421" s="93"/>
    </row>
    <row r="422">
      <c r="A422" s="166">
        <v>44301.95717094907</v>
      </c>
      <c r="B422" s="44" t="s">
        <v>88</v>
      </c>
      <c r="C422" s="128">
        <v>773.5969089935584</v>
      </c>
      <c r="D422" s="128">
        <v>10.0</v>
      </c>
      <c r="E422" s="128">
        <v>774.5671842094797</v>
      </c>
      <c r="F422" s="44" t="s">
        <v>486</v>
      </c>
      <c r="G422" s="128">
        <v>966.218527365826</v>
      </c>
      <c r="H422" s="128">
        <v>7.0</v>
      </c>
      <c r="I422" s="128">
        <v>966.228527365826</v>
      </c>
      <c r="J422" s="44" t="s">
        <v>92</v>
      </c>
      <c r="K422" s="128">
        <v>1102.3357029136862</v>
      </c>
      <c r="L422" s="128">
        <v>24.0</v>
      </c>
      <c r="M422" s="128">
        <v>1109.1756372546035</v>
      </c>
      <c r="N422" s="44" t="s">
        <v>31</v>
      </c>
      <c r="O422" s="128">
        <v>1599.533477571635</v>
      </c>
      <c r="P422" s="128">
        <v>44.0</v>
      </c>
      <c r="Q422" s="128">
        <v>1615.793006881092</v>
      </c>
      <c r="V422" s="44" t="s">
        <v>110</v>
      </c>
      <c r="W422" s="128">
        <v>922.0250027890229</v>
      </c>
      <c r="X422" s="128">
        <v>13.0</v>
      </c>
      <c r="Y422" s="128">
        <v>913.5781836544929</v>
      </c>
      <c r="Z422" s="44" t="s">
        <v>90</v>
      </c>
      <c r="AA422" s="128">
        <v>949.7635280707511</v>
      </c>
      <c r="AB422" s="128">
        <v>21.0</v>
      </c>
      <c r="AC422" s="128">
        <v>945.0875075945653</v>
      </c>
      <c r="AD422" s="44" t="s">
        <v>112</v>
      </c>
      <c r="AE422" s="128">
        <v>1022.3587534791133</v>
      </c>
      <c r="AF422" s="128">
        <v>17.0</v>
      </c>
      <c r="AG422" s="128">
        <v>1015.629863974723</v>
      </c>
      <c r="AH422" s="44" t="s">
        <v>23</v>
      </c>
      <c r="AI422" s="128">
        <v>1591.6313825517163</v>
      </c>
      <c r="AJ422" s="128">
        <v>25.0</v>
      </c>
      <c r="AK422" s="128">
        <v>1588.4831116668224</v>
      </c>
      <c r="AP422" s="128">
        <v>17.0</v>
      </c>
      <c r="AQ422" s="128">
        <v>11.0</v>
      </c>
      <c r="AT422" s="44">
        <v>421.0</v>
      </c>
      <c r="AU422" s="44"/>
      <c r="AW422" s="93"/>
      <c r="AY422" s="93"/>
      <c r="AZ422" s="93"/>
      <c r="BA422" s="93"/>
      <c r="BB422" s="155"/>
      <c r="BC422" s="93"/>
      <c r="BE422" s="93"/>
      <c r="BG422" s="93"/>
      <c r="BH422" s="93"/>
      <c r="BI422" s="93"/>
      <c r="BJ422" s="155"/>
      <c r="BK422" s="93"/>
    </row>
    <row r="423">
      <c r="A423" s="166">
        <v>44302.02922719908</v>
      </c>
      <c r="B423" s="44" t="s">
        <v>88</v>
      </c>
      <c r="C423" s="128">
        <v>774.5671842094797</v>
      </c>
      <c r="D423" s="128">
        <v>16.0</v>
      </c>
      <c r="E423" s="128">
        <v>771.0477219855827</v>
      </c>
      <c r="F423" s="44" t="s">
        <v>110</v>
      </c>
      <c r="G423" s="128">
        <v>913.5781836544929</v>
      </c>
      <c r="H423" s="128">
        <v>22.0</v>
      </c>
      <c r="I423" s="128">
        <v>910.8613621270867</v>
      </c>
      <c r="J423" s="44" t="s">
        <v>486</v>
      </c>
      <c r="K423" s="128">
        <v>966.228527365826</v>
      </c>
      <c r="L423" s="128">
        <v>28.0</v>
      </c>
      <c r="M423" s="128">
        <v>964.4556161437058</v>
      </c>
      <c r="N423" s="44" t="s">
        <v>92</v>
      </c>
      <c r="O423" s="128">
        <v>1109.1756372546035</v>
      </c>
      <c r="P423" s="128">
        <v>26.0</v>
      </c>
      <c r="Q423" s="128">
        <v>1106.96473508367</v>
      </c>
      <c r="R423" s="44" t="s">
        <v>23</v>
      </c>
      <c r="S423" s="128">
        <v>1588.4831116668224</v>
      </c>
      <c r="T423" s="128">
        <v>41.0</v>
      </c>
      <c r="U423" s="128">
        <v>1588.4731116668224</v>
      </c>
      <c r="V423" s="44" t="s">
        <v>127</v>
      </c>
      <c r="W423" s="128">
        <v>603.9</v>
      </c>
      <c r="X423" s="128">
        <v>4.0</v>
      </c>
      <c r="Y423" s="128">
        <v>601.944961282402</v>
      </c>
      <c r="Z423" s="44" t="s">
        <v>90</v>
      </c>
      <c r="AA423" s="128">
        <v>945.0875075945653</v>
      </c>
      <c r="AB423" s="128">
        <v>26.0</v>
      </c>
      <c r="AC423" s="128">
        <v>946.115830824261</v>
      </c>
      <c r="AD423" s="44" t="s">
        <v>112</v>
      </c>
      <c r="AE423" s="128">
        <v>1015.629863974723</v>
      </c>
      <c r="AF423" s="128">
        <v>35.0</v>
      </c>
      <c r="AG423" s="128">
        <v>1018.080133024769</v>
      </c>
      <c r="AH423" s="44" t="s">
        <v>27</v>
      </c>
      <c r="AI423" s="128">
        <v>1161.9262951337118</v>
      </c>
      <c r="AJ423" s="128">
        <v>37.0</v>
      </c>
      <c r="AK423" s="128">
        <v>1164.6086207478202</v>
      </c>
      <c r="AL423" s="44" t="s">
        <v>31</v>
      </c>
      <c r="AM423" s="128">
        <v>1615.793006881092</v>
      </c>
      <c r="AN423" s="128">
        <v>56.0</v>
      </c>
      <c r="AO423" s="128">
        <v>1621.58712770484</v>
      </c>
      <c r="AP423" s="128">
        <v>19.0</v>
      </c>
      <c r="AQ423" s="128">
        <v>23.0</v>
      </c>
      <c r="AT423" s="44">
        <v>422.0</v>
      </c>
      <c r="AU423" s="44"/>
      <c r="AW423" s="93"/>
      <c r="AY423" s="93"/>
      <c r="AZ423" s="93"/>
      <c r="BA423" s="93"/>
      <c r="BB423" s="155"/>
      <c r="BC423" s="93"/>
      <c r="BE423" s="93"/>
      <c r="BG423" s="93"/>
      <c r="BH423" s="93"/>
      <c r="BI423" s="93"/>
      <c r="BJ423" s="155"/>
      <c r="BK423" s="93"/>
    </row>
    <row r="424">
      <c r="A424" s="166">
        <v>44302.938188726854</v>
      </c>
      <c r="B424" s="44" t="s">
        <v>88</v>
      </c>
      <c r="C424" s="128">
        <v>771.0477219855827</v>
      </c>
      <c r="D424" s="128">
        <v>13.0</v>
      </c>
      <c r="E424" s="128">
        <v>771.318265214193</v>
      </c>
      <c r="F424" s="44" t="s">
        <v>98</v>
      </c>
      <c r="G424" s="128">
        <v>898.3215927928214</v>
      </c>
      <c r="H424" s="128">
        <v>15.0</v>
      </c>
      <c r="I424" s="128">
        <v>898.6962581920938</v>
      </c>
      <c r="J424" s="44" t="s">
        <v>110</v>
      </c>
      <c r="K424" s="128">
        <v>910.8613621270867</v>
      </c>
      <c r="L424" s="128">
        <v>12.0</v>
      </c>
      <c r="M424" s="128">
        <v>910.9282514617595</v>
      </c>
      <c r="N424" s="44" t="s">
        <v>23</v>
      </c>
      <c r="O424" s="128">
        <v>1588.4731116668224</v>
      </c>
      <c r="P424" s="128">
        <v>39.0</v>
      </c>
      <c r="Q424" s="128">
        <v>1591.117092190758</v>
      </c>
      <c r="R424" s="44" t="s">
        <v>31</v>
      </c>
      <c r="S424" s="128">
        <v>1621.58712770484</v>
      </c>
      <c r="T424" s="128">
        <v>39.0</v>
      </c>
      <c r="U424" s="128">
        <v>1624.231049218349</v>
      </c>
      <c r="V424" s="44" t="s">
        <v>58</v>
      </c>
      <c r="W424" s="128">
        <v>965.5039109718166</v>
      </c>
      <c r="X424" s="128">
        <v>13.0</v>
      </c>
      <c r="Y424" s="128">
        <v>963.8925529690894</v>
      </c>
      <c r="Z424" s="44" t="s">
        <v>112</v>
      </c>
      <c r="AA424" s="128">
        <v>1018.080133024769</v>
      </c>
      <c r="AB424" s="128">
        <v>27.0</v>
      </c>
      <c r="AC424" s="128">
        <v>1017.8512655653224</v>
      </c>
      <c r="AD424" s="44" t="s">
        <v>47</v>
      </c>
      <c r="AE424" s="128">
        <v>1094.1369746477492</v>
      </c>
      <c r="AF424" s="128">
        <v>14.0</v>
      </c>
      <c r="AG424" s="128">
        <v>1092.5887345873484</v>
      </c>
      <c r="AH424" s="44" t="s">
        <v>92</v>
      </c>
      <c r="AI424" s="128">
        <v>1106.96473508367</v>
      </c>
      <c r="AJ424" s="128">
        <v>14.0</v>
      </c>
      <c r="AK424" s="128">
        <v>1105.413865637542</v>
      </c>
      <c r="AL424" s="44" t="s">
        <v>27</v>
      </c>
      <c r="AM424" s="128">
        <v>1164.6086207478202</v>
      </c>
      <c r="AN424" s="128">
        <v>19.0</v>
      </c>
      <c r="AO424" s="128">
        <v>1163.547955716523</v>
      </c>
      <c r="AP424" s="128">
        <v>19.0</v>
      </c>
      <c r="AQ424" s="128">
        <v>9.0</v>
      </c>
      <c r="AR424" s="44" t="s">
        <v>495</v>
      </c>
      <c r="AS424" s="44" t="s">
        <v>229</v>
      </c>
      <c r="AT424" s="44">
        <v>423.0</v>
      </c>
      <c r="AU424" s="44"/>
      <c r="AV424" s="44" t="s">
        <v>123</v>
      </c>
      <c r="AW424" s="45">
        <v>737.45</v>
      </c>
      <c r="AX424" s="44">
        <v>16.0</v>
      </c>
      <c r="AY424" s="145">
        <v>738.22</v>
      </c>
      <c r="AZ424" s="93"/>
      <c r="BA424" s="93"/>
      <c r="BB424" s="155"/>
      <c r="BC424" s="93"/>
      <c r="BD424" s="44" t="s">
        <v>61</v>
      </c>
      <c r="BE424" s="45">
        <v>931.0868605110487</v>
      </c>
      <c r="BF424" s="44">
        <v>28.0</v>
      </c>
      <c r="BG424" s="145">
        <v>930.89</v>
      </c>
      <c r="BH424" s="93"/>
      <c r="BI424" s="93"/>
      <c r="BJ424" s="155"/>
      <c r="BK424" s="93"/>
    </row>
    <row r="425">
      <c r="A425" s="166">
        <v>44302.99277776621</v>
      </c>
      <c r="B425" s="44" t="s">
        <v>58</v>
      </c>
      <c r="C425" s="128">
        <v>963.8925529690894</v>
      </c>
      <c r="D425" s="128">
        <v>12.0</v>
      </c>
      <c r="E425" s="128">
        <v>964.2872810665377</v>
      </c>
      <c r="F425" s="44" t="s">
        <v>112</v>
      </c>
      <c r="G425" s="128">
        <v>1017.8512655653224</v>
      </c>
      <c r="H425" s="128">
        <v>25.0</v>
      </c>
      <c r="I425" s="128">
        <v>1020.374734966836</v>
      </c>
      <c r="J425" s="44" t="s">
        <v>248</v>
      </c>
      <c r="K425" s="128">
        <v>1035.4370154824794</v>
      </c>
      <c r="L425" s="128">
        <v>20.0</v>
      </c>
      <c r="M425" s="128">
        <v>1037.1164497767504</v>
      </c>
      <c r="N425" s="44" t="s">
        <v>47</v>
      </c>
      <c r="O425" s="128">
        <v>1092.5887345873484</v>
      </c>
      <c r="P425" s="128">
        <v>17.0</v>
      </c>
      <c r="Q425" s="128">
        <v>1093.738655076423</v>
      </c>
      <c r="R425" s="44" t="s">
        <v>23</v>
      </c>
      <c r="S425" s="128">
        <v>1591.117092190758</v>
      </c>
      <c r="T425" s="128">
        <v>36.0</v>
      </c>
      <c r="U425" s="128">
        <v>1595.3695399084506</v>
      </c>
      <c r="V425" s="44" t="s">
        <v>98</v>
      </c>
      <c r="W425" s="128">
        <v>898.6962581920938</v>
      </c>
      <c r="X425" s="128">
        <v>21.0</v>
      </c>
      <c r="Y425" s="128">
        <v>896.4380442407536</v>
      </c>
      <c r="Z425" s="44" t="s">
        <v>110</v>
      </c>
      <c r="AA425" s="128">
        <v>910.9282514617595</v>
      </c>
      <c r="AB425" s="128">
        <v>19.0</v>
      </c>
      <c r="AC425" s="128">
        <v>908.3244866978202</v>
      </c>
      <c r="AD425" s="44" t="s">
        <v>92</v>
      </c>
      <c r="AE425" s="128">
        <v>1105.413865637542</v>
      </c>
      <c r="AF425" s="128">
        <v>18.0</v>
      </c>
      <c r="AG425" s="128">
        <v>1102.5070732490844</v>
      </c>
      <c r="AH425" s="44" t="s">
        <v>27</v>
      </c>
      <c r="AI425" s="128">
        <v>1163.547955716523</v>
      </c>
      <c r="AJ425" s="128">
        <v>28.0</v>
      </c>
      <c r="AK425" s="128">
        <v>1162.2856305224723</v>
      </c>
      <c r="AL425" s="44" t="s">
        <v>31</v>
      </c>
      <c r="AM425" s="128">
        <v>1624.231049218349</v>
      </c>
      <c r="AN425" s="128">
        <v>30.0</v>
      </c>
      <c r="AO425" s="128">
        <v>1623.2621455161366</v>
      </c>
      <c r="AP425" s="128">
        <v>15.0</v>
      </c>
      <c r="AQ425" s="128">
        <v>13.0</v>
      </c>
      <c r="AS425" s="44" t="s">
        <v>293</v>
      </c>
      <c r="AT425" s="44">
        <v>424.0</v>
      </c>
      <c r="AU425" s="44"/>
      <c r="AV425" s="44" t="s">
        <v>88</v>
      </c>
      <c r="AW425" s="45">
        <v>771.318265214193</v>
      </c>
      <c r="AX425" s="44">
        <v>16.0</v>
      </c>
      <c r="AY425" s="145">
        <v>772.34</v>
      </c>
      <c r="AZ425" s="93"/>
      <c r="BA425" s="93"/>
      <c r="BB425" s="155"/>
      <c r="BC425" s="93"/>
      <c r="BD425" s="44" t="s">
        <v>123</v>
      </c>
      <c r="BE425" s="45">
        <v>738.22</v>
      </c>
      <c r="BF425" s="44">
        <v>9.0</v>
      </c>
      <c r="BG425" s="145">
        <v>731.55</v>
      </c>
      <c r="BH425" s="93"/>
      <c r="BI425" s="93"/>
      <c r="BJ425" s="155"/>
      <c r="BK425" s="93"/>
    </row>
    <row r="426">
      <c r="A426" s="166">
        <v>44303.04234980324</v>
      </c>
      <c r="B426" s="44" t="s">
        <v>98</v>
      </c>
      <c r="C426" s="128">
        <v>896.4380442407536</v>
      </c>
      <c r="D426" s="128">
        <v>30.0</v>
      </c>
      <c r="E426" s="128">
        <v>896.3380375508912</v>
      </c>
      <c r="F426" s="44" t="s">
        <v>58</v>
      </c>
      <c r="G426" s="128">
        <v>964.2872810665377</v>
      </c>
      <c r="H426" s="128">
        <v>20.0</v>
      </c>
      <c r="I426" s="128">
        <v>962.2975253018664</v>
      </c>
      <c r="J426" s="44" t="s">
        <v>112</v>
      </c>
      <c r="K426" s="128">
        <v>1020.374734966836</v>
      </c>
      <c r="L426" s="128">
        <v>18.0</v>
      </c>
      <c r="M426" s="128">
        <v>1017.9808421945346</v>
      </c>
      <c r="N426" s="44" t="s">
        <v>47</v>
      </c>
      <c r="O426" s="128">
        <v>1093.738655076423</v>
      </c>
      <c r="P426" s="128">
        <v>10.0</v>
      </c>
      <c r="Q426" s="128">
        <v>1089.840649592813</v>
      </c>
      <c r="R426" s="44" t="s">
        <v>92</v>
      </c>
      <c r="S426" s="128">
        <v>1102.5070732490844</v>
      </c>
      <c r="T426" s="128">
        <v>17.0</v>
      </c>
      <c r="U426" s="128">
        <v>1099.8887339595294</v>
      </c>
      <c r="V426" s="44" t="s">
        <v>123</v>
      </c>
      <c r="W426" s="128">
        <v>731.55</v>
      </c>
      <c r="X426" s="128">
        <v>15.0</v>
      </c>
      <c r="Y426" s="128">
        <v>733.0687968487629</v>
      </c>
      <c r="Z426" s="44" t="s">
        <v>88</v>
      </c>
      <c r="AA426" s="128">
        <v>772.338265214193</v>
      </c>
      <c r="AB426" s="128">
        <v>16.0</v>
      </c>
      <c r="AC426" s="128">
        <v>773.9828188048102</v>
      </c>
      <c r="AD426" s="44" t="s">
        <v>110</v>
      </c>
      <c r="AE426" s="128">
        <v>908.3244866978202</v>
      </c>
      <c r="AF426" s="128">
        <v>9.0</v>
      </c>
      <c r="AG426" s="128">
        <v>908.5289160016802</v>
      </c>
      <c r="AH426" s="44" t="s">
        <v>248</v>
      </c>
      <c r="AI426" s="128">
        <v>1037.1164497767504</v>
      </c>
      <c r="AJ426" s="128">
        <v>19.0</v>
      </c>
      <c r="AK426" s="128">
        <v>1039.0550718176983</v>
      </c>
      <c r="AL426" s="44" t="s">
        <v>23</v>
      </c>
      <c r="AM426" s="128">
        <v>1595.3695399084506</v>
      </c>
      <c r="AN426" s="128">
        <v>40.0</v>
      </c>
      <c r="AO426" s="128">
        <v>1601.0631381242627</v>
      </c>
      <c r="AP426" s="128">
        <v>13.0</v>
      </c>
      <c r="AQ426" s="128">
        <v>15.0</v>
      </c>
      <c r="AS426" s="44" t="s">
        <v>496</v>
      </c>
      <c r="AT426" s="44">
        <v>425.0</v>
      </c>
      <c r="AU426" s="44"/>
      <c r="AW426" s="93"/>
      <c r="AY426" s="93"/>
      <c r="AZ426" s="93"/>
      <c r="BA426" s="93"/>
      <c r="BB426" s="155"/>
      <c r="BC426" s="93"/>
      <c r="BE426" s="93"/>
      <c r="BG426" s="93"/>
      <c r="BH426" s="93"/>
      <c r="BI426" s="93"/>
      <c r="BJ426" s="155"/>
      <c r="BK426" s="93"/>
    </row>
    <row r="427">
      <c r="A427" s="166">
        <v>44303.982804224535</v>
      </c>
      <c r="B427" s="44" t="s">
        <v>90</v>
      </c>
      <c r="C427" s="128">
        <v>946.115830824261</v>
      </c>
      <c r="D427" s="128">
        <v>21.0</v>
      </c>
      <c r="E427" s="128">
        <v>958.3149763336074</v>
      </c>
      <c r="F427" s="44" t="s">
        <v>248</v>
      </c>
      <c r="G427" s="128">
        <v>1039.0550718176983</v>
      </c>
      <c r="H427" s="128">
        <v>20.0</v>
      </c>
      <c r="I427" s="128">
        <v>1049.6582620584663</v>
      </c>
      <c r="J427" s="44" t="s">
        <v>27</v>
      </c>
      <c r="K427" s="128">
        <v>1162.2856305224723</v>
      </c>
      <c r="L427" s="128">
        <v>27.0</v>
      </c>
      <c r="M427" s="128">
        <v>1180.4832947723578</v>
      </c>
      <c r="N427" s="44"/>
      <c r="O427" s="128"/>
      <c r="P427" s="128"/>
      <c r="Q427" s="128"/>
      <c r="V427" s="44" t="s">
        <v>486</v>
      </c>
      <c r="W427" s="128">
        <v>964.4556161437058</v>
      </c>
      <c r="X427" s="128">
        <v>12.0</v>
      </c>
      <c r="Y427" s="128">
        <v>945.7452644376273</v>
      </c>
      <c r="Z427" s="44" t="s">
        <v>47</v>
      </c>
      <c r="AA427" s="128">
        <v>1089.840649592813</v>
      </c>
      <c r="AB427" s="128">
        <v>18.0</v>
      </c>
      <c r="AC427" s="128">
        <v>1077.5684887242164</v>
      </c>
      <c r="AD427" s="44" t="s">
        <v>92</v>
      </c>
      <c r="AE427" s="128">
        <v>1099.8887339595294</v>
      </c>
      <c r="AF427" s="128">
        <v>20.0</v>
      </c>
      <c r="AG427" s="128">
        <v>1089.8712465342046</v>
      </c>
      <c r="AH427" s="44"/>
      <c r="AI427" s="128"/>
      <c r="AJ427" s="128"/>
      <c r="AK427" s="128"/>
      <c r="AP427" s="128">
        <v>20.0</v>
      </c>
      <c r="AQ427" s="128">
        <v>8.0</v>
      </c>
      <c r="AT427" s="44">
        <v>426.0</v>
      </c>
      <c r="AU427" s="44"/>
      <c r="AW427" s="93"/>
      <c r="AY427" s="93"/>
      <c r="AZ427" s="93"/>
      <c r="BA427" s="93"/>
      <c r="BB427" s="155"/>
      <c r="BC427" s="93"/>
      <c r="BE427" s="93"/>
      <c r="BG427" s="93"/>
      <c r="BH427" s="93"/>
      <c r="BI427" s="93"/>
      <c r="BJ427" s="155"/>
      <c r="BK427" s="93"/>
    </row>
    <row r="428">
      <c r="A428" s="166">
        <v>44304.01973915509</v>
      </c>
      <c r="B428" s="44" t="s">
        <v>98</v>
      </c>
      <c r="C428" s="128">
        <v>896.3380375508912</v>
      </c>
      <c r="D428" s="128">
        <v>15.0</v>
      </c>
      <c r="E428" s="128">
        <v>883.0017580795081</v>
      </c>
      <c r="F428" s="44" t="s">
        <v>486</v>
      </c>
      <c r="G428" s="128">
        <v>945.7452644376273</v>
      </c>
      <c r="H428" s="128">
        <v>11.0</v>
      </c>
      <c r="I428" s="128">
        <v>928.6269920987343</v>
      </c>
      <c r="J428" s="44" t="s">
        <v>248</v>
      </c>
      <c r="K428" s="128">
        <v>1049.6582620584663</v>
      </c>
      <c r="L428" s="128">
        <v>26.0</v>
      </c>
      <c r="M428" s="128">
        <v>1045.6575682276525</v>
      </c>
      <c r="N428" s="44" t="s">
        <v>47</v>
      </c>
      <c r="O428" s="128">
        <v>1077.5684887242164</v>
      </c>
      <c r="P428" s="128">
        <v>21.0</v>
      </c>
      <c r="Q428" s="128">
        <v>1069.0237343653062</v>
      </c>
      <c r="V428" s="44" t="s">
        <v>129</v>
      </c>
      <c r="W428" s="128">
        <v>711.59</v>
      </c>
      <c r="X428" s="128">
        <v>14.0</v>
      </c>
      <c r="Y428" s="128">
        <v>716.5972974502215</v>
      </c>
      <c r="Z428" s="44" t="s">
        <v>90</v>
      </c>
      <c r="AA428" s="128">
        <v>958.3149763336074</v>
      </c>
      <c r="AB428" s="128">
        <v>10.0</v>
      </c>
      <c r="AC428" s="128">
        <v>958.1968720970015</v>
      </c>
      <c r="AD428" s="44" t="s">
        <v>92</v>
      </c>
      <c r="AE428" s="128">
        <v>1089.8712465342046</v>
      </c>
      <c r="AF428" s="128">
        <v>27.0</v>
      </c>
      <c r="AG428" s="128">
        <v>1104.5372337298097</v>
      </c>
      <c r="AH428" s="44" t="s">
        <v>27</v>
      </c>
      <c r="AI428" s="128">
        <v>1180.4832947723578</v>
      </c>
      <c r="AJ428" s="128">
        <v>37.0</v>
      </c>
      <c r="AK428" s="128">
        <v>1203.9281143631372</v>
      </c>
      <c r="AL428" s="44" t="s">
        <v>127</v>
      </c>
      <c r="AM428" s="45">
        <v>601.944961282402</v>
      </c>
      <c r="AN428" s="44">
        <v>6.0</v>
      </c>
      <c r="AO428" s="44">
        <v>601.5</v>
      </c>
      <c r="AP428" s="128">
        <v>6.0</v>
      </c>
      <c r="AQ428" s="128">
        <v>22.0</v>
      </c>
      <c r="AT428" s="44">
        <v>427.0</v>
      </c>
      <c r="AU428" s="44"/>
      <c r="AW428" s="93"/>
      <c r="AY428" s="93"/>
      <c r="AZ428" s="93"/>
      <c r="BA428" s="93"/>
      <c r="BB428" s="155"/>
      <c r="BC428" s="93"/>
      <c r="BE428" s="93"/>
      <c r="BG428" s="93"/>
      <c r="BH428" s="93"/>
      <c r="BI428" s="93"/>
      <c r="BJ428" s="155"/>
      <c r="BK428" s="93"/>
    </row>
    <row r="429">
      <c r="A429" s="166">
        <v>44304.945580625004</v>
      </c>
      <c r="B429" s="44" t="s">
        <v>88</v>
      </c>
      <c r="C429" s="128">
        <v>773.9828188048102</v>
      </c>
      <c r="D429" s="128">
        <v>16.0</v>
      </c>
      <c r="E429" s="128">
        <v>777.5139956816654</v>
      </c>
      <c r="F429" s="44" t="s">
        <v>112</v>
      </c>
      <c r="G429" s="128">
        <v>1017.9808421945346</v>
      </c>
      <c r="H429" s="128">
        <v>31.0</v>
      </c>
      <c r="I429" s="128">
        <v>1028.690384061744</v>
      </c>
      <c r="J429" s="44" t="s">
        <v>92</v>
      </c>
      <c r="K429" s="128">
        <v>1104.5372337298097</v>
      </c>
      <c r="L429" s="128">
        <v>20.0</v>
      </c>
      <c r="M429" s="128">
        <v>1109.296514985745</v>
      </c>
      <c r="N429" s="44"/>
      <c r="O429" s="128"/>
      <c r="P429" s="128"/>
      <c r="Q429" s="128"/>
      <c r="V429" s="44" t="s">
        <v>78</v>
      </c>
      <c r="W429" s="128">
        <v>954.9343497321821</v>
      </c>
      <c r="X429" s="128">
        <v>13.0</v>
      </c>
      <c r="Y429" s="128">
        <v>946.6723658966134</v>
      </c>
      <c r="Z429" s="44" t="s">
        <v>90</v>
      </c>
      <c r="AA429" s="128">
        <v>958.1968720970015</v>
      </c>
      <c r="AB429" s="128">
        <v>12.0</v>
      </c>
      <c r="AC429" s="128">
        <v>949.4010623441178</v>
      </c>
      <c r="AD429" s="44" t="s">
        <v>58</v>
      </c>
      <c r="AE429" s="128">
        <v>962.2975253018664</v>
      </c>
      <c r="AF429" s="128">
        <v>25.0</v>
      </c>
      <c r="AG429" s="128">
        <v>960.3553188903188</v>
      </c>
      <c r="AH429" s="44"/>
      <c r="AI429" s="128"/>
      <c r="AJ429" s="128"/>
      <c r="AK429" s="128"/>
      <c r="AP429" s="128">
        <v>17.0</v>
      </c>
      <c r="AQ429" s="128">
        <v>11.0</v>
      </c>
      <c r="AS429" s="44" t="s">
        <v>244</v>
      </c>
      <c r="AT429" s="44">
        <v>428.0</v>
      </c>
      <c r="AU429" s="44"/>
      <c r="AW429" s="93"/>
      <c r="AY429" s="93"/>
      <c r="AZ429" s="93"/>
      <c r="BA429" s="93"/>
      <c r="BB429" s="155"/>
      <c r="BC429" s="93"/>
      <c r="BE429" s="93"/>
      <c r="BG429" s="93"/>
      <c r="BH429" s="93"/>
      <c r="BI429" s="93"/>
      <c r="BJ429" s="155"/>
      <c r="BK429" s="93"/>
    </row>
    <row r="430">
      <c r="A430" s="166">
        <v>44304.97808855324</v>
      </c>
      <c r="B430" s="44" t="s">
        <v>123</v>
      </c>
      <c r="C430" s="128">
        <v>733.0687968487629</v>
      </c>
      <c r="D430" s="128">
        <v>12.0</v>
      </c>
      <c r="E430" s="128">
        <v>734.8766298586713</v>
      </c>
      <c r="F430" s="44" t="s">
        <v>88</v>
      </c>
      <c r="G430" s="128">
        <v>777.5139956816654</v>
      </c>
      <c r="H430" s="128">
        <v>14.0</v>
      </c>
      <c r="I430" s="128">
        <v>780.0819279492914</v>
      </c>
      <c r="J430" s="44" t="s">
        <v>112</v>
      </c>
      <c r="K430" s="128">
        <v>1028.690384061744</v>
      </c>
      <c r="L430" s="128">
        <v>28.0</v>
      </c>
      <c r="M430" s="128">
        <v>1037.0571761534393</v>
      </c>
      <c r="N430" s="44" t="s">
        <v>248</v>
      </c>
      <c r="O430" s="128">
        <v>1045.6575682276525</v>
      </c>
      <c r="P430" s="128">
        <v>30.0</v>
      </c>
      <c r="Q430" s="128">
        <v>1054.9150108584229</v>
      </c>
      <c r="V430" s="44" t="s">
        <v>127</v>
      </c>
      <c r="W430" s="128">
        <v>601.5</v>
      </c>
      <c r="X430" s="128">
        <v>5.0</v>
      </c>
      <c r="Y430" s="128">
        <v>591.2689425776429</v>
      </c>
      <c r="Z430" s="44" t="s">
        <v>90</v>
      </c>
      <c r="AA430" s="128">
        <v>949.4010623441178</v>
      </c>
      <c r="AB430" s="128">
        <v>15.0</v>
      </c>
      <c r="AC430" s="128">
        <v>942.8032075289633</v>
      </c>
      <c r="AD430" s="44" t="s">
        <v>58</v>
      </c>
      <c r="AE430" s="128">
        <v>960.3553188903188</v>
      </c>
      <c r="AF430" s="128">
        <v>30.0</v>
      </c>
      <c r="AG430" s="128">
        <v>960.6139316619983</v>
      </c>
      <c r="AH430" s="44" t="s">
        <v>92</v>
      </c>
      <c r="AI430" s="128">
        <v>1109.296514985745</v>
      </c>
      <c r="AJ430" s="128">
        <v>18.0</v>
      </c>
      <c r="AK430" s="128">
        <v>1103.8668144515773</v>
      </c>
      <c r="AP430" s="128">
        <v>18.0</v>
      </c>
      <c r="AQ430" s="128">
        <v>10.0</v>
      </c>
      <c r="AS430" s="44" t="s">
        <v>295</v>
      </c>
      <c r="AT430" s="44">
        <v>429.0</v>
      </c>
      <c r="AU430" s="44"/>
      <c r="AW430" s="93"/>
      <c r="AY430" s="93"/>
      <c r="AZ430" s="93"/>
      <c r="BA430" s="93"/>
      <c r="BB430" s="155"/>
      <c r="BC430" s="93"/>
      <c r="BE430" s="93"/>
      <c r="BG430" s="93"/>
      <c r="BH430" s="93"/>
      <c r="BI430" s="93"/>
      <c r="BJ430" s="155"/>
      <c r="BK430" s="93"/>
    </row>
    <row r="431">
      <c r="A431" s="166">
        <v>44305.962565821756</v>
      </c>
      <c r="B431" s="44" t="s">
        <v>110</v>
      </c>
      <c r="C431" s="128">
        <v>908.5289160016802</v>
      </c>
      <c r="D431" s="128">
        <v>27.0</v>
      </c>
      <c r="E431" s="128">
        <v>912.8453450729294</v>
      </c>
      <c r="F431" s="44" t="s">
        <v>61</v>
      </c>
      <c r="G431" s="128">
        <v>930.89</v>
      </c>
      <c r="H431" s="128">
        <v>22.0</v>
      </c>
      <c r="I431" s="128">
        <v>933.7537846802189</v>
      </c>
      <c r="J431" s="44" t="s">
        <v>90</v>
      </c>
      <c r="K431" s="128">
        <v>942.8032075289633</v>
      </c>
      <c r="L431" s="128">
        <v>23.0</v>
      </c>
      <c r="M431" s="128">
        <v>945.9321582781339</v>
      </c>
      <c r="N431" s="44" t="s">
        <v>112</v>
      </c>
      <c r="O431" s="128">
        <v>1037.0571761534393</v>
      </c>
      <c r="P431" s="128">
        <v>27.0</v>
      </c>
      <c r="Q431" s="128">
        <v>1041.1994016519072</v>
      </c>
      <c r="R431" s="44" t="s">
        <v>23</v>
      </c>
      <c r="S431" s="128">
        <v>1601.0631381242627</v>
      </c>
      <c r="T431" s="128">
        <v>22.0</v>
      </c>
      <c r="U431" s="128">
        <v>1603.611748125156</v>
      </c>
      <c r="V431" s="44" t="s">
        <v>58</v>
      </c>
      <c r="W431" s="128">
        <v>960.6139316619983</v>
      </c>
      <c r="X431" s="128">
        <v>19.0</v>
      </c>
      <c r="Y431" s="128">
        <v>956.469265734111</v>
      </c>
      <c r="Z431" s="44" t="s">
        <v>107</v>
      </c>
      <c r="AA431" s="128">
        <v>1043.6471840699526</v>
      </c>
      <c r="AB431" s="128">
        <v>9.0</v>
      </c>
      <c r="AC431" s="128">
        <v>1036.5782880067463</v>
      </c>
      <c r="AD431" s="44" t="s">
        <v>248</v>
      </c>
      <c r="AE431" s="128">
        <v>1054.9150108584229</v>
      </c>
      <c r="AF431" s="128">
        <v>23.0</v>
      </c>
      <c r="AG431" s="128">
        <v>1051.802581405128</v>
      </c>
      <c r="AH431" s="44" t="s">
        <v>92</v>
      </c>
      <c r="AI431" s="128">
        <v>1103.8668144515773</v>
      </c>
      <c r="AJ431" s="128">
        <v>25.0</v>
      </c>
      <c r="AK431" s="128">
        <v>1101.2822193193108</v>
      </c>
      <c r="AL431" s="44" t="s">
        <v>27</v>
      </c>
      <c r="AM431" s="128">
        <v>1203.9281143631372</v>
      </c>
      <c r="AN431" s="128">
        <v>34.0</v>
      </c>
      <c r="AO431" s="128">
        <v>1203.838700939792</v>
      </c>
      <c r="AP431" s="128">
        <v>17.0</v>
      </c>
      <c r="AQ431" s="128">
        <v>11.0</v>
      </c>
      <c r="AS431" s="44" t="s">
        <v>497</v>
      </c>
      <c r="AT431" s="44">
        <v>430.0</v>
      </c>
      <c r="AU431" s="44"/>
      <c r="AV431" s="44" t="s">
        <v>127</v>
      </c>
      <c r="AW431" s="45">
        <v>591.2689425776429</v>
      </c>
      <c r="AX431" s="44">
        <v>4.0</v>
      </c>
      <c r="AY431" s="145">
        <v>591.28</v>
      </c>
      <c r="AZ431" s="145" t="s">
        <v>88</v>
      </c>
      <c r="BA431" s="45">
        <v>780.0819279492914</v>
      </c>
      <c r="BB431" s="146" t="s">
        <v>498</v>
      </c>
      <c r="BC431" s="145">
        <v>782.9</v>
      </c>
      <c r="BD431" s="44" t="s">
        <v>123</v>
      </c>
      <c r="BE431" s="45">
        <v>734.8766298586713</v>
      </c>
      <c r="BF431" s="44">
        <v>15.0</v>
      </c>
      <c r="BG431" s="145">
        <v>730.0</v>
      </c>
      <c r="BH431" s="145" t="s">
        <v>121</v>
      </c>
      <c r="BI431" s="45">
        <v>818.741706834319</v>
      </c>
      <c r="BJ431" s="146" t="s">
        <v>499</v>
      </c>
      <c r="BK431" s="145">
        <v>813.25</v>
      </c>
    </row>
    <row r="432">
      <c r="A432" s="166">
        <v>44306.015019074075</v>
      </c>
      <c r="B432" s="44" t="s">
        <v>88</v>
      </c>
      <c r="C432" s="128">
        <v>782.9</v>
      </c>
      <c r="D432" s="128">
        <v>18.0</v>
      </c>
      <c r="E432" s="128">
        <v>784.3528899381758</v>
      </c>
      <c r="F432" s="44" t="s">
        <v>121</v>
      </c>
      <c r="G432" s="128">
        <v>813.25</v>
      </c>
      <c r="H432" s="128">
        <v>26.0</v>
      </c>
      <c r="I432" s="128">
        <v>817.152944623529</v>
      </c>
      <c r="J432" s="44" t="s">
        <v>61</v>
      </c>
      <c r="K432" s="128">
        <v>933.7537846802189</v>
      </c>
      <c r="L432" s="128">
        <v>28.0</v>
      </c>
      <c r="M432" s="128">
        <v>938.0156642923118</v>
      </c>
      <c r="N432" s="44" t="s">
        <v>90</v>
      </c>
      <c r="O432" s="128">
        <v>945.9321582781339</v>
      </c>
      <c r="P432" s="128">
        <v>19.0</v>
      </c>
      <c r="Q432" s="128">
        <v>947.3212591039658</v>
      </c>
      <c r="R432" s="44" t="s">
        <v>23</v>
      </c>
      <c r="S432" s="128">
        <v>1603.611748125156</v>
      </c>
      <c r="T432" s="128">
        <v>41.0</v>
      </c>
      <c r="U432" s="128">
        <v>1611.6049331255265</v>
      </c>
      <c r="V432" s="44" t="s">
        <v>123</v>
      </c>
      <c r="W432" s="128">
        <v>730.0</v>
      </c>
      <c r="X432" s="128">
        <v>17.0</v>
      </c>
      <c r="Y432" s="128">
        <v>724.0914609187673</v>
      </c>
      <c r="Z432" s="44" t="s">
        <v>107</v>
      </c>
      <c r="AA432" s="128">
        <v>1036.5782880067463</v>
      </c>
      <c r="AB432" s="128">
        <v>13.0</v>
      </c>
      <c r="AC432" s="128">
        <v>1028.7559486353948</v>
      </c>
      <c r="AD432" s="44" t="s">
        <v>112</v>
      </c>
      <c r="AE432" s="128">
        <v>1041.1994016519072</v>
      </c>
      <c r="AF432" s="128">
        <v>35.0</v>
      </c>
      <c r="AG432" s="128">
        <v>1040.3380119879387</v>
      </c>
      <c r="AH432" s="44" t="s">
        <v>248</v>
      </c>
      <c r="AI432" s="128">
        <v>1051.802581405128</v>
      </c>
      <c r="AJ432" s="128">
        <v>20.0</v>
      </c>
      <c r="AK432" s="128">
        <v>1046.1784836241577</v>
      </c>
      <c r="AL432" s="44" t="s">
        <v>27</v>
      </c>
      <c r="AM432" s="128">
        <v>1203.838700939792</v>
      </c>
      <c r="AN432" s="128">
        <v>42.0</v>
      </c>
      <c r="AO432" s="128">
        <v>1205.055066837315</v>
      </c>
      <c r="AP432" s="128">
        <v>17.0</v>
      </c>
      <c r="AQ432" s="128">
        <v>11.0</v>
      </c>
      <c r="AS432" s="44" t="s">
        <v>500</v>
      </c>
      <c r="AT432" s="44">
        <v>431.0</v>
      </c>
      <c r="AU432" s="44"/>
      <c r="AV432" s="44" t="s">
        <v>127</v>
      </c>
      <c r="AW432" s="145">
        <v>591.28</v>
      </c>
      <c r="AX432" s="44">
        <v>3.0</v>
      </c>
      <c r="AY432" s="145">
        <v>591.29</v>
      </c>
      <c r="AZ432" s="93"/>
      <c r="BA432" s="93"/>
      <c r="BB432" s="155"/>
      <c r="BC432" s="93"/>
      <c r="BD432" s="44" t="s">
        <v>129</v>
      </c>
      <c r="BE432" s="45">
        <v>716.5972974502215</v>
      </c>
      <c r="BF432" s="44">
        <v>6.0</v>
      </c>
      <c r="BG432" s="145">
        <v>704.52</v>
      </c>
      <c r="BH432" s="93"/>
      <c r="BI432" s="93"/>
      <c r="BJ432" s="155"/>
      <c r="BK432" s="93"/>
    </row>
    <row r="433">
      <c r="A433" s="166">
        <v>44306.06104166667</v>
      </c>
      <c r="B433" s="44" t="s">
        <v>88</v>
      </c>
      <c r="C433" s="128">
        <v>784.3528899381758</v>
      </c>
      <c r="D433" s="128">
        <v>19.0</v>
      </c>
      <c r="E433" s="128">
        <v>795.2851415588644</v>
      </c>
      <c r="F433" s="44" t="s">
        <v>61</v>
      </c>
      <c r="G433" s="128">
        <v>938.0156642923118</v>
      </c>
      <c r="H433" s="128">
        <v>20.0</v>
      </c>
      <c r="I433" s="128">
        <v>949.0834126716233</v>
      </c>
      <c r="J433" s="44"/>
      <c r="K433" s="128"/>
      <c r="L433" s="128"/>
      <c r="M433" s="128"/>
      <c r="N433" s="44"/>
      <c r="O433" s="128"/>
      <c r="P433" s="128"/>
      <c r="Q433" s="128"/>
      <c r="V433" s="44" t="s">
        <v>123</v>
      </c>
      <c r="W433" s="128">
        <v>724.0914609187673</v>
      </c>
      <c r="X433" s="128">
        <v>18.0</v>
      </c>
      <c r="Y433" s="128">
        <v>717.733313763623</v>
      </c>
      <c r="Z433" s="44" t="s">
        <v>107</v>
      </c>
      <c r="AA433" s="128">
        <v>1028.7559486353948</v>
      </c>
      <c r="AB433" s="128">
        <v>9.0</v>
      </c>
      <c r="AC433" s="128">
        <v>1013.1140957905392</v>
      </c>
      <c r="AD433" s="44"/>
      <c r="AE433" s="128"/>
      <c r="AF433" s="128"/>
      <c r="AG433" s="128"/>
      <c r="AH433" s="44"/>
      <c r="AI433" s="128"/>
      <c r="AJ433" s="128"/>
      <c r="AK433" s="128"/>
      <c r="AP433" s="128">
        <v>18.0</v>
      </c>
      <c r="AQ433" s="128">
        <v>10.0</v>
      </c>
      <c r="AT433" s="44">
        <v>432.0</v>
      </c>
      <c r="AU433" s="44"/>
      <c r="AW433" s="93"/>
      <c r="AY433" s="93"/>
      <c r="AZ433" s="93"/>
      <c r="BA433" s="93"/>
      <c r="BB433" s="155"/>
      <c r="BC433" s="93"/>
      <c r="BE433" s="93"/>
      <c r="BG433" s="93"/>
      <c r="BH433" s="93"/>
      <c r="BI433" s="93"/>
      <c r="BJ433" s="155"/>
      <c r="BK433" s="93"/>
    </row>
    <row r="434">
      <c r="A434" s="166">
        <v>44306.92900408564</v>
      </c>
      <c r="B434" s="44" t="s">
        <v>98</v>
      </c>
      <c r="C434" s="128">
        <v>883.0017580795081</v>
      </c>
      <c r="D434" s="128">
        <v>11.0</v>
      </c>
      <c r="E434" s="128">
        <v>865.3843244582112</v>
      </c>
      <c r="F434" s="44" t="s">
        <v>90</v>
      </c>
      <c r="G434" s="128">
        <v>947.3212591039658</v>
      </c>
      <c r="H434" s="128">
        <v>19.0</v>
      </c>
      <c r="I434" s="128">
        <v>939.0146372712799</v>
      </c>
      <c r="J434" s="44" t="s">
        <v>92</v>
      </c>
      <c r="K434" s="128">
        <v>1101.2822193193108</v>
      </c>
      <c r="L434" s="128">
        <v>12.0</v>
      </c>
      <c r="M434" s="128">
        <v>1084.2062747732937</v>
      </c>
      <c r="N434" s="44"/>
      <c r="O434" s="128"/>
      <c r="P434" s="128"/>
      <c r="Q434" s="128"/>
      <c r="V434" s="44" t="s">
        <v>110</v>
      </c>
      <c r="W434" s="128">
        <v>912.8453450729294</v>
      </c>
      <c r="X434" s="128">
        <v>28.0</v>
      </c>
      <c r="Y434" s="128">
        <v>933.4557489752835</v>
      </c>
      <c r="Z434" s="44" t="s">
        <v>58</v>
      </c>
      <c r="AA434" s="128">
        <v>956.469265734111</v>
      </c>
      <c r="AB434" s="128">
        <v>21.0</v>
      </c>
      <c r="AC434" s="128">
        <v>968.4614620372392</v>
      </c>
      <c r="AD434" s="44" t="s">
        <v>112</v>
      </c>
      <c r="AE434" s="128">
        <v>1040.3380119879387</v>
      </c>
      <c r="AF434" s="128">
        <v>20.0</v>
      </c>
      <c r="AG434" s="128">
        <v>1050.7354117824564</v>
      </c>
      <c r="AH434" s="44"/>
      <c r="AI434" s="128"/>
      <c r="AJ434" s="128"/>
      <c r="AK434" s="128"/>
      <c r="AP434" s="128">
        <v>8.0</v>
      </c>
      <c r="AQ434" s="128">
        <v>20.0</v>
      </c>
      <c r="AS434" s="44" t="s">
        <v>229</v>
      </c>
      <c r="AT434" s="44">
        <v>433.0</v>
      </c>
      <c r="AU434" s="44"/>
      <c r="AW434" s="93"/>
      <c r="AY434" s="93"/>
      <c r="AZ434" s="93"/>
      <c r="BA434" s="93"/>
      <c r="BB434" s="155"/>
      <c r="BC434" s="93"/>
      <c r="BE434" s="93"/>
      <c r="BG434" s="93"/>
      <c r="BH434" s="93"/>
      <c r="BI434" s="93"/>
      <c r="BJ434" s="155"/>
      <c r="BK434" s="93"/>
    </row>
    <row r="435">
      <c r="A435" s="166">
        <v>44306.97363710648</v>
      </c>
      <c r="B435" s="44" t="s">
        <v>123</v>
      </c>
      <c r="C435" s="128">
        <v>717.733313763623</v>
      </c>
      <c r="D435" s="128">
        <v>6.0</v>
      </c>
      <c r="E435" s="128">
        <v>710.1976758456133</v>
      </c>
      <c r="F435" s="44" t="s">
        <v>98</v>
      </c>
      <c r="G435" s="128">
        <v>865.3843244582112</v>
      </c>
      <c r="H435" s="128">
        <v>17.0</v>
      </c>
      <c r="I435" s="128">
        <v>861.2424340344196</v>
      </c>
      <c r="J435" s="44" t="s">
        <v>110</v>
      </c>
      <c r="K435" s="128">
        <v>933.4557489752835</v>
      </c>
      <c r="L435" s="128">
        <v>27.0</v>
      </c>
      <c r="M435" s="128">
        <v>932.5508573061462</v>
      </c>
      <c r="N435" s="44" t="s">
        <v>112</v>
      </c>
      <c r="O435" s="128">
        <v>1050.7354117824564</v>
      </c>
      <c r="P435" s="128">
        <v>19.0</v>
      </c>
      <c r="Q435" s="128">
        <v>1047.0398104076369</v>
      </c>
      <c r="R435" s="44" t="s">
        <v>92</v>
      </c>
      <c r="S435" s="128">
        <v>1084.2062747732937</v>
      </c>
      <c r="T435" s="128">
        <v>19.0</v>
      </c>
      <c r="U435" s="128">
        <v>1080.4842961590516</v>
      </c>
      <c r="V435" s="44" t="s">
        <v>127</v>
      </c>
      <c r="W435" s="128">
        <v>591.29</v>
      </c>
      <c r="X435" s="128">
        <v>3.0</v>
      </c>
      <c r="Y435" s="128">
        <v>589.9425941196198</v>
      </c>
      <c r="Z435" s="44" t="s">
        <v>90</v>
      </c>
      <c r="AA435" s="128">
        <v>939.0146372712799</v>
      </c>
      <c r="AB435" s="128">
        <v>31.0</v>
      </c>
      <c r="AC435" s="128">
        <v>946.1797385313366</v>
      </c>
      <c r="AD435" s="44" t="s">
        <v>61</v>
      </c>
      <c r="AE435" s="128">
        <v>949.0834126716233</v>
      </c>
      <c r="AF435" s="128">
        <v>22.0</v>
      </c>
      <c r="AG435" s="128">
        <v>953.2333911746434</v>
      </c>
      <c r="AH435" s="44" t="s">
        <v>58</v>
      </c>
      <c r="AI435" s="128">
        <v>968.4614620372392</v>
      </c>
      <c r="AJ435" s="128">
        <v>17.0</v>
      </c>
      <c r="AK435" s="128">
        <v>970.9170079533158</v>
      </c>
      <c r="AL435" s="44" t="s">
        <v>27</v>
      </c>
      <c r="AM435" s="128">
        <v>1205.055066837315</v>
      </c>
      <c r="AN435" s="128">
        <v>33.0</v>
      </c>
      <c r="AO435" s="128">
        <v>1212.6318470385418</v>
      </c>
      <c r="AP435" s="128">
        <v>12.0</v>
      </c>
      <c r="AQ435" s="128">
        <v>16.0</v>
      </c>
      <c r="AS435" s="44" t="s">
        <v>290</v>
      </c>
      <c r="AT435" s="44">
        <v>434.0</v>
      </c>
      <c r="AU435" s="44"/>
      <c r="AW435" s="93"/>
      <c r="AY435" s="93"/>
      <c r="AZ435" s="93"/>
      <c r="BA435" s="93"/>
      <c r="BB435" s="155"/>
      <c r="BC435" s="93"/>
      <c r="BE435" s="93"/>
      <c r="BG435" s="93"/>
      <c r="BH435" s="93"/>
      <c r="BI435" s="93"/>
      <c r="BJ435" s="155"/>
      <c r="BK435" s="93"/>
    </row>
    <row r="436">
      <c r="A436" s="166">
        <v>44307.99697273148</v>
      </c>
      <c r="B436" s="44" t="s">
        <v>88</v>
      </c>
      <c r="C436" s="128">
        <v>795.2851415588644</v>
      </c>
      <c r="D436" s="128">
        <v>19.0</v>
      </c>
      <c r="E436" s="128">
        <v>799.8073875455032</v>
      </c>
      <c r="F436" s="44" t="s">
        <v>110</v>
      </c>
      <c r="G436" s="128">
        <v>932.5508573061462</v>
      </c>
      <c r="H436" s="128">
        <v>22.0</v>
      </c>
      <c r="I436" s="128">
        <v>938.0088811465815</v>
      </c>
      <c r="J436" s="44" t="s">
        <v>90</v>
      </c>
      <c r="K436" s="128">
        <v>946.1797385313366</v>
      </c>
      <c r="L436" s="128">
        <v>23.0</v>
      </c>
      <c r="M436" s="128">
        <v>952.029245553278</v>
      </c>
      <c r="N436" s="44" t="s">
        <v>61</v>
      </c>
      <c r="O436" s="128">
        <v>953.2333911746434</v>
      </c>
      <c r="P436" s="128">
        <v>19.0</v>
      </c>
      <c r="Q436" s="128">
        <v>957.403614325628</v>
      </c>
      <c r="V436" s="44" t="s">
        <v>127</v>
      </c>
      <c r="W436" s="128">
        <v>589.9425941196198</v>
      </c>
      <c r="X436" s="128">
        <v>3.0</v>
      </c>
      <c r="Y436" s="128">
        <v>580.9015312473466</v>
      </c>
      <c r="Z436" s="44" t="s">
        <v>121</v>
      </c>
      <c r="AA436" s="128">
        <v>817.152944623529</v>
      </c>
      <c r="AB436" s="128">
        <v>14.0</v>
      </c>
      <c r="AC436" s="128">
        <v>812.1944551057371</v>
      </c>
      <c r="AD436" s="44" t="s">
        <v>107</v>
      </c>
      <c r="AE436" s="128">
        <v>1013.1140957905392</v>
      </c>
      <c r="AF436" s="128">
        <v>16.0</v>
      </c>
      <c r="AG436" s="128">
        <v>1008.7213883622495</v>
      </c>
      <c r="AH436" s="44" t="s">
        <v>27</v>
      </c>
      <c r="AI436" s="128">
        <v>1212.6318470385418</v>
      </c>
      <c r="AJ436" s="128">
        <v>23.0</v>
      </c>
      <c r="AK436" s="128">
        <v>1211.0241068568967</v>
      </c>
      <c r="AP436" s="128">
        <v>17.0</v>
      </c>
      <c r="AQ436" s="128">
        <v>11.0</v>
      </c>
      <c r="AT436" s="44">
        <v>435.0</v>
      </c>
      <c r="AU436" s="44"/>
      <c r="AW436" s="93"/>
      <c r="AY436" s="93"/>
      <c r="AZ436" s="93"/>
      <c r="BA436" s="93"/>
      <c r="BB436" s="155"/>
      <c r="BC436" s="93"/>
      <c r="BE436" s="93"/>
      <c r="BG436" s="93"/>
      <c r="BH436" s="93"/>
      <c r="BI436" s="93"/>
      <c r="BJ436" s="155"/>
      <c r="BK436" s="93"/>
    </row>
    <row r="437">
      <c r="A437" s="166">
        <v>44308.957205983796</v>
      </c>
      <c r="B437" s="44" t="s">
        <v>88</v>
      </c>
      <c r="C437" s="128">
        <v>799.8073875455032</v>
      </c>
      <c r="D437" s="128">
        <v>20.0</v>
      </c>
      <c r="E437" s="128">
        <v>808.8994126158457</v>
      </c>
      <c r="F437" s="44" t="s">
        <v>90</v>
      </c>
      <c r="G437" s="128">
        <v>952.029245553278</v>
      </c>
      <c r="H437" s="128">
        <v>26.0</v>
      </c>
      <c r="I437" s="128">
        <v>964.8928501196068</v>
      </c>
      <c r="J437" s="44" t="s">
        <v>107</v>
      </c>
      <c r="K437" s="128">
        <v>1008.7213883622495</v>
      </c>
      <c r="L437" s="128">
        <v>14.0</v>
      </c>
      <c r="M437" s="128">
        <v>1012.7657587255782</v>
      </c>
      <c r="N437" s="44"/>
      <c r="O437" s="128"/>
      <c r="P437" s="128"/>
      <c r="Q437" s="128"/>
      <c r="V437" s="44" t="s">
        <v>123</v>
      </c>
      <c r="W437" s="128">
        <v>710.1976758456133</v>
      </c>
      <c r="X437" s="128">
        <v>14.0</v>
      </c>
      <c r="Y437" s="128">
        <v>699.3754395677782</v>
      </c>
      <c r="Z437" s="44" t="s">
        <v>110</v>
      </c>
      <c r="AA437" s="128">
        <v>938.0088811465815</v>
      </c>
      <c r="AB437" s="128">
        <v>21.0</v>
      </c>
      <c r="AC437" s="128">
        <v>931.3789108036242</v>
      </c>
      <c r="AD437" s="44" t="s">
        <v>27</v>
      </c>
      <c r="AE437" s="128">
        <v>1211.0241068568967</v>
      </c>
      <c r="AF437" s="128">
        <v>19.0</v>
      </c>
      <c r="AG437" s="128">
        <v>1202.476313477689</v>
      </c>
      <c r="AH437" s="44"/>
      <c r="AI437" s="128"/>
      <c r="AJ437" s="128"/>
      <c r="AK437" s="128"/>
      <c r="AP437" s="128">
        <v>16.0</v>
      </c>
      <c r="AQ437" s="128">
        <v>12.0</v>
      </c>
      <c r="AT437" s="44">
        <v>436.0</v>
      </c>
      <c r="AU437" s="44"/>
      <c r="AW437" s="93"/>
      <c r="AY437" s="93"/>
      <c r="AZ437" s="93"/>
      <c r="BA437" s="93"/>
      <c r="BB437" s="155"/>
      <c r="BC437" s="93"/>
      <c r="BE437" s="93"/>
      <c r="BG437" s="93"/>
      <c r="BH437" s="93"/>
      <c r="BI437" s="93"/>
      <c r="BJ437" s="155"/>
      <c r="BK437" s="93"/>
    </row>
    <row r="438">
      <c r="A438" s="166">
        <v>44309.006228819446</v>
      </c>
      <c r="B438" s="44" t="s">
        <v>88</v>
      </c>
      <c r="C438" s="128">
        <v>808.8994126158457</v>
      </c>
      <c r="D438" s="128">
        <v>19.0</v>
      </c>
      <c r="E438" s="128">
        <v>814.1765608853781</v>
      </c>
      <c r="F438" s="44" t="s">
        <v>110</v>
      </c>
      <c r="G438" s="128">
        <v>931.3789108036242</v>
      </c>
      <c r="H438" s="128">
        <v>27.0</v>
      </c>
      <c r="I438" s="128">
        <v>940.3222992806071</v>
      </c>
      <c r="J438" s="44" t="s">
        <v>107</v>
      </c>
      <c r="K438" s="128">
        <v>1012.7657587255782</v>
      </c>
      <c r="L438" s="128">
        <v>17.0</v>
      </c>
      <c r="M438" s="128">
        <v>1016.5452219790628</v>
      </c>
      <c r="N438" s="44"/>
      <c r="O438" s="128"/>
      <c r="P438" s="128"/>
      <c r="Q438" s="128"/>
      <c r="V438" s="44" t="s">
        <v>123</v>
      </c>
      <c r="W438" s="128">
        <v>699.3754395677782</v>
      </c>
      <c r="X438" s="128">
        <v>15.0</v>
      </c>
      <c r="Y438" s="128">
        <v>693.0056722141109</v>
      </c>
      <c r="Z438" s="44" t="s">
        <v>90</v>
      </c>
      <c r="AA438" s="128">
        <v>964.8928501196068</v>
      </c>
      <c r="AB438" s="128">
        <v>14.0</v>
      </c>
      <c r="AC438" s="128">
        <v>957.3865681373971</v>
      </c>
      <c r="AD438" s="44" t="s">
        <v>112</v>
      </c>
      <c r="AE438" s="128">
        <v>1047.0398104076369</v>
      </c>
      <c r="AF438" s="128">
        <v>21.0</v>
      </c>
      <c r="AG438" s="128">
        <v>1042.915859743514</v>
      </c>
      <c r="AH438" s="44"/>
      <c r="AI438" s="128"/>
      <c r="AJ438" s="128"/>
      <c r="AK438" s="128"/>
      <c r="AP438" s="128">
        <v>18.0</v>
      </c>
      <c r="AQ438" s="128">
        <v>10.0</v>
      </c>
      <c r="AT438" s="44">
        <v>437.0</v>
      </c>
      <c r="AU438" s="44"/>
      <c r="AW438" s="93"/>
      <c r="AY438" s="93"/>
      <c r="AZ438" s="93"/>
      <c r="BA438" s="93"/>
      <c r="BB438" s="155"/>
      <c r="BC438" s="93"/>
      <c r="BE438" s="93"/>
      <c r="BG438" s="93"/>
      <c r="BH438" s="93"/>
      <c r="BI438" s="93"/>
      <c r="BJ438" s="155"/>
      <c r="BK438" s="93"/>
    </row>
    <row r="439">
      <c r="A439" s="166">
        <v>44309.53389712963</v>
      </c>
      <c r="B439" s="44" t="s">
        <v>88</v>
      </c>
      <c r="C439" s="128">
        <v>814.1765608853781</v>
      </c>
      <c r="D439" s="128">
        <v>14.0</v>
      </c>
      <c r="E439" s="128">
        <v>803.6140395452078</v>
      </c>
      <c r="F439" s="44" t="s">
        <v>112</v>
      </c>
      <c r="G439" s="128">
        <v>1042.915859743514</v>
      </c>
      <c r="H439" s="128">
        <v>19.0</v>
      </c>
      <c r="I439" s="128">
        <v>1035.4783810836843</v>
      </c>
      <c r="J439" s="44"/>
      <c r="K439" s="128"/>
      <c r="L439" s="128"/>
      <c r="M439" s="128"/>
      <c r="N439" s="44"/>
      <c r="O439" s="128"/>
      <c r="P439" s="128"/>
      <c r="Q439" s="128"/>
      <c r="V439" s="44" t="s">
        <v>123</v>
      </c>
      <c r="W439" s="128">
        <v>693.0056722141109</v>
      </c>
      <c r="X439" s="128">
        <v>11.0</v>
      </c>
      <c r="Y439" s="128">
        <v>696.0776411358729</v>
      </c>
      <c r="Z439" s="44" t="s">
        <v>27</v>
      </c>
      <c r="AA439" s="128">
        <v>1202.476313477689</v>
      </c>
      <c r="AB439" s="128">
        <v>29.0</v>
      </c>
      <c r="AC439" s="128">
        <v>1217.4043445559269</v>
      </c>
      <c r="AD439" s="44"/>
      <c r="AE439" s="128"/>
      <c r="AF439" s="128"/>
      <c r="AG439" s="128"/>
      <c r="AH439" s="44"/>
      <c r="AI439" s="128"/>
      <c r="AJ439" s="128"/>
      <c r="AK439" s="128"/>
      <c r="AP439" s="128">
        <v>11.0</v>
      </c>
      <c r="AQ439" s="128">
        <v>17.0</v>
      </c>
      <c r="AT439" s="44">
        <v>438.0</v>
      </c>
      <c r="AU439" s="44"/>
      <c r="AW439" s="93"/>
      <c r="AY439" s="93"/>
      <c r="AZ439" s="93"/>
      <c r="BA439" s="93"/>
      <c r="BB439" s="155"/>
      <c r="BC439" s="93"/>
      <c r="BE439" s="93"/>
      <c r="BG439" s="93"/>
      <c r="BH439" s="93"/>
      <c r="BI439" s="93"/>
      <c r="BJ439" s="155"/>
      <c r="BK439" s="93"/>
    </row>
    <row r="440">
      <c r="A440" s="166">
        <v>44309.947587256946</v>
      </c>
      <c r="B440" s="44" t="s">
        <v>88</v>
      </c>
      <c r="C440" s="128">
        <v>803.6140395452078</v>
      </c>
      <c r="D440" s="128">
        <v>15.0</v>
      </c>
      <c r="E440" s="128">
        <v>800.1119187525142</v>
      </c>
      <c r="F440" s="44" t="s">
        <v>34</v>
      </c>
      <c r="G440" s="128">
        <v>912.5865352500224</v>
      </c>
      <c r="H440" s="128">
        <v>26.0</v>
      </c>
      <c r="I440" s="128">
        <v>911.2528242661353</v>
      </c>
      <c r="J440" s="44" t="s">
        <v>112</v>
      </c>
      <c r="K440" s="128">
        <v>1035.4783810836843</v>
      </c>
      <c r="L440" s="128">
        <v>22.0</v>
      </c>
      <c r="M440" s="128">
        <v>1033.2121749709302</v>
      </c>
      <c r="N440" s="44" t="s">
        <v>248</v>
      </c>
      <c r="O440" s="128">
        <v>1046.1784836241577</v>
      </c>
      <c r="P440" s="128">
        <v>19.0</v>
      </c>
      <c r="Q440" s="128">
        <v>1043.2805215134924</v>
      </c>
      <c r="V440" s="44" t="s">
        <v>98</v>
      </c>
      <c r="W440" s="128">
        <v>861.2424340344196</v>
      </c>
      <c r="X440" s="128">
        <v>19.0</v>
      </c>
      <c r="Y440" s="128">
        <v>863.4596828918579</v>
      </c>
      <c r="Z440" s="44" t="s">
        <v>224</v>
      </c>
      <c r="AA440" s="128">
        <v>914.7317341551417</v>
      </c>
      <c r="AB440" s="128">
        <v>6.0</v>
      </c>
      <c r="AC440" s="128">
        <v>914.184137567227</v>
      </c>
      <c r="AD440" s="44" t="s">
        <v>61</v>
      </c>
      <c r="AE440" s="128">
        <v>957.403614325628</v>
      </c>
      <c r="AF440" s="128">
        <v>28.0</v>
      </c>
      <c r="AG440" s="128">
        <v>961.4001195933413</v>
      </c>
      <c r="AH440" s="44" t="s">
        <v>47</v>
      </c>
      <c r="AI440" s="128">
        <v>1069.0237343653062</v>
      </c>
      <c r="AJ440" s="128">
        <v>30.0</v>
      </c>
      <c r="AK440" s="128">
        <v>1073.357576828069</v>
      </c>
      <c r="AP440" s="128">
        <v>13.0</v>
      </c>
      <c r="AQ440" s="128">
        <v>15.0</v>
      </c>
      <c r="AT440" s="44">
        <v>439.0</v>
      </c>
      <c r="AU440" s="44"/>
      <c r="AW440" s="93"/>
      <c r="AY440" s="93"/>
      <c r="AZ440" s="93"/>
      <c r="BA440" s="93"/>
      <c r="BB440" s="155"/>
      <c r="BC440" s="93"/>
      <c r="BE440" s="93"/>
      <c r="BG440" s="93"/>
      <c r="BH440" s="93"/>
      <c r="BI440" s="93"/>
      <c r="BJ440" s="155"/>
      <c r="BK440" s="93"/>
    </row>
    <row r="441">
      <c r="A441" s="166">
        <v>44309.98921313658</v>
      </c>
      <c r="B441" s="44" t="s">
        <v>88</v>
      </c>
      <c r="C441" s="128">
        <v>800.1119187525142</v>
      </c>
      <c r="D441" s="128">
        <v>12.0</v>
      </c>
      <c r="E441" s="128">
        <v>801.3738280238719</v>
      </c>
      <c r="F441" s="44" t="s">
        <v>98</v>
      </c>
      <c r="G441" s="128">
        <v>863.4596828918579</v>
      </c>
      <c r="H441" s="128">
        <v>17.0</v>
      </c>
      <c r="I441" s="128">
        <v>867.7749648788127</v>
      </c>
      <c r="J441" s="44" t="s">
        <v>493</v>
      </c>
      <c r="K441" s="128">
        <v>996.6143939121686</v>
      </c>
      <c r="L441" s="128">
        <v>20.0</v>
      </c>
      <c r="M441" s="128">
        <v>1002.4786241205762</v>
      </c>
      <c r="N441" s="44" t="s">
        <v>248</v>
      </c>
      <c r="O441" s="128">
        <v>1043.2805215134924</v>
      </c>
      <c r="P441" s="128">
        <v>25.0</v>
      </c>
      <c r="Q441" s="128">
        <v>1052.362003219768</v>
      </c>
      <c r="R441" s="44" t="s">
        <v>27</v>
      </c>
      <c r="S441" s="128">
        <v>1217.4043445559269</v>
      </c>
      <c r="T441" s="128">
        <v>41.0</v>
      </c>
      <c r="U441" s="128">
        <v>1236.8814413829314</v>
      </c>
      <c r="V441" s="44" t="s">
        <v>224</v>
      </c>
      <c r="W441" s="128">
        <v>914.184137567227</v>
      </c>
      <c r="X441" s="128">
        <v>4.0</v>
      </c>
      <c r="Y441" s="128">
        <v>897.8009235832818</v>
      </c>
      <c r="Z441" s="44" t="s">
        <v>110</v>
      </c>
      <c r="AA441" s="128">
        <v>940.3222992806071</v>
      </c>
      <c r="AB441" s="128">
        <v>19.0</v>
      </c>
      <c r="AC441" s="128">
        <v>933.8743061051271</v>
      </c>
      <c r="AD441" s="44" t="s">
        <v>61</v>
      </c>
      <c r="AE441" s="128">
        <v>961.4001195933413</v>
      </c>
      <c r="AF441" s="128">
        <v>19.0</v>
      </c>
      <c r="AG441" s="128">
        <v>954.9036090712324</v>
      </c>
      <c r="AH441" s="44" t="s">
        <v>112</v>
      </c>
      <c r="AI441" s="128">
        <v>1033.2121749709302</v>
      </c>
      <c r="AJ441" s="128">
        <v>18.0</v>
      </c>
      <c r="AK441" s="128">
        <v>1025.907800337188</v>
      </c>
      <c r="AL441" s="44" t="s">
        <v>47</v>
      </c>
      <c r="AM441" s="128">
        <v>1073.357576828069</v>
      </c>
      <c r="AN441" s="128">
        <v>24.0</v>
      </c>
      <c r="AO441" s="128">
        <v>1069.9896691433455</v>
      </c>
      <c r="AP441" s="128">
        <v>19.0</v>
      </c>
      <c r="AQ441" s="128">
        <v>9.0</v>
      </c>
      <c r="AT441" s="44">
        <v>440.0</v>
      </c>
      <c r="AU441" s="44"/>
      <c r="AW441" s="93"/>
      <c r="AY441" s="93"/>
      <c r="AZ441" s="93"/>
      <c r="BA441" s="93"/>
      <c r="BB441" s="155"/>
      <c r="BC441" s="93"/>
      <c r="BE441" s="93"/>
      <c r="BG441" s="93"/>
      <c r="BH441" s="93"/>
      <c r="BI441" s="93"/>
      <c r="BJ441" s="155"/>
      <c r="BK441" s="93"/>
    </row>
    <row r="442">
      <c r="A442" s="166">
        <v>44310.03278983796</v>
      </c>
      <c r="B442" s="44" t="s">
        <v>88</v>
      </c>
      <c r="C442" s="128">
        <v>801.3738280238719</v>
      </c>
      <c r="D442" s="128">
        <v>16.0</v>
      </c>
      <c r="E442" s="128">
        <v>802.5818438712699</v>
      </c>
      <c r="F442" s="44" t="s">
        <v>98</v>
      </c>
      <c r="G442" s="128">
        <v>867.7749648788127</v>
      </c>
      <c r="H442" s="128">
        <v>16.0</v>
      </c>
      <c r="I442" s="128">
        <v>868.9150400532254</v>
      </c>
      <c r="J442" s="44" t="s">
        <v>230</v>
      </c>
      <c r="K442" s="128">
        <v>991.0368862488722</v>
      </c>
      <c r="L442" s="128">
        <v>21.0</v>
      </c>
      <c r="M442" s="128">
        <v>992.9127271734077</v>
      </c>
      <c r="N442" s="44" t="s">
        <v>47</v>
      </c>
      <c r="O442" s="128">
        <v>1069.9896691433455</v>
      </c>
      <c r="P442" s="128">
        <v>28.0</v>
      </c>
      <c r="Q442" s="128">
        <v>1072.9880890233003</v>
      </c>
      <c r="R442" s="44" t="s">
        <v>27</v>
      </c>
      <c r="S442" s="128">
        <v>1236.8814413829314</v>
      </c>
      <c r="T442" s="128">
        <v>27.0</v>
      </c>
      <c r="U442" s="128">
        <v>1239.6590895566303</v>
      </c>
      <c r="V442" s="44" t="s">
        <v>110</v>
      </c>
      <c r="W442" s="128">
        <v>933.8743061051271</v>
      </c>
      <c r="X442" s="128">
        <v>11.0</v>
      </c>
      <c r="Y442" s="128">
        <v>930.6421654430006</v>
      </c>
      <c r="Z442" s="44" t="s">
        <v>61</v>
      </c>
      <c r="AA442" s="128">
        <v>954.9036090712324</v>
      </c>
      <c r="AB442" s="128">
        <v>16.0</v>
      </c>
      <c r="AC442" s="128">
        <v>952.4912240743056</v>
      </c>
      <c r="AD442" s="44" t="s">
        <v>493</v>
      </c>
      <c r="AE442" s="128">
        <v>1002.4786241205762</v>
      </c>
      <c r="AF442" s="128">
        <v>15.0</v>
      </c>
      <c r="AG442" s="128">
        <v>999.8721297556789</v>
      </c>
      <c r="AH442" s="44" t="s">
        <v>112</v>
      </c>
      <c r="AI442" s="128">
        <v>1025.907800337188</v>
      </c>
      <c r="AJ442" s="128">
        <v>31.0</v>
      </c>
      <c r="AK442" s="128">
        <v>1025.9560766160757</v>
      </c>
      <c r="AL442" s="44" t="s">
        <v>248</v>
      </c>
      <c r="AM442" s="128">
        <v>1052.362003219768</v>
      </c>
      <c r="AN442" s="128">
        <v>20.0</v>
      </c>
      <c r="AO442" s="128">
        <v>1050.5647469648309</v>
      </c>
      <c r="AP442" s="128">
        <v>15.0</v>
      </c>
      <c r="AQ442" s="128">
        <v>13.0</v>
      </c>
      <c r="AT442" s="44">
        <v>441.0</v>
      </c>
      <c r="AU442" s="44"/>
      <c r="AW442" s="93"/>
      <c r="AY442" s="93"/>
      <c r="AZ442" s="93"/>
      <c r="BA442" s="93"/>
      <c r="BB442" s="155"/>
      <c r="BC442" s="93"/>
      <c r="BE442" s="93"/>
      <c r="BG442" s="93"/>
      <c r="BH442" s="93"/>
      <c r="BI442" s="93"/>
      <c r="BJ442" s="155"/>
      <c r="BK442" s="93"/>
    </row>
    <row r="443">
      <c r="A443" s="166">
        <v>44310.066937048614</v>
      </c>
      <c r="B443" s="44" t="s">
        <v>88</v>
      </c>
      <c r="C443" s="128">
        <v>802.5818438712699</v>
      </c>
      <c r="D443" s="128">
        <v>20.0</v>
      </c>
      <c r="E443" s="128">
        <v>815.9927998248916</v>
      </c>
      <c r="F443" s="44" t="s">
        <v>110</v>
      </c>
      <c r="G443" s="128">
        <v>930.6421654430006</v>
      </c>
      <c r="H443" s="128">
        <v>14.0</v>
      </c>
      <c r="I443" s="128">
        <v>936.6130656779671</v>
      </c>
      <c r="J443" s="44" t="s">
        <v>27</v>
      </c>
      <c r="K443" s="128">
        <v>1239.6590895566303</v>
      </c>
      <c r="L443" s="128">
        <v>28.0</v>
      </c>
      <c r="M443" s="128">
        <v>1260.277233368042</v>
      </c>
      <c r="N443" s="44"/>
      <c r="O443" s="128"/>
      <c r="P443" s="128"/>
      <c r="Q443" s="128"/>
      <c r="V443" s="44" t="s">
        <v>61</v>
      </c>
      <c r="W443" s="128">
        <v>952.4912240743056</v>
      </c>
      <c r="X443" s="128">
        <v>17.0</v>
      </c>
      <c r="Y443" s="128">
        <v>941.8637709278012</v>
      </c>
      <c r="Z443" s="44" t="s">
        <v>230</v>
      </c>
      <c r="AA443" s="128">
        <v>992.9127271734077</v>
      </c>
      <c r="AB443" s="128">
        <v>12.0</v>
      </c>
      <c r="AC443" s="128">
        <v>976.6046686912268</v>
      </c>
      <c r="AD443" s="44" t="s">
        <v>112</v>
      </c>
      <c r="AE443" s="128">
        <v>1025.9560766160757</v>
      </c>
      <c r="AF443" s="128">
        <v>15.0</v>
      </c>
      <c r="AG443" s="128">
        <v>1012.8915882447609</v>
      </c>
      <c r="AH443" s="44"/>
      <c r="AI443" s="128"/>
      <c r="AJ443" s="128"/>
      <c r="AK443" s="128"/>
      <c r="AP443" s="128">
        <v>19.0</v>
      </c>
      <c r="AQ443" s="128">
        <v>8.0</v>
      </c>
      <c r="AT443" s="44">
        <v>442.0</v>
      </c>
      <c r="AU443" s="44"/>
      <c r="AW443" s="93"/>
      <c r="AY443" s="93"/>
      <c r="AZ443" s="93"/>
      <c r="BA443" s="93"/>
      <c r="BB443" s="155"/>
      <c r="BC443" s="93"/>
      <c r="BE443" s="93"/>
      <c r="BG443" s="93"/>
      <c r="BH443" s="93"/>
      <c r="BI443" s="93"/>
      <c r="BJ443" s="155"/>
      <c r="BK443" s="93"/>
    </row>
    <row r="444">
      <c r="A444" s="166">
        <v>44310.946540694444</v>
      </c>
      <c r="B444" s="44" t="s">
        <v>121</v>
      </c>
      <c r="C444" s="128">
        <v>812.1944551057371</v>
      </c>
      <c r="D444" s="128">
        <v>13.0</v>
      </c>
      <c r="E444" s="128">
        <v>806.6423537997792</v>
      </c>
      <c r="F444" s="44" t="s">
        <v>88</v>
      </c>
      <c r="G444" s="128">
        <v>815.9927998248916</v>
      </c>
      <c r="H444" s="128">
        <v>19.0</v>
      </c>
      <c r="I444" s="128">
        <v>812.4338081684185</v>
      </c>
      <c r="J444" s="44" t="s">
        <v>98</v>
      </c>
      <c r="K444" s="128">
        <v>868.9150400532254</v>
      </c>
      <c r="L444" s="128">
        <v>14.0</v>
      </c>
      <c r="M444" s="128">
        <v>863.599637545235</v>
      </c>
      <c r="N444" s="44" t="s">
        <v>47</v>
      </c>
      <c r="O444" s="128">
        <v>1072.9880890233003</v>
      </c>
      <c r="P444" s="128">
        <v>10.0</v>
      </c>
      <c r="Q444" s="128">
        <v>1066.0992732515303</v>
      </c>
      <c r="R444" s="44" t="s">
        <v>31</v>
      </c>
      <c r="S444" s="128">
        <v>1623.2621455161366</v>
      </c>
      <c r="T444" s="128">
        <v>35.0</v>
      </c>
      <c r="U444" s="128">
        <v>1623.2521455161366</v>
      </c>
      <c r="V444" s="44" t="s">
        <v>61</v>
      </c>
      <c r="W444" s="128">
        <v>941.8637709278012</v>
      </c>
      <c r="X444" s="128">
        <v>21.0</v>
      </c>
      <c r="Y444" s="128">
        <v>945.1694009254442</v>
      </c>
      <c r="Z444" s="44" t="s">
        <v>90</v>
      </c>
      <c r="AA444" s="128">
        <v>957.3865681373971</v>
      </c>
      <c r="AB444" s="128">
        <v>19.0</v>
      </c>
      <c r="AC444" s="128">
        <v>960.0009084837699</v>
      </c>
      <c r="AD444" s="44" t="s">
        <v>112</v>
      </c>
      <c r="AE444" s="128">
        <v>1012.8915882447609</v>
      </c>
      <c r="AF444" s="128">
        <v>26.0</v>
      </c>
      <c r="AG444" s="128">
        <v>1017.7610127177234</v>
      </c>
      <c r="AH444" s="44" t="s">
        <v>107</v>
      </c>
      <c r="AI444" s="128">
        <v>1016.5452219790628</v>
      </c>
      <c r="AJ444" s="128">
        <v>8.0</v>
      </c>
      <c r="AK444" s="128">
        <v>1015.4100192562667</v>
      </c>
      <c r="AL444" s="44" t="s">
        <v>27</v>
      </c>
      <c r="AM444" s="128">
        <v>1260.277233368042</v>
      </c>
      <c r="AN444" s="128">
        <v>43.0</v>
      </c>
      <c r="AO444" s="128">
        <v>1270.62304127386</v>
      </c>
      <c r="AP444" s="128">
        <v>10.0</v>
      </c>
      <c r="AQ444" s="128">
        <v>18.0</v>
      </c>
      <c r="AT444" s="44">
        <v>443.0</v>
      </c>
      <c r="AU444" s="44"/>
      <c r="AW444" s="93"/>
      <c r="AY444" s="93"/>
      <c r="AZ444" s="93"/>
      <c r="BA444" s="93"/>
      <c r="BB444" s="155"/>
      <c r="BC444" s="93"/>
      <c r="BE444" s="93"/>
      <c r="BG444" s="93"/>
      <c r="BH444" s="93"/>
      <c r="BI444" s="93"/>
      <c r="BJ444" s="155"/>
      <c r="BK444" s="93"/>
    </row>
    <row r="445">
      <c r="A445" s="166">
        <v>44310.99310208333</v>
      </c>
      <c r="B445" s="44" t="s">
        <v>88</v>
      </c>
      <c r="C445" s="128">
        <v>812.4338081684185</v>
      </c>
      <c r="D445" s="128">
        <v>11.0</v>
      </c>
      <c r="E445" s="128">
        <v>806.3679159823748</v>
      </c>
      <c r="F445" s="44" t="s">
        <v>61</v>
      </c>
      <c r="G445" s="128">
        <v>945.1694009254442</v>
      </c>
      <c r="H445" s="128">
        <v>12.0</v>
      </c>
      <c r="I445" s="128">
        <v>939.2811062971386</v>
      </c>
      <c r="J445" s="44" t="s">
        <v>90</v>
      </c>
      <c r="K445" s="128">
        <v>960.0009084837699</v>
      </c>
      <c r="L445" s="128">
        <v>17.0</v>
      </c>
      <c r="M445" s="128">
        <v>955.9698605851888</v>
      </c>
      <c r="N445" s="44" t="s">
        <v>31</v>
      </c>
      <c r="O445" s="128">
        <v>1623.2521455161366</v>
      </c>
      <c r="P445" s="128">
        <v>23.0</v>
      </c>
      <c r="Q445" s="128">
        <v>1621.237380229067</v>
      </c>
      <c r="V445" s="44" t="s">
        <v>107</v>
      </c>
      <c r="W445" s="128">
        <v>1015.4100192562667</v>
      </c>
      <c r="X445" s="128">
        <v>9.0</v>
      </c>
      <c r="Y445" s="128">
        <v>1015.6589466120911</v>
      </c>
      <c r="Z445" s="44" t="s">
        <v>112</v>
      </c>
      <c r="AA445" s="128">
        <v>1017.7610127177234</v>
      </c>
      <c r="AB445" s="128">
        <v>27.0</v>
      </c>
      <c r="AC445" s="128">
        <v>1024.757058432026</v>
      </c>
      <c r="AD445" s="44" t="s">
        <v>47</v>
      </c>
      <c r="AE445" s="128">
        <v>1066.0992732515303</v>
      </c>
      <c r="AF445" s="128">
        <v>16.0</v>
      </c>
      <c r="AG445" s="128">
        <v>1068.9165632048969</v>
      </c>
      <c r="AH445" s="44" t="s">
        <v>27</v>
      </c>
      <c r="AI445" s="128">
        <v>1270.62304127386</v>
      </c>
      <c r="AJ445" s="128">
        <v>30.0</v>
      </c>
      <c r="AK445" s="128">
        <v>1278.5607782503664</v>
      </c>
      <c r="AP445" s="128">
        <v>11.0</v>
      </c>
      <c r="AQ445" s="128">
        <v>17.0</v>
      </c>
      <c r="AT445" s="44">
        <v>444.0</v>
      </c>
      <c r="AU445" s="44"/>
      <c r="AW445" s="93"/>
      <c r="AY445" s="93"/>
      <c r="AZ445" s="93"/>
      <c r="BA445" s="93"/>
      <c r="BB445" s="155"/>
      <c r="BC445" s="93"/>
      <c r="BE445" s="93"/>
      <c r="BG445" s="93"/>
      <c r="BH445" s="93"/>
      <c r="BI445" s="93"/>
      <c r="BJ445" s="155"/>
      <c r="BK445" s="93"/>
    </row>
    <row r="446">
      <c r="A446" s="166">
        <v>44311.045401875</v>
      </c>
      <c r="B446" s="44" t="s">
        <v>88</v>
      </c>
      <c r="C446" s="128">
        <v>806.3679159823748</v>
      </c>
      <c r="D446" s="128">
        <v>9.0</v>
      </c>
      <c r="E446" s="128">
        <v>799.4141712848756</v>
      </c>
      <c r="F446" s="44" t="s">
        <v>110</v>
      </c>
      <c r="G446" s="128">
        <v>936.6130656779671</v>
      </c>
      <c r="H446" s="128">
        <v>5.0</v>
      </c>
      <c r="I446" s="128">
        <v>928.0546963618068</v>
      </c>
      <c r="J446" s="44" t="s">
        <v>107</v>
      </c>
      <c r="K446" s="128">
        <v>1015.6589466120911</v>
      </c>
      <c r="L446" s="128">
        <v>27.0</v>
      </c>
      <c r="M446" s="128">
        <v>1014.7097366742335</v>
      </c>
      <c r="N446" s="44" t="s">
        <v>112</v>
      </c>
      <c r="O446" s="128">
        <v>1024.757058432026</v>
      </c>
      <c r="P446" s="128">
        <v>17.0</v>
      </c>
      <c r="Q446" s="128">
        <v>1020.2989241293959</v>
      </c>
      <c r="R446" s="44" t="s">
        <v>31</v>
      </c>
      <c r="S446" s="128">
        <v>1621.237380229067</v>
      </c>
      <c r="T446" s="128">
        <v>30.0</v>
      </c>
      <c r="U446" s="128">
        <v>1621.1568384832142</v>
      </c>
      <c r="V446" s="44" t="s">
        <v>98</v>
      </c>
      <c r="W446" s="128">
        <v>863.599637545235</v>
      </c>
      <c r="X446" s="128">
        <v>11.0</v>
      </c>
      <c r="Y446" s="128">
        <v>864.21880489945</v>
      </c>
      <c r="Z446" s="44" t="s">
        <v>34</v>
      </c>
      <c r="AA446" s="128">
        <v>911.2528242661353</v>
      </c>
      <c r="AB446" s="128">
        <v>14.0</v>
      </c>
      <c r="AC446" s="128">
        <v>912.8332122285063</v>
      </c>
      <c r="AD446" s="44" t="s">
        <v>61</v>
      </c>
      <c r="AE446" s="128">
        <v>939.2811062971386</v>
      </c>
      <c r="AF446" s="128">
        <v>22.0</v>
      </c>
      <c r="AG446" s="128">
        <v>943.614637498508</v>
      </c>
      <c r="AH446" s="44" t="s">
        <v>47</v>
      </c>
      <c r="AI446" s="128">
        <v>1068.9165632048969</v>
      </c>
      <c r="AJ446" s="128">
        <v>36.0</v>
      </c>
      <c r="AK446" s="128">
        <v>1077.9825082709406</v>
      </c>
      <c r="AL446" s="44" t="s">
        <v>23</v>
      </c>
      <c r="AM446" s="128">
        <v>1611.6049331255265</v>
      </c>
      <c r="AN446" s="128">
        <v>26.0</v>
      </c>
      <c r="AO446" s="128">
        <v>1617.0059015415277</v>
      </c>
      <c r="AP446" s="128">
        <v>12.0</v>
      </c>
      <c r="AQ446" s="128">
        <v>16.0</v>
      </c>
      <c r="AT446" s="44">
        <v>445.0</v>
      </c>
      <c r="AU446" s="44"/>
      <c r="AW446" s="93"/>
      <c r="AY446" s="93"/>
      <c r="AZ446" s="93"/>
      <c r="BA446" s="93"/>
      <c r="BB446" s="155"/>
      <c r="BC446" s="93"/>
      <c r="BE446" s="93"/>
      <c r="BG446" s="93"/>
      <c r="BH446" s="93"/>
      <c r="BI446" s="93"/>
      <c r="BJ446" s="155"/>
      <c r="BK446" s="93"/>
    </row>
    <row r="447">
      <c r="A447" s="166">
        <v>44311.08715039352</v>
      </c>
      <c r="B447" s="44" t="s">
        <v>88</v>
      </c>
      <c r="C447" s="128">
        <v>799.4141712848756</v>
      </c>
      <c r="D447" s="128">
        <v>16.0</v>
      </c>
      <c r="E447" s="128">
        <v>797.2742886750101</v>
      </c>
      <c r="F447" s="44" t="s">
        <v>61</v>
      </c>
      <c r="G447" s="128">
        <v>943.614637498508</v>
      </c>
      <c r="H447" s="128">
        <v>16.0</v>
      </c>
      <c r="I447" s="128">
        <v>941.3674055557318</v>
      </c>
      <c r="J447" s="44" t="s">
        <v>107</v>
      </c>
      <c r="K447" s="128">
        <v>1014.7097366742335</v>
      </c>
      <c r="L447" s="128">
        <v>16.0</v>
      </c>
      <c r="M447" s="128">
        <v>1012.4241531246951</v>
      </c>
      <c r="N447" s="44" t="s">
        <v>112</v>
      </c>
      <c r="O447" s="128">
        <v>1020.2989241293959</v>
      </c>
      <c r="P447" s="128">
        <v>9.0</v>
      </c>
      <c r="Q447" s="128">
        <v>1016.8440455518527</v>
      </c>
      <c r="R447" s="44" t="s">
        <v>31</v>
      </c>
      <c r="S447" s="128">
        <v>1621.1568384832142</v>
      </c>
      <c r="T447" s="128">
        <v>31.0</v>
      </c>
      <c r="U447" s="128">
        <v>1621.1468384832142</v>
      </c>
      <c r="V447" s="44" t="s">
        <v>98</v>
      </c>
      <c r="W447" s="128">
        <v>864.21880489945</v>
      </c>
      <c r="X447" s="128">
        <v>18.0</v>
      </c>
      <c r="Y447" s="128">
        <v>866.0036585973735</v>
      </c>
      <c r="Z447" s="44" t="s">
        <v>34</v>
      </c>
      <c r="AA447" s="128">
        <v>912.8332122285063</v>
      </c>
      <c r="AB447" s="128">
        <v>19.0</v>
      </c>
      <c r="AC447" s="128">
        <v>914.7458728299346</v>
      </c>
      <c r="AD447" s="44" t="s">
        <v>110</v>
      </c>
      <c r="AE447" s="128">
        <v>928.0546963618068</v>
      </c>
      <c r="AF447" s="128">
        <v>8.0</v>
      </c>
      <c r="AG447" s="128">
        <v>928.1229117074997</v>
      </c>
      <c r="AH447" s="44" t="s">
        <v>47</v>
      </c>
      <c r="AI447" s="128">
        <v>1077.9825082709406</v>
      </c>
      <c r="AJ447" s="128">
        <v>21.0</v>
      </c>
      <c r="AK447" s="128">
        <v>1080.133471333552</v>
      </c>
      <c r="AL447" s="44" t="s">
        <v>23</v>
      </c>
      <c r="AM447" s="128">
        <v>1617.0059015415277</v>
      </c>
      <c r="AN447" s="128">
        <v>33.0</v>
      </c>
      <c r="AO447" s="128">
        <v>1621.0892088338715</v>
      </c>
      <c r="AP447" s="128">
        <v>13.0</v>
      </c>
      <c r="AQ447" s="128">
        <v>15.0</v>
      </c>
      <c r="AS447" s="44" t="s">
        <v>466</v>
      </c>
      <c r="AT447" s="44">
        <v>446.0</v>
      </c>
      <c r="AU447" s="44"/>
      <c r="AW447" s="93"/>
      <c r="AY447" s="93"/>
      <c r="AZ447" s="93"/>
      <c r="BA447" s="93"/>
      <c r="BB447" s="155"/>
      <c r="BC447" s="93"/>
      <c r="BE447" s="93"/>
      <c r="BG447" s="93"/>
      <c r="BH447" s="93"/>
      <c r="BI447" s="93"/>
      <c r="BJ447" s="155"/>
      <c r="BK447" s="93"/>
    </row>
    <row r="448">
      <c r="A448" s="166">
        <v>44311.14485888889</v>
      </c>
      <c r="B448" s="44" t="s">
        <v>88</v>
      </c>
      <c r="C448" s="128">
        <v>797.2742886750101</v>
      </c>
      <c r="D448" s="128">
        <v>20.0</v>
      </c>
      <c r="E448" s="128">
        <v>793.5355427639165</v>
      </c>
      <c r="F448" s="44" t="s">
        <v>61</v>
      </c>
      <c r="G448" s="128">
        <v>941.3674055557318</v>
      </c>
      <c r="H448" s="128">
        <v>27.0</v>
      </c>
      <c r="I448" s="128">
        <v>938.7866957189405</v>
      </c>
      <c r="J448" s="44" t="s">
        <v>31</v>
      </c>
      <c r="K448" s="128">
        <v>1621.1468384832142</v>
      </c>
      <c r="L448" s="128">
        <v>38.0</v>
      </c>
      <c r="M448" s="128">
        <v>1620.466294231099</v>
      </c>
      <c r="N448" s="44"/>
      <c r="O448" s="128"/>
      <c r="P448" s="128"/>
      <c r="Q448" s="128"/>
      <c r="V448" s="44" t="s">
        <v>34</v>
      </c>
      <c r="W448" s="128">
        <v>914.7458728299346</v>
      </c>
      <c r="X448" s="128">
        <v>25.0</v>
      </c>
      <c r="Y448" s="128">
        <v>916.5894817944459</v>
      </c>
      <c r="Z448" s="44" t="s">
        <v>110</v>
      </c>
      <c r="AA448" s="128">
        <v>928.1229117074997</v>
      </c>
      <c r="AB448" s="128">
        <v>18.0</v>
      </c>
      <c r="AC448" s="128">
        <v>928.5894456346531</v>
      </c>
      <c r="AD448" s="44" t="s">
        <v>23</v>
      </c>
      <c r="AE448" s="128">
        <v>1621.0892088338715</v>
      </c>
      <c r="AF448" s="128">
        <v>41.0</v>
      </c>
      <c r="AG448" s="128">
        <v>1625.7790659422067</v>
      </c>
      <c r="AH448" s="44"/>
      <c r="AI448" s="128"/>
      <c r="AJ448" s="128"/>
      <c r="AK448" s="128"/>
      <c r="AP448" s="128">
        <v>20.0</v>
      </c>
      <c r="AQ448" s="128">
        <v>22.0</v>
      </c>
      <c r="AT448" s="44">
        <v>447.0</v>
      </c>
      <c r="AU448" s="44"/>
      <c r="AW448" s="93"/>
      <c r="AY448" s="93"/>
      <c r="AZ448" s="93"/>
      <c r="BA448" s="93"/>
      <c r="BB448" s="155"/>
      <c r="BC448" s="93"/>
      <c r="BE448" s="93"/>
      <c r="BG448" s="93"/>
      <c r="BH448" s="93"/>
      <c r="BI448" s="93"/>
      <c r="BJ448" s="155"/>
      <c r="BK448" s="93"/>
    </row>
    <row r="449">
      <c r="A449" s="166">
        <v>44311.93627082176</v>
      </c>
      <c r="B449" s="44" t="s">
        <v>88</v>
      </c>
      <c r="C449" s="128">
        <v>793.5355427639165</v>
      </c>
      <c r="D449" s="128">
        <v>21.0</v>
      </c>
      <c r="E449" s="128">
        <v>795.8623890841992</v>
      </c>
      <c r="F449" s="44" t="s">
        <v>90</v>
      </c>
      <c r="G449" s="128">
        <v>955.9698605851888</v>
      </c>
      <c r="H449" s="128">
        <v>12.0</v>
      </c>
      <c r="I449" s="128">
        <v>955.9798605851888</v>
      </c>
      <c r="J449" s="44" t="s">
        <v>31</v>
      </c>
      <c r="K449" s="128">
        <v>1620.466294231099</v>
      </c>
      <c r="L449" s="128">
        <v>44.0</v>
      </c>
      <c r="M449" s="128">
        <v>1628.603625961212</v>
      </c>
      <c r="N449" s="44"/>
      <c r="O449" s="128"/>
      <c r="P449" s="128"/>
      <c r="Q449" s="128"/>
      <c r="V449" s="44" t="s">
        <v>107</v>
      </c>
      <c r="W449" s="128">
        <v>1012.4241531246951</v>
      </c>
      <c r="X449" s="128">
        <v>24.0</v>
      </c>
      <c r="Y449" s="128">
        <v>1008.892625709154</v>
      </c>
      <c r="Z449" s="44" t="s">
        <v>47</v>
      </c>
      <c r="AA449" s="128">
        <v>1080.133471333552</v>
      </c>
      <c r="AB449" s="128">
        <v>31.0</v>
      </c>
      <c r="AC449" s="128">
        <v>1078.4802687580056</v>
      </c>
      <c r="AD449" s="44" t="s">
        <v>27</v>
      </c>
      <c r="AE449" s="128">
        <v>1278.5607782503664</v>
      </c>
      <c r="AF449" s="128">
        <v>20.0</v>
      </c>
      <c r="AG449" s="128">
        <v>1273.745508241454</v>
      </c>
      <c r="AH449" s="44"/>
      <c r="AI449" s="128"/>
      <c r="AJ449" s="128"/>
      <c r="AK449" s="128"/>
      <c r="AP449" s="128">
        <v>22.0</v>
      </c>
      <c r="AQ449" s="128">
        <v>20.0</v>
      </c>
      <c r="AT449" s="44">
        <v>448.0</v>
      </c>
      <c r="AU449" s="44"/>
      <c r="AW449" s="93"/>
      <c r="AY449" s="93"/>
      <c r="AZ449" s="93"/>
      <c r="BA449" s="93"/>
      <c r="BB449" s="155"/>
      <c r="BC449" s="93"/>
      <c r="BE449" s="93"/>
      <c r="BG449" s="93"/>
      <c r="BH449" s="93"/>
      <c r="BI449" s="93"/>
      <c r="BJ449" s="155"/>
      <c r="BK449" s="93"/>
    </row>
    <row r="450">
      <c r="A450" s="166">
        <v>44311.98554662037</v>
      </c>
      <c r="B450" s="44" t="s">
        <v>88</v>
      </c>
      <c r="C450" s="128">
        <v>795.8623890841992</v>
      </c>
      <c r="D450" s="128">
        <v>10.0</v>
      </c>
      <c r="E450" s="128">
        <v>796.9439238863401</v>
      </c>
      <c r="F450" s="44" t="s">
        <v>47</v>
      </c>
      <c r="G450" s="128">
        <v>1078.4802687580056</v>
      </c>
      <c r="H450" s="128">
        <v>27.0</v>
      </c>
      <c r="I450" s="128">
        <v>1084.8399466652086</v>
      </c>
      <c r="J450" s="44" t="s">
        <v>31</v>
      </c>
      <c r="K450" s="128">
        <v>1628.603625961212</v>
      </c>
      <c r="L450" s="128">
        <v>22.0</v>
      </c>
      <c r="M450" s="128">
        <v>1633.1624132518682</v>
      </c>
      <c r="N450" s="44"/>
      <c r="O450" s="128"/>
      <c r="P450" s="128"/>
      <c r="Q450" s="128"/>
      <c r="V450" s="44" t="s">
        <v>90</v>
      </c>
      <c r="W450" s="128">
        <v>955.9798605851888</v>
      </c>
      <c r="X450" s="128">
        <v>16.0</v>
      </c>
      <c r="Y450" s="128">
        <v>951.629900163453</v>
      </c>
      <c r="Z450" s="44" t="s">
        <v>107</v>
      </c>
      <c r="AA450" s="128">
        <v>1008.892625709154</v>
      </c>
      <c r="AB450" s="128">
        <v>9.0</v>
      </c>
      <c r="AC450" s="128">
        <v>1002.1548219228519</v>
      </c>
      <c r="AD450" s="44" t="s">
        <v>23</v>
      </c>
      <c r="AE450" s="128">
        <v>1625.7790659422067</v>
      </c>
      <c r="AF450" s="128">
        <v>27.0</v>
      </c>
      <c r="AG450" s="128">
        <v>1624.8668301502446</v>
      </c>
      <c r="AH450" s="44"/>
      <c r="AI450" s="128"/>
      <c r="AJ450" s="128"/>
      <c r="AK450" s="128"/>
      <c r="AP450" s="128">
        <v>15.0</v>
      </c>
      <c r="AQ450" s="128">
        <v>13.0</v>
      </c>
      <c r="AT450" s="44">
        <v>449.0</v>
      </c>
      <c r="AU450" s="44"/>
      <c r="AW450" s="93"/>
      <c r="AY450" s="93"/>
      <c r="AZ450" s="93"/>
      <c r="BA450" s="93"/>
      <c r="BB450" s="155"/>
      <c r="BC450" s="93"/>
      <c r="BE450" s="93"/>
      <c r="BG450" s="93"/>
      <c r="BH450" s="93"/>
      <c r="BI450" s="93"/>
      <c r="BJ450" s="155"/>
      <c r="BK450" s="93"/>
    </row>
    <row r="451">
      <c r="A451" s="166">
        <v>44312.03816123842</v>
      </c>
      <c r="B451" s="44" t="s">
        <v>88</v>
      </c>
      <c r="C451" s="128">
        <v>796.9439238863401</v>
      </c>
      <c r="D451" s="128">
        <v>20.0</v>
      </c>
      <c r="E451" s="128">
        <v>796.9539238863401</v>
      </c>
      <c r="F451" s="44" t="s">
        <v>90</v>
      </c>
      <c r="G451" s="128">
        <v>951.629900163453</v>
      </c>
      <c r="H451" s="128">
        <v>16.0</v>
      </c>
      <c r="I451" s="128">
        <v>951.639900163453</v>
      </c>
      <c r="J451" s="44" t="s">
        <v>107</v>
      </c>
      <c r="K451" s="128">
        <v>1002.1548219228519</v>
      </c>
      <c r="L451" s="128">
        <v>24.0</v>
      </c>
      <c r="M451" s="128">
        <v>1002.1648219228518</v>
      </c>
      <c r="N451" s="44" t="s">
        <v>47</v>
      </c>
      <c r="O451" s="128">
        <v>1084.8399466652086</v>
      </c>
      <c r="P451" s="128">
        <v>32.0</v>
      </c>
      <c r="Q451" s="128">
        <v>1084.8499466652086</v>
      </c>
      <c r="V451" s="44" t="s">
        <v>127</v>
      </c>
      <c r="W451" s="128">
        <v>580.9015312473466</v>
      </c>
      <c r="X451" s="128">
        <v>13.0</v>
      </c>
      <c r="Y451" s="128">
        <v>580.9015312473466</v>
      </c>
      <c r="Z451" s="44" t="s">
        <v>23</v>
      </c>
      <c r="AA451" s="128">
        <v>1624.8668301502446</v>
      </c>
      <c r="AB451" s="128">
        <v>44.0</v>
      </c>
      <c r="AC451" s="128">
        <v>1624.8668301502446</v>
      </c>
      <c r="AD451" s="44" t="s">
        <v>31</v>
      </c>
      <c r="AE451" s="128">
        <v>1633.1624132518682</v>
      </c>
      <c r="AF451" s="128">
        <v>60.0</v>
      </c>
      <c r="AG451" s="128">
        <v>1633.1624132518682</v>
      </c>
      <c r="AH451" s="44"/>
      <c r="AI451" s="128"/>
      <c r="AJ451" s="128"/>
      <c r="AK451" s="128"/>
      <c r="AP451" s="128">
        <v>21.0</v>
      </c>
      <c r="AQ451" s="128">
        <v>21.0</v>
      </c>
      <c r="AT451" s="44">
        <v>450.0</v>
      </c>
      <c r="AU451" s="44"/>
      <c r="AW451" s="93"/>
      <c r="AY451" s="93"/>
      <c r="AZ451" s="93"/>
      <c r="BA451" s="93"/>
      <c r="BB451" s="155"/>
      <c r="BC451" s="93"/>
      <c r="BE451" s="93"/>
      <c r="BG451" s="93"/>
      <c r="BH451" s="93"/>
      <c r="BI451" s="93"/>
      <c r="BJ451" s="155"/>
      <c r="BK451" s="93"/>
    </row>
    <row r="452">
      <c r="A452" s="166">
        <v>44312.929423113426</v>
      </c>
      <c r="B452" s="44" t="s">
        <v>88</v>
      </c>
      <c r="C452" s="128">
        <v>796.9539238863401</v>
      </c>
      <c r="D452" s="128">
        <v>16.0</v>
      </c>
      <c r="E452" s="128">
        <v>791.5687324669758</v>
      </c>
      <c r="F452" s="44" t="s">
        <v>34</v>
      </c>
      <c r="G452" s="128">
        <v>916.5894817944459</v>
      </c>
      <c r="H452" s="128">
        <v>6.0</v>
      </c>
      <c r="I452" s="128">
        <v>906.3909095348807</v>
      </c>
      <c r="J452" s="44" t="s">
        <v>27</v>
      </c>
      <c r="K452" s="128">
        <v>1273.745508241454</v>
      </c>
      <c r="L452" s="128">
        <v>19.0</v>
      </c>
      <c r="M452" s="128">
        <v>1269.181637704926</v>
      </c>
      <c r="N452" s="44" t="s">
        <v>23</v>
      </c>
      <c r="O452" s="128">
        <v>1624.8668301502446</v>
      </c>
      <c r="P452" s="128">
        <v>25.0</v>
      </c>
      <c r="Q452" s="128">
        <v>1623.014464365702</v>
      </c>
      <c r="V452" s="44" t="s">
        <v>110</v>
      </c>
      <c r="W452" s="128">
        <v>928.5894456346531</v>
      </c>
      <c r="X452" s="128">
        <v>11.0</v>
      </c>
      <c r="Y452" s="128">
        <v>930.8056659678925</v>
      </c>
      <c r="Z452" s="44" t="s">
        <v>61</v>
      </c>
      <c r="AA452" s="128">
        <v>938.7866957189405</v>
      </c>
      <c r="AB452" s="128">
        <v>13.0</v>
      </c>
      <c r="AC452" s="128">
        <v>941.9018682202205</v>
      </c>
      <c r="AD452" s="44" t="s">
        <v>47</v>
      </c>
      <c r="AE452" s="128">
        <v>1084.8499466652086</v>
      </c>
      <c r="AF452" s="128">
        <v>26.0</v>
      </c>
      <c r="AG452" s="128">
        <v>1093.7262662037617</v>
      </c>
      <c r="AH452" s="44" t="s">
        <v>31</v>
      </c>
      <c r="AI452" s="128">
        <v>1633.1624132518682</v>
      </c>
      <c r="AJ452" s="128">
        <v>24.0</v>
      </c>
      <c r="AK452" s="128">
        <v>1640.9547008787954</v>
      </c>
      <c r="AP452" s="128">
        <v>12.0</v>
      </c>
      <c r="AQ452" s="128">
        <v>16.0</v>
      </c>
      <c r="AS452" s="44" t="s">
        <v>229</v>
      </c>
      <c r="AT452" s="44">
        <v>451.0</v>
      </c>
      <c r="AU452" s="44"/>
      <c r="AW452" s="93"/>
      <c r="AY452" s="93"/>
      <c r="AZ452" s="93"/>
      <c r="BA452" s="93"/>
      <c r="BB452" s="155"/>
      <c r="BC452" s="93"/>
      <c r="BE452" s="93"/>
      <c r="BG452" s="93"/>
      <c r="BH452" s="93"/>
      <c r="BI452" s="93"/>
      <c r="BJ452" s="155"/>
      <c r="BK452" s="93"/>
    </row>
    <row r="453">
      <c r="A453" s="166">
        <v>44312.98483678241</v>
      </c>
      <c r="B453" s="44" t="s">
        <v>110</v>
      </c>
      <c r="C453" s="128">
        <v>930.8056659678925</v>
      </c>
      <c r="D453" s="128">
        <v>14.0</v>
      </c>
      <c r="E453" s="128">
        <v>930.8156659678925</v>
      </c>
      <c r="F453" s="44" t="s">
        <v>447</v>
      </c>
      <c r="G453" s="128">
        <v>1038.039145875982</v>
      </c>
      <c r="H453" s="128">
        <v>19.0</v>
      </c>
      <c r="I453" s="128">
        <v>1038.049145875982</v>
      </c>
      <c r="J453" s="44" t="s">
        <v>248</v>
      </c>
      <c r="K453" s="128">
        <v>1050.5647469648309</v>
      </c>
      <c r="L453" s="128">
        <v>25.0</v>
      </c>
      <c r="M453" s="128">
        <v>1050.5747469648309</v>
      </c>
      <c r="N453" s="44" t="s">
        <v>47</v>
      </c>
      <c r="O453" s="128">
        <v>1093.7262662037617</v>
      </c>
      <c r="P453" s="128">
        <v>13.0</v>
      </c>
      <c r="Q453" s="128">
        <v>1093.7362662037617</v>
      </c>
      <c r="R453" s="44" t="s">
        <v>31</v>
      </c>
      <c r="S453" s="128">
        <v>1640.9547008787954</v>
      </c>
      <c r="T453" s="128">
        <v>35.0</v>
      </c>
      <c r="U453" s="128">
        <v>1640.9647008787954</v>
      </c>
      <c r="V453" s="44" t="s">
        <v>34</v>
      </c>
      <c r="W453" s="128">
        <v>906.3909095348807</v>
      </c>
      <c r="X453" s="128">
        <v>21.0</v>
      </c>
      <c r="Y453" s="128">
        <v>906.3909095348807</v>
      </c>
      <c r="Z453" s="44" t="s">
        <v>61</v>
      </c>
      <c r="AA453" s="128">
        <v>941.9018682202205</v>
      </c>
      <c r="AB453" s="128">
        <v>2.0</v>
      </c>
      <c r="AC453" s="128">
        <v>941.9018682202205</v>
      </c>
      <c r="AD453" s="44" t="s">
        <v>112</v>
      </c>
      <c r="AE453" s="128">
        <v>1016.8440455518527</v>
      </c>
      <c r="AF453" s="128">
        <v>28.0</v>
      </c>
      <c r="AG453" s="128">
        <v>1016.8440455518527</v>
      </c>
      <c r="AH453" s="44" t="s">
        <v>27</v>
      </c>
      <c r="AI453" s="128">
        <v>1269.181637704926</v>
      </c>
      <c r="AJ453" s="128">
        <v>25.0</v>
      </c>
      <c r="AK453" s="128">
        <v>1269.181637704926</v>
      </c>
      <c r="AL453" s="44" t="s">
        <v>23</v>
      </c>
      <c r="AM453" s="128">
        <v>1623.014464365702</v>
      </c>
      <c r="AN453" s="128">
        <v>43.0</v>
      </c>
      <c r="AO453" s="128">
        <v>1623.014464365702</v>
      </c>
      <c r="AP453" s="128">
        <v>14.0</v>
      </c>
      <c r="AQ453" s="128">
        <v>14.0</v>
      </c>
      <c r="AS453" s="44" t="s">
        <v>266</v>
      </c>
      <c r="AT453" s="44">
        <v>452.0</v>
      </c>
      <c r="AU453" s="44"/>
      <c r="AV453" s="44" t="s">
        <v>121</v>
      </c>
      <c r="AW453" s="45">
        <v>806.6423537997792</v>
      </c>
      <c r="AX453" s="44">
        <v>19.0</v>
      </c>
      <c r="AY453" s="45">
        <v>806.65</v>
      </c>
      <c r="AZ453" s="93"/>
      <c r="BA453" s="93"/>
      <c r="BB453" s="155"/>
      <c r="BC453" s="93"/>
      <c r="BD453" s="44" t="s">
        <v>88</v>
      </c>
      <c r="BE453" s="45">
        <v>791.5687324669758</v>
      </c>
      <c r="BF453" s="44">
        <v>12.0</v>
      </c>
      <c r="BG453" s="45">
        <v>791.5687324669758</v>
      </c>
      <c r="BH453" s="93"/>
      <c r="BI453" s="93"/>
      <c r="BJ453" s="155"/>
      <c r="BK453" s="93"/>
    </row>
    <row r="454">
      <c r="A454" s="166">
        <v>44313.932373414355</v>
      </c>
      <c r="B454" s="44" t="s">
        <v>123</v>
      </c>
      <c r="C454" s="128">
        <v>696.0776411358729</v>
      </c>
      <c r="D454" s="128">
        <v>9.0</v>
      </c>
      <c r="E454" s="128">
        <v>696.9881206737633</v>
      </c>
      <c r="F454" s="44" t="s">
        <v>110</v>
      </c>
      <c r="G454" s="128">
        <v>930.8156659678925</v>
      </c>
      <c r="H454" s="128">
        <v>18.0</v>
      </c>
      <c r="I454" s="128">
        <v>934.2919916311366</v>
      </c>
      <c r="J454" s="44" t="s">
        <v>61</v>
      </c>
      <c r="K454" s="128">
        <v>941.9018682202205</v>
      </c>
      <c r="L454" s="128">
        <v>17.0</v>
      </c>
      <c r="M454" s="128">
        <v>945.0299623128728</v>
      </c>
      <c r="N454" s="44" t="s">
        <v>47</v>
      </c>
      <c r="O454" s="128">
        <v>1093.7362662037617</v>
      </c>
      <c r="P454" s="128">
        <v>22.0</v>
      </c>
      <c r="Q454" s="128">
        <v>1098.3743906394668</v>
      </c>
      <c r="R454" s="44" t="s">
        <v>31</v>
      </c>
      <c r="S454" s="128">
        <v>1640.9647008787954</v>
      </c>
      <c r="T454" s="128">
        <v>32.0</v>
      </c>
      <c r="U454" s="128">
        <v>1648.8116771493035</v>
      </c>
      <c r="V454" s="44" t="s">
        <v>88</v>
      </c>
      <c r="W454" s="128">
        <v>791.5687324669758</v>
      </c>
      <c r="X454" s="128">
        <v>12.0</v>
      </c>
      <c r="Y454" s="128">
        <v>785.4879525968132</v>
      </c>
      <c r="Z454" s="44" t="s">
        <v>98</v>
      </c>
      <c r="AA454" s="128">
        <v>866.0036585973735</v>
      </c>
      <c r="AB454" s="128">
        <v>13.0</v>
      </c>
      <c r="AC454" s="128">
        <v>860.1277210517294</v>
      </c>
      <c r="AD454" s="44" t="s">
        <v>493</v>
      </c>
      <c r="AE454" s="128">
        <v>999.8721297556789</v>
      </c>
      <c r="AF454" s="128">
        <v>21.0</v>
      </c>
      <c r="AG454" s="128">
        <v>996.4870153644548</v>
      </c>
      <c r="AH454" s="44" t="s">
        <v>112</v>
      </c>
      <c r="AI454" s="128">
        <v>1016.8440455518527</v>
      </c>
      <c r="AJ454" s="128">
        <v>16.0</v>
      </c>
      <c r="AK454" s="128">
        <v>1011.7748401852172</v>
      </c>
      <c r="AL454" s="44" t="s">
        <v>23</v>
      </c>
      <c r="AM454" s="128">
        <v>1623.014464365702</v>
      </c>
      <c r="AN454" s="128">
        <v>33.0</v>
      </c>
      <c r="AO454" s="128">
        <v>1623.4255015393683</v>
      </c>
      <c r="AP454" s="128">
        <v>15.0</v>
      </c>
      <c r="AQ454" s="128">
        <v>12.0</v>
      </c>
      <c r="AS454" s="44" t="s">
        <v>232</v>
      </c>
      <c r="AT454" s="44">
        <v>453.0</v>
      </c>
      <c r="AU454" s="44"/>
      <c r="AW454" s="93"/>
      <c r="AY454" s="93"/>
      <c r="AZ454" s="93"/>
      <c r="BA454" s="93"/>
      <c r="BB454" s="155"/>
      <c r="BC454" s="93"/>
      <c r="BE454" s="93"/>
      <c r="BG454" s="93"/>
      <c r="BH454" s="93"/>
      <c r="BI454" s="93"/>
      <c r="BJ454" s="155"/>
      <c r="BK454" s="93"/>
    </row>
    <row r="455">
      <c r="A455" s="166">
        <v>44313.9863059375</v>
      </c>
      <c r="B455" s="44" t="s">
        <v>123</v>
      </c>
      <c r="C455" s="128">
        <v>696.9881206737633</v>
      </c>
      <c r="D455" s="128">
        <v>10.0</v>
      </c>
      <c r="E455" s="128">
        <v>698.2557104512539</v>
      </c>
      <c r="F455" s="44" t="s">
        <v>493</v>
      </c>
      <c r="G455" s="128">
        <v>996.4870153644548</v>
      </c>
      <c r="H455" s="128">
        <v>19.0</v>
      </c>
      <c r="I455" s="128">
        <v>1000.2474288887933</v>
      </c>
      <c r="J455" s="44" t="s">
        <v>112</v>
      </c>
      <c r="K455" s="128">
        <v>1011.7748401852172</v>
      </c>
      <c r="L455" s="128">
        <v>17.0</v>
      </c>
      <c r="M455" s="128">
        <v>1014.8522601400739</v>
      </c>
      <c r="N455" s="44" t="s">
        <v>92</v>
      </c>
      <c r="O455" s="128">
        <v>1080.4842961590516</v>
      </c>
      <c r="P455" s="128">
        <v>19.0</v>
      </c>
      <c r="Q455" s="128">
        <v>1084.1654169291512</v>
      </c>
      <c r="R455" s="44" t="s">
        <v>23</v>
      </c>
      <c r="S455" s="128">
        <v>1623.4255015393683</v>
      </c>
      <c r="T455" s="128">
        <v>33.0</v>
      </c>
      <c r="U455" s="128">
        <v>1631.638957512583</v>
      </c>
      <c r="V455" s="44" t="s">
        <v>88</v>
      </c>
      <c r="W455" s="128">
        <v>785.4879525968132</v>
      </c>
      <c r="X455" s="128">
        <v>8.0</v>
      </c>
      <c r="Y455" s="128">
        <v>778.6749883067986</v>
      </c>
      <c r="Z455" s="44" t="s">
        <v>110</v>
      </c>
      <c r="AA455" s="128">
        <v>934.2919916311366</v>
      </c>
      <c r="AB455" s="128">
        <v>14.0</v>
      </c>
      <c r="AC455" s="128">
        <v>929.2653552419961</v>
      </c>
      <c r="AD455" s="44" t="s">
        <v>61</v>
      </c>
      <c r="AE455" s="128">
        <v>945.0299623128728</v>
      </c>
      <c r="AF455" s="128">
        <v>18.0</v>
      </c>
      <c r="AG455" s="128">
        <v>941.3242745479764</v>
      </c>
      <c r="AH455" s="44" t="s">
        <v>47</v>
      </c>
      <c r="AI455" s="128">
        <v>1098.3743906394668</v>
      </c>
      <c r="AJ455" s="128">
        <v>15.0</v>
      </c>
      <c r="AK455" s="128">
        <v>1093.5332993620866</v>
      </c>
      <c r="AL455" s="44" t="s">
        <v>31</v>
      </c>
      <c r="AM455" s="128">
        <v>1648.8116771493035</v>
      </c>
      <c r="AN455" s="128">
        <v>31.0</v>
      </c>
      <c r="AO455" s="128">
        <v>1649.1980568707352</v>
      </c>
      <c r="AP455" s="128">
        <v>16.0</v>
      </c>
      <c r="AQ455" s="128">
        <v>12.0</v>
      </c>
      <c r="AS455" s="44" t="s">
        <v>295</v>
      </c>
      <c r="AT455" s="44">
        <v>454.0</v>
      </c>
      <c r="AU455" s="44"/>
      <c r="AW455" s="93"/>
      <c r="AY455" s="93"/>
      <c r="AZ455" s="93"/>
      <c r="BA455" s="93"/>
      <c r="BB455" s="155"/>
      <c r="BC455" s="93"/>
      <c r="BE455" s="93"/>
      <c r="BG455" s="93"/>
      <c r="BH455" s="93"/>
      <c r="BI455" s="93"/>
      <c r="BJ455" s="155"/>
      <c r="BK455" s="93"/>
    </row>
    <row r="456">
      <c r="A456" s="166">
        <v>44314.03013614583</v>
      </c>
      <c r="B456" s="44" t="s">
        <v>123</v>
      </c>
      <c r="C456" s="128">
        <v>698.2557104512539</v>
      </c>
      <c r="D456" s="128">
        <v>13.0</v>
      </c>
      <c r="E456" s="128">
        <v>699.1618021150679</v>
      </c>
      <c r="F456" s="44" t="s">
        <v>110</v>
      </c>
      <c r="G456" s="128">
        <v>929.2653552419961</v>
      </c>
      <c r="H456" s="128">
        <v>13.0</v>
      </c>
      <c r="I456" s="128">
        <v>929.9824109441696</v>
      </c>
      <c r="J456" s="44" t="s">
        <v>61</v>
      </c>
      <c r="K456" s="128">
        <v>941.3242745479764</v>
      </c>
      <c r="L456" s="128">
        <v>22.0</v>
      </c>
      <c r="M456" s="128">
        <v>943.3466167803263</v>
      </c>
      <c r="N456" s="44" t="s">
        <v>23</v>
      </c>
      <c r="O456" s="128">
        <v>1631.638957512583</v>
      </c>
      <c r="P456" s="128">
        <v>32.0</v>
      </c>
      <c r="Q456" s="128">
        <v>1634.9934679142457</v>
      </c>
      <c r="V456" s="44" t="s">
        <v>127</v>
      </c>
      <c r="W456" s="128">
        <v>580.9015312473466</v>
      </c>
      <c r="X456" s="128">
        <v>1.0</v>
      </c>
      <c r="Y456" s="128">
        <v>576.650183042612</v>
      </c>
      <c r="Z456" s="44" t="s">
        <v>88</v>
      </c>
      <c r="AA456" s="128">
        <v>778.6749883067986</v>
      </c>
      <c r="AB456" s="128">
        <v>10.0</v>
      </c>
      <c r="AC456" s="128">
        <v>775.5240493131881</v>
      </c>
      <c r="AD456" s="44" t="s">
        <v>47</v>
      </c>
      <c r="AE456" s="128">
        <v>1093.5332993620866</v>
      </c>
      <c r="AF456" s="128">
        <v>29.0</v>
      </c>
      <c r="AG456" s="128">
        <v>1092.960930977259</v>
      </c>
      <c r="AH456" s="44" t="s">
        <v>31</v>
      </c>
      <c r="AI456" s="128">
        <v>1649.1980568707352</v>
      </c>
      <c r="AJ456" s="128">
        <v>40.0</v>
      </c>
      <c r="AK456" s="128">
        <v>1650.1727124539077</v>
      </c>
      <c r="AP456" s="128">
        <v>14.0</v>
      </c>
      <c r="AQ456" s="128">
        <v>13.0</v>
      </c>
      <c r="AT456" s="44">
        <v>455.0</v>
      </c>
      <c r="AU456" s="44"/>
      <c r="AW456" s="93"/>
      <c r="AY456" s="93"/>
      <c r="AZ456" s="93"/>
      <c r="BA456" s="93"/>
      <c r="BB456" s="155"/>
      <c r="BC456" s="93"/>
      <c r="BE456" s="93"/>
      <c r="BG456" s="93"/>
      <c r="BH456" s="93"/>
      <c r="BI456" s="93"/>
      <c r="BJ456" s="155"/>
      <c r="BK456" s="93"/>
    </row>
    <row r="457">
      <c r="A457" s="166">
        <v>44314.913764502315</v>
      </c>
      <c r="B457" s="44" t="s">
        <v>123</v>
      </c>
      <c r="C457" s="128">
        <v>699.1618021150679</v>
      </c>
      <c r="D457" s="128">
        <v>13.0</v>
      </c>
      <c r="E457" s="128">
        <v>702.0912494535501</v>
      </c>
      <c r="F457" s="44" t="s">
        <v>61</v>
      </c>
      <c r="G457" s="128">
        <v>943.3466167803263</v>
      </c>
      <c r="H457" s="128">
        <v>24.0</v>
      </c>
      <c r="I457" s="128">
        <v>952.6294095842678</v>
      </c>
      <c r="J457" s="44" t="s">
        <v>493</v>
      </c>
      <c r="K457" s="128">
        <v>1000.2474288887933</v>
      </c>
      <c r="L457" s="128">
        <v>13.0</v>
      </c>
      <c r="M457" s="128">
        <v>1002.0450382148791</v>
      </c>
      <c r="N457" s="44" t="s">
        <v>31</v>
      </c>
      <c r="O457" s="128">
        <v>1650.1727124539077</v>
      </c>
      <c r="P457" s="128">
        <v>38.0</v>
      </c>
      <c r="Q457" s="128">
        <v>1668.162862985398</v>
      </c>
      <c r="V457" s="44" t="s">
        <v>88</v>
      </c>
      <c r="W457" s="128">
        <v>775.5240493131881</v>
      </c>
      <c r="X457" s="128">
        <v>16.0</v>
      </c>
      <c r="Y457" s="128">
        <v>767.9149393150684</v>
      </c>
      <c r="Z457" s="44" t="s">
        <v>92</v>
      </c>
      <c r="AA457" s="128">
        <v>1084.1654169291512</v>
      </c>
      <c r="AB457" s="128">
        <v>12.0</v>
      </c>
      <c r="AC457" s="128">
        <v>1073.2026010907107</v>
      </c>
      <c r="AD457" s="44" t="s">
        <v>47</v>
      </c>
      <c r="AE457" s="128">
        <v>1092.960930977259</v>
      </c>
      <c r="AF457" s="128">
        <v>20.0</v>
      </c>
      <c r="AG457" s="128">
        <v>1087.3203377031239</v>
      </c>
      <c r="AH457" s="44" t="s">
        <v>27</v>
      </c>
      <c r="AI457" s="128">
        <v>1269.181637704926</v>
      </c>
      <c r="AJ457" s="128">
        <v>17.0</v>
      </c>
      <c r="AK457" s="128">
        <v>1261.3941568156215</v>
      </c>
      <c r="AP457" s="128">
        <v>20.0</v>
      </c>
      <c r="AQ457" s="128">
        <v>8.0</v>
      </c>
      <c r="AT457" s="44">
        <v>456.0</v>
      </c>
      <c r="AU457" s="44"/>
      <c r="AW457" s="93"/>
      <c r="AY457" s="93"/>
      <c r="AZ457" s="93"/>
      <c r="BA457" s="93"/>
      <c r="BB457" s="155"/>
      <c r="BC457" s="93"/>
      <c r="BE457" s="93"/>
      <c r="BG457" s="93"/>
      <c r="BH457" s="93"/>
      <c r="BI457" s="93"/>
      <c r="BJ457" s="155"/>
      <c r="BK457" s="93"/>
    </row>
    <row r="458">
      <c r="A458" s="166">
        <v>44315.02170416666</v>
      </c>
      <c r="B458" s="44" t="s">
        <v>123</v>
      </c>
      <c r="C458" s="128">
        <v>702.0912494535501</v>
      </c>
      <c r="D458" s="128">
        <v>12.0</v>
      </c>
      <c r="E458" s="128">
        <v>703.03496914193</v>
      </c>
      <c r="F458" s="44" t="s">
        <v>88</v>
      </c>
      <c r="G458" s="128">
        <v>767.9149393150684</v>
      </c>
      <c r="H458" s="128">
        <v>12.0</v>
      </c>
      <c r="I458" s="128">
        <v>768.789232507015</v>
      </c>
      <c r="J458" s="44" t="s">
        <v>34</v>
      </c>
      <c r="K458" s="128">
        <v>906.3909095348807</v>
      </c>
      <c r="L458" s="128">
        <v>24.0</v>
      </c>
      <c r="M458" s="128">
        <v>909.1471975238396</v>
      </c>
      <c r="N458" s="44" t="s">
        <v>31</v>
      </c>
      <c r="O458" s="128">
        <v>1668.162862985398</v>
      </c>
      <c r="P458" s="128">
        <v>29.0</v>
      </c>
      <c r="Q458" s="128">
        <v>1671.5885621161126</v>
      </c>
      <c r="V458" s="44" t="s">
        <v>110</v>
      </c>
      <c r="W458" s="128">
        <v>929.9824109441696</v>
      </c>
      <c r="X458" s="128">
        <v>21.0</v>
      </c>
      <c r="Y458" s="128">
        <v>928.3906273463066</v>
      </c>
      <c r="Z458" s="44" t="s">
        <v>61</v>
      </c>
      <c r="AA458" s="128">
        <v>952.6294095842678</v>
      </c>
      <c r="AB458" s="128">
        <v>29.0</v>
      </c>
      <c r="AC458" s="128">
        <v>952.3570712329508</v>
      </c>
      <c r="AD458" s="44" t="s">
        <v>493</v>
      </c>
      <c r="AE458" s="128">
        <v>1002.0450382148791</v>
      </c>
      <c r="AF458" s="128">
        <v>14.0</v>
      </c>
      <c r="AG458" s="128">
        <v>999.2455973817608</v>
      </c>
      <c r="AH458" s="44" t="s">
        <v>47</v>
      </c>
      <c r="AI458" s="128">
        <v>1087.3203377031239</v>
      </c>
      <c r="AJ458" s="128">
        <v>11.0</v>
      </c>
      <c r="AK458" s="128">
        <v>1083.983900485422</v>
      </c>
      <c r="AP458" s="128">
        <v>15.0</v>
      </c>
      <c r="AQ458" s="128">
        <v>13.0</v>
      </c>
      <c r="AS458" s="44" t="s">
        <v>231</v>
      </c>
      <c r="AT458" s="44">
        <v>457.0</v>
      </c>
      <c r="AU458" s="44"/>
      <c r="AW458" s="93"/>
      <c r="AY458" s="93"/>
      <c r="AZ458" s="93"/>
      <c r="BA458" s="93"/>
      <c r="BB458" s="155"/>
      <c r="BC458" s="93"/>
      <c r="BE458" s="93"/>
      <c r="BG458" s="93"/>
      <c r="BH458" s="93"/>
      <c r="BI458" s="93"/>
      <c r="BJ458" s="155"/>
      <c r="BK458" s="93"/>
    </row>
    <row r="459">
      <c r="A459" s="166">
        <v>44315.02258975695</v>
      </c>
      <c r="B459" s="44" t="s">
        <v>127</v>
      </c>
      <c r="C459" s="128">
        <v>576.650183042612</v>
      </c>
      <c r="D459" s="128">
        <v>7.0</v>
      </c>
      <c r="E459" s="128">
        <v>567.8576706556148</v>
      </c>
      <c r="F459" s="44" t="s">
        <v>123</v>
      </c>
      <c r="G459" s="128">
        <v>703.03496914193</v>
      </c>
      <c r="H459" s="128">
        <v>13.0</v>
      </c>
      <c r="I459" s="128">
        <v>696.5129628585386</v>
      </c>
      <c r="J459" s="44" t="s">
        <v>88</v>
      </c>
      <c r="K459" s="128">
        <v>768.789232507015</v>
      </c>
      <c r="L459" s="128">
        <v>14.0</v>
      </c>
      <c r="M459" s="128">
        <v>762.5473633911563</v>
      </c>
      <c r="N459" s="44" t="s">
        <v>31</v>
      </c>
      <c r="O459" s="128">
        <v>1671.5885621161126</v>
      </c>
      <c r="P459" s="128">
        <v>31.0</v>
      </c>
      <c r="Q459" s="128">
        <v>1671.5785621161126</v>
      </c>
      <c r="V459" s="44" t="s">
        <v>121</v>
      </c>
      <c r="W459" s="128">
        <v>806.65</v>
      </c>
      <c r="X459" s="128">
        <v>18.0</v>
      </c>
      <c r="Y459" s="128">
        <v>811.0512037451125</v>
      </c>
      <c r="Z459" s="44" t="s">
        <v>110</v>
      </c>
      <c r="AA459" s="128">
        <v>928.3906273463066</v>
      </c>
      <c r="AB459" s="128">
        <v>18.0</v>
      </c>
      <c r="AC459" s="128">
        <v>932.5263013522964</v>
      </c>
      <c r="AD459" s="44" t="s">
        <v>61</v>
      </c>
      <c r="AE459" s="128">
        <v>952.3570712329508</v>
      </c>
      <c r="AF459" s="128">
        <v>23.0</v>
      </c>
      <c r="AG459" s="128">
        <v>958.6374295158924</v>
      </c>
      <c r="AH459" s="44" t="s">
        <v>112</v>
      </c>
      <c r="AI459" s="128">
        <v>1014.8522601400739</v>
      </c>
      <c r="AJ459" s="128">
        <v>23.0</v>
      </c>
      <c r="AK459" s="128">
        <v>1021.03502410603</v>
      </c>
      <c r="AP459" s="128">
        <v>11.0</v>
      </c>
      <c r="AQ459" s="128">
        <v>17.0</v>
      </c>
      <c r="AS459" s="44" t="s">
        <v>408</v>
      </c>
      <c r="AT459" s="44">
        <v>458.0</v>
      </c>
      <c r="AU459" s="44"/>
      <c r="AW459" s="93"/>
      <c r="AY459" s="93"/>
      <c r="AZ459" s="93"/>
      <c r="BA459" s="93"/>
      <c r="BB459" s="155"/>
      <c r="BC459" s="93"/>
      <c r="BE459" s="93"/>
      <c r="BG459" s="93"/>
      <c r="BH459" s="93"/>
      <c r="BI459" s="93"/>
      <c r="BJ459" s="155"/>
      <c r="BK459" s="93"/>
    </row>
    <row r="460">
      <c r="A460" s="166">
        <v>44315.90264425926</v>
      </c>
      <c r="B460" s="44" t="s">
        <v>110</v>
      </c>
      <c r="C460" s="128">
        <v>932.5263013522964</v>
      </c>
      <c r="D460" s="128">
        <v>12.0</v>
      </c>
      <c r="E460" s="128">
        <v>933.3986318488537</v>
      </c>
      <c r="F460" s="44" t="s">
        <v>61</v>
      </c>
      <c r="G460" s="128">
        <v>958.6374295158924</v>
      </c>
      <c r="H460" s="128">
        <v>19.0</v>
      </c>
      <c r="I460" s="128">
        <v>960.947122324621</v>
      </c>
      <c r="J460" s="44" t="s">
        <v>27</v>
      </c>
      <c r="K460" s="128">
        <v>1261.3941568156215</v>
      </c>
      <c r="L460" s="128">
        <v>21.0</v>
      </c>
      <c r="M460" s="128">
        <v>1263.9823092345684</v>
      </c>
      <c r="N460" s="44" t="s">
        <v>23</v>
      </c>
      <c r="O460" s="128">
        <v>1634.9934679142457</v>
      </c>
      <c r="P460" s="128">
        <v>29.0</v>
      </c>
      <c r="Q460" s="128">
        <v>1639.223292190013</v>
      </c>
      <c r="V460" s="44" t="s">
        <v>493</v>
      </c>
      <c r="W460" s="128">
        <v>999.2455973817608</v>
      </c>
      <c r="X460" s="128">
        <v>18.0</v>
      </c>
      <c r="Y460" s="128">
        <v>996.5320455265784</v>
      </c>
      <c r="Z460" s="44" t="s">
        <v>112</v>
      </c>
      <c r="AA460" s="128">
        <v>1021.03502410603</v>
      </c>
      <c r="AB460" s="128">
        <v>27.0</v>
      </c>
      <c r="AC460" s="128">
        <v>1020.1829933190969</v>
      </c>
      <c r="AD460" s="44" t="s">
        <v>47</v>
      </c>
      <c r="AE460" s="128">
        <v>1083.983900485422</v>
      </c>
      <c r="AF460" s="128">
        <v>13.0</v>
      </c>
      <c r="AG460" s="128">
        <v>1080.1818093739575</v>
      </c>
      <c r="AH460" s="44" t="s">
        <v>31</v>
      </c>
      <c r="AI460" s="128">
        <v>1671.5785621161126</v>
      </c>
      <c r="AJ460" s="128">
        <v>19.0</v>
      </c>
      <c r="AK460" s="128">
        <v>1668.9462358696928</v>
      </c>
      <c r="AP460" s="128">
        <v>15.0</v>
      </c>
      <c r="AQ460" s="128">
        <v>13.0</v>
      </c>
      <c r="AS460" s="44" t="s">
        <v>229</v>
      </c>
      <c r="AT460" s="44">
        <v>459.0</v>
      </c>
      <c r="AU460" s="44"/>
      <c r="AW460" s="93"/>
      <c r="AY460" s="93"/>
      <c r="AZ460" s="93"/>
      <c r="BA460" s="93"/>
      <c r="BB460" s="155"/>
      <c r="BC460" s="93"/>
      <c r="BE460" s="93"/>
      <c r="BG460" s="93"/>
      <c r="BH460" s="93"/>
      <c r="BI460" s="93"/>
      <c r="BJ460" s="155"/>
      <c r="BK460" s="93"/>
    </row>
    <row r="461">
      <c r="A461" s="166">
        <v>44315.95767880787</v>
      </c>
      <c r="B461" s="44" t="s">
        <v>110</v>
      </c>
      <c r="C461" s="128">
        <v>933.3986318488537</v>
      </c>
      <c r="D461" s="128">
        <v>21.0</v>
      </c>
      <c r="E461" s="128">
        <v>931.644647424684</v>
      </c>
      <c r="F461" s="44" t="s">
        <v>61</v>
      </c>
      <c r="G461" s="128">
        <v>960.947122324621</v>
      </c>
      <c r="H461" s="128">
        <v>11.0</v>
      </c>
      <c r="I461" s="128">
        <v>957.509130770279</v>
      </c>
      <c r="J461" s="44" t="s">
        <v>493</v>
      </c>
      <c r="K461" s="128">
        <v>996.5320455265784</v>
      </c>
      <c r="L461" s="128">
        <v>14.0</v>
      </c>
      <c r="M461" s="128">
        <v>993.5737509277197</v>
      </c>
      <c r="N461" s="44" t="s">
        <v>112</v>
      </c>
      <c r="O461" s="128">
        <v>1020.1829933190969</v>
      </c>
      <c r="P461" s="128">
        <v>28.0</v>
      </c>
      <c r="Q461" s="128">
        <v>1019.5458101856382</v>
      </c>
      <c r="R461" s="44" t="s">
        <v>27</v>
      </c>
      <c r="S461" s="128">
        <v>1263.9823092345684</v>
      </c>
      <c r="T461" s="128">
        <v>25.0</v>
      </c>
      <c r="U461" s="128">
        <v>1262.7697629453976</v>
      </c>
      <c r="V461" s="44" t="s">
        <v>123</v>
      </c>
      <c r="W461" s="128">
        <v>696.5129628585386</v>
      </c>
      <c r="X461" s="128">
        <v>10.0</v>
      </c>
      <c r="Y461" s="128">
        <v>697.2951603106667</v>
      </c>
      <c r="Z461" s="44" t="s">
        <v>88</v>
      </c>
      <c r="AA461" s="128">
        <v>762.5473633911563</v>
      </c>
      <c r="AB461" s="128">
        <v>14.0</v>
      </c>
      <c r="AC461" s="128">
        <v>763.9303067312596</v>
      </c>
      <c r="AD461" s="44" t="s">
        <v>107</v>
      </c>
      <c r="AE461" s="128">
        <v>1002.1648219228518</v>
      </c>
      <c r="AF461" s="128">
        <v>20.0</v>
      </c>
      <c r="AG461" s="128">
        <v>1004.3761586715545</v>
      </c>
      <c r="AH461" s="44" t="s">
        <v>47</v>
      </c>
      <c r="AI461" s="128">
        <v>1080.1818093739575</v>
      </c>
      <c r="AJ461" s="128">
        <v>20.0</v>
      </c>
      <c r="AK461" s="128">
        <v>1082.3591449998682</v>
      </c>
      <c r="AL461" s="44" t="s">
        <v>23</v>
      </c>
      <c r="AM461" s="128">
        <v>1639.223292190013</v>
      </c>
      <c r="AN461" s="128">
        <v>28.0</v>
      </c>
      <c r="AO461" s="128">
        <v>1642.6694790231682</v>
      </c>
      <c r="AP461" s="128">
        <v>13.0</v>
      </c>
      <c r="AQ461" s="128">
        <v>15.0</v>
      </c>
      <c r="AS461" s="44" t="s">
        <v>243</v>
      </c>
      <c r="AT461" s="44">
        <v>460.0</v>
      </c>
      <c r="AU461" s="44"/>
      <c r="AW461" s="93"/>
      <c r="AY461" s="93"/>
      <c r="AZ461" s="93"/>
      <c r="BA461" s="93"/>
      <c r="BB461" s="155"/>
      <c r="BC461" s="93"/>
      <c r="BE461" s="93"/>
      <c r="BG461" s="93"/>
      <c r="BH461" s="93"/>
      <c r="BI461" s="93"/>
      <c r="BJ461" s="155"/>
      <c r="BK461" s="93"/>
    </row>
    <row r="462">
      <c r="A462" s="166">
        <v>44316.896962175924</v>
      </c>
      <c r="B462" s="44" t="s">
        <v>61</v>
      </c>
      <c r="C462" s="128">
        <v>957.509130770279</v>
      </c>
      <c r="D462" s="128">
        <v>14.0</v>
      </c>
      <c r="E462" s="128">
        <v>954.3046838167575</v>
      </c>
      <c r="F462" s="44" t="s">
        <v>493</v>
      </c>
      <c r="G462" s="128">
        <v>993.5737509277197</v>
      </c>
      <c r="H462" s="128">
        <v>11.0</v>
      </c>
      <c r="I462" s="128">
        <v>989.7840716364303</v>
      </c>
      <c r="J462" s="44" t="s">
        <v>107</v>
      </c>
      <c r="K462" s="128">
        <v>1004.3761586715545</v>
      </c>
      <c r="L462" s="128">
        <v>18.0</v>
      </c>
      <c r="M462" s="128">
        <v>1001.892676382372</v>
      </c>
      <c r="N462" s="44" t="s">
        <v>47</v>
      </c>
      <c r="O462" s="128">
        <v>1082.3591449998682</v>
      </c>
      <c r="P462" s="128">
        <v>34.0</v>
      </c>
      <c r="Q462" s="128">
        <v>1082.3491449998683</v>
      </c>
      <c r="V462" s="44" t="s">
        <v>88</v>
      </c>
      <c r="W462" s="128">
        <v>763.9303067312596</v>
      </c>
      <c r="X462" s="128">
        <v>11.0</v>
      </c>
      <c r="Y462" s="128">
        <v>764.5597057492175</v>
      </c>
      <c r="Z462" s="44" t="s">
        <v>34</v>
      </c>
      <c r="AA462" s="128">
        <v>909.1471975238396</v>
      </c>
      <c r="AB462" s="128">
        <v>16.0</v>
      </c>
      <c r="AC462" s="128">
        <v>910.5693621169656</v>
      </c>
      <c r="AD462" s="44" t="s">
        <v>110</v>
      </c>
      <c r="AE462" s="128">
        <v>931.644647424684</v>
      </c>
      <c r="AF462" s="128">
        <v>24.0</v>
      </c>
      <c r="AG462" s="128">
        <v>934.5487378862795</v>
      </c>
      <c r="AH462" s="44" t="s">
        <v>23</v>
      </c>
      <c r="AI462" s="128">
        <v>1642.6694790231682</v>
      </c>
      <c r="AJ462" s="128">
        <v>31.0</v>
      </c>
      <c r="AK462" s="128">
        <v>1646.7138249504887</v>
      </c>
      <c r="AP462" s="128">
        <v>12.0</v>
      </c>
      <c r="AQ462" s="128">
        <v>16.0</v>
      </c>
      <c r="AT462" s="44">
        <v>461.0</v>
      </c>
      <c r="AU462" s="44"/>
      <c r="AW462" s="93"/>
      <c r="AY462" s="93"/>
      <c r="AZ462" s="93"/>
      <c r="BA462" s="93"/>
      <c r="BB462" s="155"/>
      <c r="BC462" s="93"/>
      <c r="BE462" s="93"/>
      <c r="BG462" s="93"/>
      <c r="BH462" s="93"/>
      <c r="BI462" s="93"/>
      <c r="BJ462" s="155"/>
      <c r="BK462" s="93"/>
    </row>
    <row r="463">
      <c r="A463" s="166">
        <v>44316.94821696759</v>
      </c>
      <c r="B463" s="44" t="s">
        <v>88</v>
      </c>
      <c r="C463" s="128">
        <v>764.5597057492175</v>
      </c>
      <c r="D463" s="128">
        <v>14.0</v>
      </c>
      <c r="E463" s="128">
        <v>767.0724140648064</v>
      </c>
      <c r="F463" s="44" t="s">
        <v>61</v>
      </c>
      <c r="G463" s="128">
        <v>954.3046838167575</v>
      </c>
      <c r="H463" s="128">
        <v>18.0</v>
      </c>
      <c r="I463" s="128">
        <v>958.0233079244704</v>
      </c>
      <c r="J463" s="44" t="s">
        <v>27</v>
      </c>
      <c r="K463" s="128">
        <v>1262.7697629453976</v>
      </c>
      <c r="L463" s="128">
        <v>25.0</v>
      </c>
      <c r="M463" s="128">
        <v>1268.9807379262097</v>
      </c>
      <c r="N463" s="44" t="s">
        <v>23</v>
      </c>
      <c r="O463" s="128">
        <v>1646.7138249504887</v>
      </c>
      <c r="P463" s="128">
        <v>26.0</v>
      </c>
      <c r="Q463" s="128">
        <v>1653.2715175463748</v>
      </c>
      <c r="V463" s="44" t="s">
        <v>98</v>
      </c>
      <c r="W463" s="128">
        <v>860.1277210517294</v>
      </c>
      <c r="X463" s="128">
        <v>11.0</v>
      </c>
      <c r="Y463" s="128">
        <v>853.408649350864</v>
      </c>
      <c r="Z463" s="44" t="s">
        <v>107</v>
      </c>
      <c r="AA463" s="128">
        <v>1001.892676382372</v>
      </c>
      <c r="AB463" s="128">
        <v>20.0</v>
      </c>
      <c r="AC463" s="128">
        <v>998.5515825741825</v>
      </c>
      <c r="AD463" s="44" t="s">
        <v>47</v>
      </c>
      <c r="AE463" s="128">
        <v>1082.3491449998683</v>
      </c>
      <c r="AF463" s="128">
        <v>13.0</v>
      </c>
      <c r="AG463" s="128">
        <v>1076.1645451231773</v>
      </c>
      <c r="AH463" s="44" t="s">
        <v>31</v>
      </c>
      <c r="AI463" s="128">
        <v>1668.9462358696928</v>
      </c>
      <c r="AJ463" s="128">
        <v>22.0</v>
      </c>
      <c r="AK463" s="128">
        <v>1666.1910012554388</v>
      </c>
      <c r="AP463" s="128">
        <v>17.0</v>
      </c>
      <c r="AQ463" s="128">
        <v>11.0</v>
      </c>
      <c r="AT463" s="44">
        <v>462.0</v>
      </c>
      <c r="AU463" s="44"/>
      <c r="AW463" s="93"/>
      <c r="AY463" s="93"/>
      <c r="AZ463" s="93"/>
      <c r="BA463" s="93"/>
      <c r="BB463" s="155"/>
      <c r="BC463" s="93"/>
      <c r="BE463" s="93"/>
      <c r="BG463" s="93"/>
      <c r="BH463" s="93"/>
      <c r="BI463" s="93"/>
      <c r="BJ463" s="155"/>
      <c r="BK463" s="93"/>
    </row>
    <row r="464">
      <c r="A464" s="166">
        <v>44316.993893935185</v>
      </c>
      <c r="B464" s="44" t="s">
        <v>88</v>
      </c>
      <c r="C464" s="128">
        <v>767.0724140648064</v>
      </c>
      <c r="D464" s="128">
        <v>15.0</v>
      </c>
      <c r="E464" s="128">
        <v>764.5814400150535</v>
      </c>
      <c r="F464" s="44" t="s">
        <v>98</v>
      </c>
      <c r="G464" s="128">
        <v>853.408649350864</v>
      </c>
      <c r="H464" s="128">
        <v>6.0</v>
      </c>
      <c r="I464" s="128">
        <v>849.4952813086477</v>
      </c>
      <c r="J464" s="44" t="s">
        <v>107</v>
      </c>
      <c r="K464" s="128">
        <v>998.5515825741825</v>
      </c>
      <c r="L464" s="128">
        <v>30.0</v>
      </c>
      <c r="M464" s="128">
        <v>998.1470163835828</v>
      </c>
      <c r="N464" s="44" t="s">
        <v>27</v>
      </c>
      <c r="O464" s="128">
        <v>1268.9807379262097</v>
      </c>
      <c r="P464" s="128">
        <v>21.0</v>
      </c>
      <c r="Q464" s="128">
        <v>1267.1440995729022</v>
      </c>
      <c r="R464" s="44" t="s">
        <v>31</v>
      </c>
      <c r="S464" s="128">
        <v>1666.1910012554388</v>
      </c>
      <c r="T464" s="128">
        <v>31.0</v>
      </c>
      <c r="U464" s="128">
        <v>1665.8365478913151</v>
      </c>
      <c r="V464" s="44" t="s">
        <v>110</v>
      </c>
      <c r="W464" s="128">
        <v>934.5487378862795</v>
      </c>
      <c r="X464" s="128">
        <v>20.0</v>
      </c>
      <c r="Y464" s="128">
        <v>936.0677211347403</v>
      </c>
      <c r="Z464" s="44" t="s">
        <v>90</v>
      </c>
      <c r="AA464" s="128">
        <v>951.639900163453</v>
      </c>
      <c r="AB464" s="128">
        <v>17.0</v>
      </c>
      <c r="AC464" s="128">
        <v>952.6979749997773</v>
      </c>
      <c r="AD464" s="44" t="s">
        <v>61</v>
      </c>
      <c r="AE464" s="128">
        <v>958.0233079244704</v>
      </c>
      <c r="AF464" s="128">
        <v>22.0</v>
      </c>
      <c r="AG464" s="128">
        <v>959.8274497144969</v>
      </c>
      <c r="AH464" s="44" t="s">
        <v>47</v>
      </c>
      <c r="AI464" s="128">
        <v>1076.1645451231773</v>
      </c>
      <c r="AJ464" s="128">
        <v>18.0</v>
      </c>
      <c r="AK464" s="128">
        <v>1077.309152659725</v>
      </c>
      <c r="AL464" s="44" t="s">
        <v>23</v>
      </c>
      <c r="AM464" s="128">
        <v>1653.2715175463748</v>
      </c>
      <c r="AN464" s="128">
        <v>34.0</v>
      </c>
      <c r="AO464" s="128">
        <v>1656.7457101350153</v>
      </c>
      <c r="AP464" s="128">
        <v>13.0</v>
      </c>
      <c r="AQ464" s="128">
        <v>15.0</v>
      </c>
      <c r="AT464" s="44">
        <v>463.0</v>
      </c>
      <c r="AU464" s="44"/>
      <c r="AW464" s="93"/>
      <c r="AY464" s="93"/>
      <c r="AZ464" s="93"/>
      <c r="BA464" s="93"/>
      <c r="BB464" s="155"/>
      <c r="BC464" s="93"/>
      <c r="BE464" s="93"/>
      <c r="BG464" s="93"/>
      <c r="BH464" s="93"/>
      <c r="BI464" s="93"/>
      <c r="BJ464" s="155"/>
      <c r="BK464" s="93"/>
    </row>
    <row r="465">
      <c r="A465" s="166">
        <v>44317.048815648144</v>
      </c>
      <c r="B465" s="44" t="s">
        <v>88</v>
      </c>
      <c r="C465" s="128">
        <v>764.5814400150535</v>
      </c>
      <c r="D465" s="128">
        <v>21.0</v>
      </c>
      <c r="E465" s="128">
        <v>764.4181598735445</v>
      </c>
      <c r="F465" s="44" t="s">
        <v>110</v>
      </c>
      <c r="G465" s="128">
        <v>936.0677211347403</v>
      </c>
      <c r="H465" s="128">
        <v>14.0</v>
      </c>
      <c r="I465" s="128">
        <v>935.7738204699408</v>
      </c>
      <c r="J465" s="44" t="s">
        <v>90</v>
      </c>
      <c r="K465" s="128">
        <v>952.6979749997773</v>
      </c>
      <c r="L465" s="128">
        <v>11.0</v>
      </c>
      <c r="M465" s="128">
        <v>952.3530222347069</v>
      </c>
      <c r="N465" s="44" t="s">
        <v>27</v>
      </c>
      <c r="O465" s="128">
        <v>1267.1440995729022</v>
      </c>
      <c r="P465" s="128">
        <v>28.0</v>
      </c>
      <c r="Q465" s="128">
        <v>1267.0711314211344</v>
      </c>
      <c r="R465" s="44" t="s">
        <v>23</v>
      </c>
      <c r="S465" s="128">
        <v>1656.7457101350153</v>
      </c>
      <c r="T465" s="128">
        <v>25.0</v>
      </c>
      <c r="U465" s="128">
        <v>1656.620811858162</v>
      </c>
      <c r="V465" s="44" t="s">
        <v>98</v>
      </c>
      <c r="W465" s="128">
        <v>849.4952813086477</v>
      </c>
      <c r="X465" s="128">
        <v>19.0</v>
      </c>
      <c r="Y465" s="128">
        <v>849.6632820416031</v>
      </c>
      <c r="Z465" s="44" t="s">
        <v>61</v>
      </c>
      <c r="AA465" s="128">
        <v>959.8274497144969</v>
      </c>
      <c r="AB465" s="128">
        <v>17.0</v>
      </c>
      <c r="AC465" s="128">
        <v>959.9536234928127</v>
      </c>
      <c r="AD465" s="44" t="s">
        <v>107</v>
      </c>
      <c r="AE465" s="128">
        <v>998.1470163835828</v>
      </c>
      <c r="AF465" s="128">
        <v>27.0</v>
      </c>
      <c r="AG465" s="128">
        <v>998.4374892733765</v>
      </c>
      <c r="AH465" s="44" t="s">
        <v>47</v>
      </c>
      <c r="AI465" s="128">
        <v>1077.309152659725</v>
      </c>
      <c r="AJ465" s="128">
        <v>22.0</v>
      </c>
      <c r="AK465" s="128">
        <v>1077.5122900295721</v>
      </c>
      <c r="AL465" s="44" t="s">
        <v>31</v>
      </c>
      <c r="AM465" s="128">
        <v>1665.8365478913151</v>
      </c>
      <c r="AN465" s="128">
        <v>23.0</v>
      </c>
      <c r="AO465" s="128">
        <v>1666.0487631204032</v>
      </c>
      <c r="AP465" s="128">
        <v>14.0</v>
      </c>
      <c r="AQ465" s="128">
        <v>14.0</v>
      </c>
      <c r="AT465" s="44">
        <v>464.0</v>
      </c>
      <c r="AU465" s="44"/>
      <c r="AW465" s="93"/>
      <c r="AY465" s="93"/>
      <c r="AZ465" s="93"/>
      <c r="BA465" s="93"/>
      <c r="BB465" s="155"/>
      <c r="BC465" s="93"/>
      <c r="BE465" s="93"/>
      <c r="BG465" s="93"/>
      <c r="BH465" s="93"/>
      <c r="BI465" s="93"/>
      <c r="BJ465" s="155"/>
      <c r="BK465" s="93"/>
    </row>
    <row r="466">
      <c r="A466" s="166">
        <v>44317.07664341435</v>
      </c>
      <c r="B466" s="44" t="s">
        <v>88</v>
      </c>
      <c r="C466" s="128">
        <v>764.4181598735445</v>
      </c>
      <c r="D466" s="128">
        <v>19.0</v>
      </c>
      <c r="E466" s="128">
        <v>759.5893954476691</v>
      </c>
      <c r="F466" s="44" t="s">
        <v>110</v>
      </c>
      <c r="G466" s="128">
        <v>935.7738204699408</v>
      </c>
      <c r="H466" s="128">
        <v>15.0</v>
      </c>
      <c r="I466" s="128">
        <v>928.6939502492121</v>
      </c>
      <c r="J466" s="44" t="s">
        <v>23</v>
      </c>
      <c r="K466" s="128">
        <v>1656.620811858162</v>
      </c>
      <c r="L466" s="128">
        <v>20.0</v>
      </c>
      <c r="M466" s="128">
        <v>1651.529446504766</v>
      </c>
      <c r="N466" s="44"/>
      <c r="O466" s="128"/>
      <c r="P466" s="128"/>
      <c r="Q466" s="128"/>
      <c r="V466" s="44" t="s">
        <v>61</v>
      </c>
      <c r="W466" s="128">
        <v>959.9536234928127</v>
      </c>
      <c r="X466" s="128">
        <v>19.0</v>
      </c>
      <c r="Y466" s="128">
        <v>965.2245312677754</v>
      </c>
      <c r="Z466" s="44" t="s">
        <v>107</v>
      </c>
      <c r="AA466" s="128">
        <v>998.4374892733765</v>
      </c>
      <c r="AB466" s="128">
        <v>21.0</v>
      </c>
      <c r="AC466" s="128">
        <v>1004.5905237959021</v>
      </c>
      <c r="AD466" s="44" t="s">
        <v>47</v>
      </c>
      <c r="AE466" s="128">
        <v>1077.5122900295721</v>
      </c>
      <c r="AF466" s="128">
        <v>20.0</v>
      </c>
      <c r="AG466" s="128">
        <v>1083.0883477320838</v>
      </c>
      <c r="AH466" s="44"/>
      <c r="AI466" s="128"/>
      <c r="AJ466" s="128"/>
      <c r="AK466" s="128"/>
      <c r="AP466" s="128">
        <v>13.0</v>
      </c>
      <c r="AQ466" s="128">
        <v>15.0</v>
      </c>
      <c r="AT466" s="44">
        <v>465.0</v>
      </c>
      <c r="AU466" s="44"/>
      <c r="AW466" s="93"/>
      <c r="AY466" s="93"/>
      <c r="AZ466" s="93"/>
      <c r="BA466" s="93"/>
      <c r="BB466" s="155"/>
      <c r="BC466" s="93"/>
      <c r="BE466" s="93"/>
      <c r="BG466" s="93"/>
      <c r="BH466" s="93"/>
      <c r="BI466" s="93"/>
      <c r="BJ466" s="155"/>
      <c r="BK466" s="93"/>
    </row>
    <row r="467">
      <c r="A467" s="166">
        <v>44317.109072129635</v>
      </c>
      <c r="B467" s="44" t="s">
        <v>88</v>
      </c>
      <c r="C467" s="128">
        <v>759.5893954476691</v>
      </c>
      <c r="D467" s="128">
        <v>9.0</v>
      </c>
      <c r="E467" s="128">
        <v>726.119952954351</v>
      </c>
      <c r="F467" s="44" t="s">
        <v>110</v>
      </c>
      <c r="G467" s="128">
        <v>928.6939502492121</v>
      </c>
      <c r="H467" s="128">
        <v>9.0</v>
      </c>
      <c r="I467" s="128">
        <v>893.9780737633669</v>
      </c>
      <c r="J467" s="44" t="s">
        <v>23</v>
      </c>
      <c r="K467" s="128">
        <v>1651.529446504766</v>
      </c>
      <c r="L467" s="128">
        <v>29.0</v>
      </c>
      <c r="M467" s="128">
        <v>1651.519446504766</v>
      </c>
      <c r="N467" s="44"/>
      <c r="O467" s="128"/>
      <c r="P467" s="128"/>
      <c r="Q467" s="128"/>
      <c r="V467" s="44" t="s">
        <v>61</v>
      </c>
      <c r="W467" s="128">
        <v>965.2245312677754</v>
      </c>
      <c r="X467" s="128">
        <v>18.0</v>
      </c>
      <c r="Y467" s="128">
        <v>976.7489665296132</v>
      </c>
      <c r="Z467" s="44" t="s">
        <v>107</v>
      </c>
      <c r="AA467" s="128">
        <v>1004.5905237959021</v>
      </c>
      <c r="AB467" s="128">
        <v>31.0</v>
      </c>
      <c r="AC467" s="128">
        <v>1040.0133841493016</v>
      </c>
      <c r="AD467" s="44" t="s">
        <v>47</v>
      </c>
      <c r="AE467" s="128">
        <v>1083.0883477320838</v>
      </c>
      <c r="AF467" s="128">
        <v>23.0</v>
      </c>
      <c r="AG467" s="128">
        <v>1103.1410521168466</v>
      </c>
      <c r="AH467" s="44"/>
      <c r="AI467" s="128"/>
      <c r="AJ467" s="128"/>
      <c r="AK467" s="128"/>
      <c r="AP467" s="128">
        <v>8.0</v>
      </c>
      <c r="AQ467" s="128">
        <v>20.0</v>
      </c>
      <c r="AT467" s="44">
        <v>466.0</v>
      </c>
      <c r="AU467" s="44"/>
      <c r="AW467" s="93"/>
      <c r="AY467" s="93"/>
      <c r="AZ467" s="93"/>
      <c r="BA467" s="93"/>
      <c r="BB467" s="155"/>
      <c r="BC467" s="93"/>
      <c r="BE467" s="93"/>
      <c r="BG467" s="93"/>
      <c r="BH467" s="93"/>
      <c r="BI467" s="93"/>
      <c r="BJ467" s="155"/>
      <c r="BK467" s="93"/>
    </row>
    <row r="468">
      <c r="A468" s="166">
        <v>44317.150702326384</v>
      </c>
      <c r="B468" s="44" t="s">
        <v>88</v>
      </c>
      <c r="C468" s="128">
        <v>726.119952954351</v>
      </c>
      <c r="D468" s="128">
        <v>12.0</v>
      </c>
      <c r="E468" s="128">
        <v>721.5701366183828</v>
      </c>
      <c r="F468" s="44" t="s">
        <v>47</v>
      </c>
      <c r="G468" s="128">
        <v>1103.1410521168466</v>
      </c>
      <c r="H468" s="128">
        <v>20.0</v>
      </c>
      <c r="I468" s="128">
        <v>1100.21030535619</v>
      </c>
      <c r="J468" s="44" t="s">
        <v>31</v>
      </c>
      <c r="K468" s="128">
        <v>1666.0487631204032</v>
      </c>
      <c r="L468" s="128">
        <v>26.0</v>
      </c>
      <c r="M468" s="128">
        <v>1664.529326217028</v>
      </c>
      <c r="N468" s="44"/>
      <c r="O468" s="128"/>
      <c r="P468" s="128"/>
      <c r="Q468" s="128"/>
      <c r="V468" s="44" t="s">
        <v>110</v>
      </c>
      <c r="W468" s="128">
        <v>893.9780737633669</v>
      </c>
      <c r="X468" s="128">
        <v>13.0</v>
      </c>
      <c r="Y468" s="128">
        <v>895.3409825619418</v>
      </c>
      <c r="Z468" s="44" t="s">
        <v>61</v>
      </c>
      <c r="AA468" s="128">
        <v>976.7489665296132</v>
      </c>
      <c r="AB468" s="128">
        <v>18.0</v>
      </c>
      <c r="AC468" s="128">
        <v>979.2816399483507</v>
      </c>
      <c r="AD468" s="44" t="s">
        <v>23</v>
      </c>
      <c r="AE468" s="128">
        <v>1651.519446504766</v>
      </c>
      <c r="AF468" s="128">
        <v>29.0</v>
      </c>
      <c r="AG468" s="128">
        <v>1656.6238642874534</v>
      </c>
      <c r="AH468" s="44"/>
      <c r="AI468" s="128"/>
      <c r="AJ468" s="128"/>
      <c r="AK468" s="128"/>
      <c r="AP468" s="128">
        <v>13.0</v>
      </c>
      <c r="AQ468" s="128">
        <v>15.0</v>
      </c>
      <c r="AT468" s="44">
        <v>467.0</v>
      </c>
      <c r="AU468" s="44"/>
      <c r="AW468" s="93"/>
      <c r="AY468" s="93"/>
      <c r="AZ468" s="93"/>
      <c r="BA468" s="93"/>
      <c r="BB468" s="155"/>
      <c r="BC468" s="93"/>
      <c r="BE468" s="93"/>
      <c r="BG468" s="93"/>
      <c r="BH468" s="93"/>
      <c r="BI468" s="93"/>
      <c r="BJ468" s="155"/>
      <c r="BK468" s="93"/>
    </row>
    <row r="469">
      <c r="A469" s="166">
        <v>44317.961249976855</v>
      </c>
      <c r="B469" s="44" t="s">
        <v>78</v>
      </c>
      <c r="C469" s="128">
        <v>946.6723658966134</v>
      </c>
      <c r="D469" s="128">
        <v>20.0</v>
      </c>
      <c r="E469" s="128">
        <v>943.8421664857462</v>
      </c>
      <c r="F469" s="44" t="s">
        <v>90</v>
      </c>
      <c r="G469" s="128">
        <v>952.3530222347069</v>
      </c>
      <c r="H469" s="128">
        <v>19.0</v>
      </c>
      <c r="I469" s="128">
        <v>949.2396579665351</v>
      </c>
      <c r="J469" s="44" t="s">
        <v>47</v>
      </c>
      <c r="K469" s="128">
        <v>1100.21030535619</v>
      </c>
      <c r="L469" s="128">
        <v>16.0</v>
      </c>
      <c r="M469" s="128">
        <v>1096.153869035229</v>
      </c>
      <c r="N469" s="44"/>
      <c r="O469" s="128"/>
      <c r="P469" s="128"/>
      <c r="Q469" s="128"/>
      <c r="V469" s="44" t="s">
        <v>123</v>
      </c>
      <c r="W469" s="128">
        <v>697.2951603106667</v>
      </c>
      <c r="X469" s="128">
        <v>13.0</v>
      </c>
      <c r="Y469" s="128">
        <v>699.0156482597531</v>
      </c>
      <c r="Z469" s="44" t="s">
        <v>112</v>
      </c>
      <c r="AA469" s="128">
        <v>1019.5458101856382</v>
      </c>
      <c r="AB469" s="128">
        <v>17.0</v>
      </c>
      <c r="AC469" s="128">
        <v>1021.9447425455563</v>
      </c>
      <c r="AD469" s="44" t="s">
        <v>27</v>
      </c>
      <c r="AE469" s="128">
        <v>1267.0711314211344</v>
      </c>
      <c r="AF469" s="128">
        <v>30.0</v>
      </c>
      <c r="AG469" s="128">
        <v>1272.9517111121297</v>
      </c>
      <c r="AH469" s="44"/>
      <c r="AI469" s="128"/>
      <c r="AJ469" s="128"/>
      <c r="AK469" s="128"/>
      <c r="AP469" s="128">
        <v>13.0</v>
      </c>
      <c r="AQ469" s="128">
        <v>15.0</v>
      </c>
      <c r="AS469" s="44" t="s">
        <v>232</v>
      </c>
      <c r="AT469" s="44">
        <v>468.0</v>
      </c>
      <c r="AU469" s="44"/>
      <c r="AW469" s="93"/>
      <c r="AY469" s="93"/>
      <c r="AZ469" s="93"/>
      <c r="BA469" s="93"/>
      <c r="BB469" s="155"/>
      <c r="BC469" s="93"/>
      <c r="BE469" s="93"/>
      <c r="BG469" s="93"/>
      <c r="BH469" s="93"/>
      <c r="BI469" s="93"/>
      <c r="BJ469" s="155"/>
      <c r="BK469" s="93"/>
    </row>
    <row r="470">
      <c r="A470" s="166">
        <v>44318.00996024306</v>
      </c>
      <c r="B470" s="44" t="s">
        <v>123</v>
      </c>
      <c r="C470" s="128">
        <v>699.0156482597531</v>
      </c>
      <c r="D470" s="128">
        <v>9.0</v>
      </c>
      <c r="E470" s="128">
        <v>685.177250821162</v>
      </c>
      <c r="F470" s="44" t="s">
        <v>78</v>
      </c>
      <c r="G470" s="128">
        <v>943.8421664857462</v>
      </c>
      <c r="H470" s="128">
        <v>16.0</v>
      </c>
      <c r="I470" s="128">
        <v>933.7414574356977</v>
      </c>
      <c r="J470" s="44" t="s">
        <v>90</v>
      </c>
      <c r="K470" s="128">
        <v>949.2396579665351</v>
      </c>
      <c r="L470" s="128">
        <v>11.0</v>
      </c>
      <c r="M470" s="128">
        <v>935.8759714520736</v>
      </c>
      <c r="N470" s="44" t="s">
        <v>27</v>
      </c>
      <c r="O470" s="128">
        <v>1272.9517111121297</v>
      </c>
      <c r="P470" s="128">
        <v>31.0</v>
      </c>
      <c r="Q470" s="128">
        <v>1272.1396852527682</v>
      </c>
      <c r="R470" s="44" t="s">
        <v>31</v>
      </c>
      <c r="S470" s="128">
        <v>1664.529326217028</v>
      </c>
      <c r="T470" s="128">
        <v>31.0</v>
      </c>
      <c r="U470" s="128">
        <v>1663.6441450794907</v>
      </c>
      <c r="V470" s="44" t="s">
        <v>98</v>
      </c>
      <c r="W470" s="128">
        <v>849.6632820416031</v>
      </c>
      <c r="X470" s="128">
        <v>12.0</v>
      </c>
      <c r="Y470" s="128">
        <v>849.8852726329063</v>
      </c>
      <c r="Z470" s="44" t="s">
        <v>34</v>
      </c>
      <c r="AA470" s="128">
        <v>910.5693621169656</v>
      </c>
      <c r="AB470" s="128">
        <v>20.0</v>
      </c>
      <c r="AC470" s="128">
        <v>915.7741316206684</v>
      </c>
      <c r="AD470" s="44" t="s">
        <v>112</v>
      </c>
      <c r="AE470" s="128">
        <v>1021.9447425455563</v>
      </c>
      <c r="AF470" s="128">
        <v>30.0</v>
      </c>
      <c r="AG470" s="128">
        <v>1033.3372005540982</v>
      </c>
      <c r="AH470" s="44" t="s">
        <v>47</v>
      </c>
      <c r="AI470" s="128">
        <v>1096.153869035229</v>
      </c>
      <c r="AJ470" s="128">
        <v>25.0</v>
      </c>
      <c r="AK470" s="128">
        <v>1104.1449819934312</v>
      </c>
      <c r="AL470" s="44" t="s">
        <v>23</v>
      </c>
      <c r="AM470" s="128">
        <v>1656.6238642874534</v>
      </c>
      <c r="AN470" s="128">
        <v>35.0</v>
      </c>
      <c r="AO470" s="128">
        <v>1670.8135332257034</v>
      </c>
      <c r="AP470" s="128">
        <v>8.0</v>
      </c>
      <c r="AQ470" s="128">
        <v>20.0</v>
      </c>
      <c r="AS470" s="44" t="s">
        <v>295</v>
      </c>
      <c r="AT470" s="44">
        <v>469.0</v>
      </c>
      <c r="AU470" s="44"/>
      <c r="AW470" s="93"/>
      <c r="AY470" s="93"/>
      <c r="AZ470" s="93"/>
      <c r="BA470" s="93"/>
      <c r="BB470" s="155"/>
      <c r="BC470" s="93"/>
      <c r="BE470" s="93"/>
      <c r="BG470" s="93"/>
      <c r="BH470" s="93"/>
      <c r="BI470" s="93"/>
      <c r="BJ470" s="155"/>
      <c r="BK470" s="93"/>
    </row>
    <row r="471">
      <c r="A471" s="166">
        <v>44318.051223726856</v>
      </c>
      <c r="B471" s="44" t="s">
        <v>123</v>
      </c>
      <c r="C471" s="128">
        <v>685.177250821162</v>
      </c>
      <c r="D471" s="128">
        <v>14.0</v>
      </c>
      <c r="E471" s="128">
        <v>688.1444152362556</v>
      </c>
      <c r="F471" s="44" t="s">
        <v>78</v>
      </c>
      <c r="G471" s="128">
        <v>933.7414574356977</v>
      </c>
      <c r="H471" s="128">
        <v>17.0</v>
      </c>
      <c r="I471" s="128">
        <v>937.5012599693696</v>
      </c>
      <c r="J471" s="44" t="s">
        <v>47</v>
      </c>
      <c r="K471" s="128">
        <v>1104.1449819934312</v>
      </c>
      <c r="L471" s="128">
        <v>26.0</v>
      </c>
      <c r="M471" s="128">
        <v>1112.1307023134123</v>
      </c>
      <c r="N471" s="44" t="s">
        <v>23</v>
      </c>
      <c r="O471" s="128">
        <v>1670.8135332257034</v>
      </c>
      <c r="P471" s="128">
        <v>29.0</v>
      </c>
      <c r="Q471" s="128">
        <v>1680.100845956957</v>
      </c>
      <c r="V471" s="44" t="s">
        <v>98</v>
      </c>
      <c r="W471" s="128">
        <v>849.8852726329063</v>
      </c>
      <c r="X471" s="128">
        <v>18.0</v>
      </c>
      <c r="Y471" s="128">
        <v>844.8640064276916</v>
      </c>
      <c r="Z471" s="44" t="s">
        <v>34</v>
      </c>
      <c r="AA471" s="128">
        <v>915.7741316206684</v>
      </c>
      <c r="AB471" s="128">
        <v>9.0</v>
      </c>
      <c r="AC471" s="128">
        <v>906.132710186705</v>
      </c>
      <c r="AD471" s="44" t="s">
        <v>112</v>
      </c>
      <c r="AE471" s="128">
        <v>1033.3372005540982</v>
      </c>
      <c r="AF471" s="128">
        <v>17.0</v>
      </c>
      <c r="AG471" s="128">
        <v>1027.5299870937229</v>
      </c>
      <c r="AH471" s="44" t="s">
        <v>31</v>
      </c>
      <c r="AI471" s="128">
        <v>1663.6441450794907</v>
      </c>
      <c r="AJ471" s="128">
        <v>22.0</v>
      </c>
      <c r="AK471" s="128">
        <v>1660.1140461790442</v>
      </c>
      <c r="AP471" s="128">
        <v>17.0</v>
      </c>
      <c r="AQ471" s="128">
        <v>11.0</v>
      </c>
      <c r="AS471" s="44" t="s">
        <v>413</v>
      </c>
      <c r="AT471" s="44">
        <v>470.0</v>
      </c>
      <c r="AU471" s="44"/>
      <c r="AW471" s="93"/>
      <c r="AY471" s="93"/>
      <c r="AZ471" s="93"/>
      <c r="BA471" s="93"/>
      <c r="BB471" s="155"/>
      <c r="BC471" s="93"/>
      <c r="BE471" s="93"/>
      <c r="BG471" s="93"/>
      <c r="BH471" s="93"/>
      <c r="BI471" s="93"/>
      <c r="BJ471" s="155"/>
      <c r="BK471" s="93"/>
    </row>
    <row r="472">
      <c r="A472" s="166">
        <v>44318.08528128472</v>
      </c>
      <c r="B472" s="44" t="s">
        <v>123</v>
      </c>
      <c r="C472" s="128">
        <v>688.1444152362556</v>
      </c>
      <c r="D472" s="128">
        <v>15.0</v>
      </c>
      <c r="E472" s="128">
        <v>685.2922097251951</v>
      </c>
      <c r="F472" s="44" t="s">
        <v>78</v>
      </c>
      <c r="G472" s="128">
        <v>937.5012599693696</v>
      </c>
      <c r="H472" s="128">
        <v>15.0</v>
      </c>
      <c r="I472" s="128">
        <v>934.4107021373961</v>
      </c>
      <c r="J472" s="44" t="s">
        <v>47</v>
      </c>
      <c r="K472" s="128">
        <v>1112.1307023134123</v>
      </c>
      <c r="L472" s="128">
        <v>20.0</v>
      </c>
      <c r="M472" s="128">
        <v>1109.8843382717232</v>
      </c>
      <c r="N472" s="44" t="s">
        <v>23</v>
      </c>
      <c r="O472" s="128">
        <v>1680.100845956957</v>
      </c>
      <c r="P472" s="128">
        <v>28.0</v>
      </c>
      <c r="Q472" s="128">
        <v>1679.28997334168</v>
      </c>
      <c r="V472" s="44" t="s">
        <v>98</v>
      </c>
      <c r="W472" s="128">
        <v>844.8640064276916</v>
      </c>
      <c r="X472" s="128">
        <v>25.0</v>
      </c>
      <c r="Y472" s="128">
        <v>847.973775364934</v>
      </c>
      <c r="Z472" s="44" t="s">
        <v>34</v>
      </c>
      <c r="AA472" s="128">
        <v>906.132710186705</v>
      </c>
      <c r="AB472" s="128">
        <v>8.0</v>
      </c>
      <c r="AC472" s="128">
        <v>906.0008412095759</v>
      </c>
      <c r="AD472" s="44" t="s">
        <v>112</v>
      </c>
      <c r="AE472" s="128">
        <v>1027.5299870937229</v>
      </c>
      <c r="AF472" s="128">
        <v>21.0</v>
      </c>
      <c r="AG472" s="128">
        <v>1029.7521596563663</v>
      </c>
      <c r="AH472" s="44" t="s">
        <v>31</v>
      </c>
      <c r="AI472" s="128">
        <v>1660.1140461790442</v>
      </c>
      <c r="AJ472" s="128">
        <v>30.0</v>
      </c>
      <c r="AK472" s="128">
        <v>1663.9139736562875</v>
      </c>
      <c r="AP472" s="128">
        <v>13.0</v>
      </c>
      <c r="AQ472" s="128">
        <v>15.0</v>
      </c>
      <c r="AS472" s="44" t="s">
        <v>501</v>
      </c>
      <c r="AT472" s="44">
        <v>471.0</v>
      </c>
      <c r="AU472" s="44"/>
      <c r="AW472" s="93"/>
      <c r="AY472" s="93"/>
      <c r="AZ472" s="93"/>
      <c r="BA472" s="93"/>
      <c r="BB472" s="155"/>
      <c r="BC472" s="93"/>
      <c r="BE472" s="93"/>
      <c r="BG472" s="93"/>
      <c r="BH472" s="93"/>
      <c r="BI472" s="93"/>
      <c r="BJ472" s="155"/>
      <c r="BK472" s="93"/>
    </row>
    <row r="473">
      <c r="A473" s="166">
        <v>44319.0317858912</v>
      </c>
      <c r="B473" s="44" t="s">
        <v>123</v>
      </c>
      <c r="C473" s="128">
        <v>685.2922097251951</v>
      </c>
      <c r="D473" s="128">
        <v>15.0</v>
      </c>
      <c r="E473" s="128">
        <v>686.36700254081</v>
      </c>
      <c r="F473" s="44" t="s">
        <v>98</v>
      </c>
      <c r="G473" s="128">
        <v>847.973775364934</v>
      </c>
      <c r="H473" s="128">
        <v>15.0</v>
      </c>
      <c r="I473" s="128">
        <v>848.9147925034763</v>
      </c>
      <c r="J473" s="44" t="s">
        <v>31</v>
      </c>
      <c r="K473" s="128">
        <v>1663.9139736562875</v>
      </c>
      <c r="L473" s="128">
        <v>31.0</v>
      </c>
      <c r="M473" s="128">
        <v>1666.8981637021302</v>
      </c>
      <c r="N473" s="44"/>
      <c r="O473" s="128"/>
      <c r="P473" s="128"/>
      <c r="Q473" s="128"/>
      <c r="V473" s="44" t="s">
        <v>78</v>
      </c>
      <c r="W473" s="128">
        <v>934.4107021373961</v>
      </c>
      <c r="X473" s="128">
        <v>18.0</v>
      </c>
      <c r="Y473" s="128">
        <v>932.7510160565391</v>
      </c>
      <c r="Z473" s="44" t="s">
        <v>90</v>
      </c>
      <c r="AA473" s="128">
        <v>935.8759714520736</v>
      </c>
      <c r="AB473" s="128">
        <v>16.0</v>
      </c>
      <c r="AC473" s="128">
        <v>933.9378037513928</v>
      </c>
      <c r="AD473" s="44" t="s">
        <v>61</v>
      </c>
      <c r="AE473" s="128">
        <v>979.2816399483507</v>
      </c>
      <c r="AF473" s="128">
        <v>20.0</v>
      </c>
      <c r="AG473" s="128">
        <v>977.8794937298885</v>
      </c>
      <c r="AH473" s="44"/>
      <c r="AI473" s="128"/>
      <c r="AJ473" s="128"/>
      <c r="AK473" s="128"/>
      <c r="AP473" s="128">
        <v>16.0</v>
      </c>
      <c r="AQ473" s="128">
        <v>12.0</v>
      </c>
      <c r="AT473" s="44">
        <v>472.0</v>
      </c>
      <c r="AU473" s="44"/>
      <c r="AW473" s="93"/>
      <c r="AY473" s="93"/>
      <c r="AZ473" s="93"/>
      <c r="BA473" s="93"/>
      <c r="BB473" s="155"/>
      <c r="BC473" s="93"/>
      <c r="BE473" s="93"/>
      <c r="BG473" s="93"/>
      <c r="BH473" s="93"/>
      <c r="BI473" s="93"/>
      <c r="BJ473" s="155"/>
      <c r="BK473" s="93"/>
    </row>
    <row r="474">
      <c r="A474" s="166">
        <v>44319.92650428241</v>
      </c>
      <c r="B474" s="44" t="s">
        <v>123</v>
      </c>
      <c r="C474" s="128">
        <v>686.36700254081</v>
      </c>
      <c r="D474" s="128">
        <v>11.0</v>
      </c>
      <c r="E474" s="128">
        <v>685.9613036009767</v>
      </c>
      <c r="F474" s="44" t="s">
        <v>78</v>
      </c>
      <c r="G474" s="128">
        <v>932.7510160565391</v>
      </c>
      <c r="H474" s="128">
        <v>14.0</v>
      </c>
      <c r="I474" s="128">
        <v>932.381178541882</v>
      </c>
      <c r="J474" s="44" t="s">
        <v>47</v>
      </c>
      <c r="K474" s="128">
        <v>1109.8843382717232</v>
      </c>
      <c r="L474" s="128">
        <v>33.0</v>
      </c>
      <c r="M474" s="128">
        <v>1109.8743382717232</v>
      </c>
      <c r="N474" s="44" t="s">
        <v>27</v>
      </c>
      <c r="O474" s="128">
        <v>1272.1396852527682</v>
      </c>
      <c r="P474" s="128">
        <v>21.0</v>
      </c>
      <c r="Q474" s="128">
        <v>1271.8999994119495</v>
      </c>
      <c r="V474" s="44" t="s">
        <v>90</v>
      </c>
      <c r="W474" s="128">
        <v>933.9378037513928</v>
      </c>
      <c r="X474" s="128">
        <v>12.0</v>
      </c>
      <c r="Y474" s="128">
        <v>934.0460355381844</v>
      </c>
      <c r="Z474" s="44" t="s">
        <v>61</v>
      </c>
      <c r="AA474" s="128">
        <v>977.8794937298885</v>
      </c>
      <c r="AB474" s="128">
        <v>27.0</v>
      </c>
      <c r="AC474" s="128">
        <v>978.2971061502125</v>
      </c>
      <c r="AD474" s="44" t="s">
        <v>112</v>
      </c>
      <c r="AE474" s="128">
        <v>1029.7521596563663</v>
      </c>
      <c r="AF474" s="128">
        <v>19.0</v>
      </c>
      <c r="AG474" s="128">
        <v>1029.9999359798728</v>
      </c>
      <c r="AH474" s="44" t="s">
        <v>107</v>
      </c>
      <c r="AI474" s="128">
        <v>1040.0133841493016</v>
      </c>
      <c r="AJ474" s="128">
        <v>18.0</v>
      </c>
      <c r="AK474" s="128">
        <v>1040.2397636186797</v>
      </c>
      <c r="AP474" s="128">
        <v>14.0</v>
      </c>
      <c r="AQ474" s="128">
        <v>14.0</v>
      </c>
      <c r="AS474" s="44" t="s">
        <v>229</v>
      </c>
      <c r="AT474" s="44">
        <v>473.0</v>
      </c>
      <c r="AU474" s="44"/>
      <c r="AW474" s="93"/>
      <c r="AY474" s="93"/>
      <c r="AZ474" s="93"/>
      <c r="BA474" s="93"/>
      <c r="BB474" s="155"/>
      <c r="BC474" s="93"/>
      <c r="BE474" s="93"/>
      <c r="BG474" s="93"/>
      <c r="BH474" s="93"/>
      <c r="BI474" s="93"/>
      <c r="BJ474" s="155"/>
      <c r="BK474" s="93"/>
    </row>
    <row r="475">
      <c r="A475" s="166">
        <v>44319.96935855324</v>
      </c>
      <c r="B475" s="44" t="s">
        <v>123</v>
      </c>
      <c r="C475" s="128">
        <v>685.9613036009767</v>
      </c>
      <c r="D475" s="128">
        <v>18.0</v>
      </c>
      <c r="E475" s="128">
        <v>687.880238152526</v>
      </c>
      <c r="F475" s="44" t="s">
        <v>90</v>
      </c>
      <c r="G475" s="128">
        <v>934.0460355381844</v>
      </c>
      <c r="H475" s="128">
        <v>15.0</v>
      </c>
      <c r="I475" s="128">
        <v>935.2504320122598</v>
      </c>
      <c r="J475" s="44" t="s">
        <v>61</v>
      </c>
      <c r="K475" s="128">
        <v>978.2971061502125</v>
      </c>
      <c r="L475" s="128">
        <v>25.0</v>
      </c>
      <c r="M475" s="128">
        <v>981.1417668143677</v>
      </c>
      <c r="N475" s="44" t="s">
        <v>47</v>
      </c>
      <c r="O475" s="128">
        <v>1109.8743382717232</v>
      </c>
      <c r="P475" s="128">
        <v>13.0</v>
      </c>
      <c r="Q475" s="128">
        <v>1110.6599746173092</v>
      </c>
      <c r="R475" s="44" t="s">
        <v>27</v>
      </c>
      <c r="S475" s="128">
        <v>1271.8999994119495</v>
      </c>
      <c r="T475" s="128">
        <v>28.0</v>
      </c>
      <c r="U475" s="128">
        <v>1275.1463713765836</v>
      </c>
      <c r="V475" s="44" t="s">
        <v>34</v>
      </c>
      <c r="W475" s="128">
        <v>906.0008412095759</v>
      </c>
      <c r="X475" s="128">
        <v>20.0</v>
      </c>
      <c r="Y475" s="128">
        <v>904.2161297096932</v>
      </c>
      <c r="Z475" s="44" t="s">
        <v>78</v>
      </c>
      <c r="AA475" s="128">
        <v>932.381178541882</v>
      </c>
      <c r="AB475" s="128">
        <v>24.0</v>
      </c>
      <c r="AC475" s="128">
        <v>931.2464916986688</v>
      </c>
      <c r="AD475" s="44" t="s">
        <v>112</v>
      </c>
      <c r="AE475" s="128">
        <v>1029.9999359798728</v>
      </c>
      <c r="AF475" s="128">
        <v>12.0</v>
      </c>
      <c r="AG475" s="128">
        <v>1026.8138625346505</v>
      </c>
      <c r="AH475" s="44" t="s">
        <v>107</v>
      </c>
      <c r="AI475" s="128">
        <v>1040.2397636186797</v>
      </c>
      <c r="AJ475" s="128">
        <v>19.0</v>
      </c>
      <c r="AK475" s="128">
        <v>1038.2158599392587</v>
      </c>
      <c r="AL475" s="44" t="s">
        <v>92</v>
      </c>
      <c r="AM475" s="128">
        <v>1073.2026010907107</v>
      </c>
      <c r="AN475" s="128">
        <v>20.0</v>
      </c>
      <c r="AO475" s="128">
        <v>1071.33197655845</v>
      </c>
      <c r="AP475" s="128">
        <v>15.0</v>
      </c>
      <c r="AQ475" s="128">
        <v>13.0</v>
      </c>
      <c r="AS475" s="44" t="s">
        <v>266</v>
      </c>
      <c r="AT475" s="44">
        <v>474.0</v>
      </c>
      <c r="AU475" s="44"/>
      <c r="AW475" s="93"/>
      <c r="AY475" s="93"/>
      <c r="AZ475" s="93"/>
      <c r="BA475" s="93"/>
      <c r="BB475" s="155"/>
      <c r="BC475" s="93"/>
      <c r="BE475" s="93"/>
      <c r="BG475" s="93"/>
      <c r="BH475" s="93"/>
      <c r="BI475" s="93"/>
      <c r="BJ475" s="155"/>
      <c r="BK475" s="93"/>
    </row>
    <row r="476">
      <c r="A476" s="166">
        <v>44320.740153645835</v>
      </c>
      <c r="B476" s="44" t="s">
        <v>123</v>
      </c>
      <c r="C476" s="128">
        <v>687.880238152526</v>
      </c>
      <c r="D476" s="128">
        <v>12.0</v>
      </c>
      <c r="E476" s="128">
        <v>684.2723711933179</v>
      </c>
      <c r="F476" s="44" t="s">
        <v>107</v>
      </c>
      <c r="G476" s="128">
        <v>1038.2158599392587</v>
      </c>
      <c r="H476" s="128">
        <v>14.0</v>
      </c>
      <c r="I476" s="128">
        <v>1034.7097022286177</v>
      </c>
      <c r="J476" s="44" t="s">
        <v>248</v>
      </c>
      <c r="K476" s="128">
        <v>1050.5747469648309</v>
      </c>
      <c r="L476" s="128">
        <v>24.0</v>
      </c>
      <c r="M476" s="128">
        <v>1049.1454661256994</v>
      </c>
      <c r="N476" s="44" t="s">
        <v>47</v>
      </c>
      <c r="O476" s="128">
        <v>1110.6599746173092</v>
      </c>
      <c r="P476" s="128">
        <v>24.0</v>
      </c>
      <c r="Q476" s="128">
        <v>1109.2032801262897</v>
      </c>
      <c r="V476" s="44" t="s">
        <v>34</v>
      </c>
      <c r="W476" s="128">
        <v>904.2161297096932</v>
      </c>
      <c r="X476" s="128">
        <v>24.0</v>
      </c>
      <c r="Y476" s="128">
        <v>907.3927683520094</v>
      </c>
      <c r="Z476" s="44" t="s">
        <v>78</v>
      </c>
      <c r="AA476" s="128">
        <v>931.2464916986688</v>
      </c>
      <c r="AB476" s="128">
        <v>15.0</v>
      </c>
      <c r="AC476" s="128">
        <v>932.5243863916232</v>
      </c>
      <c r="AD476" s="44" t="s">
        <v>61</v>
      </c>
      <c r="AE476" s="128">
        <v>981.1417668143677</v>
      </c>
      <c r="AF476" s="128">
        <v>26.0</v>
      </c>
      <c r="AG476" s="128">
        <v>984.6720440451735</v>
      </c>
      <c r="AH476" s="44" t="s">
        <v>92</v>
      </c>
      <c r="AI476" s="128">
        <v>1071.33197655845</v>
      </c>
      <c r="AJ476" s="128">
        <v>19.0</v>
      </c>
      <c r="AK476" s="128">
        <v>1073.3471659923734</v>
      </c>
      <c r="AP476" s="128">
        <v>13.0</v>
      </c>
      <c r="AQ476" s="128">
        <v>14.0</v>
      </c>
      <c r="AT476" s="44">
        <v>475.0</v>
      </c>
      <c r="AU476" s="44"/>
      <c r="AW476" s="93"/>
      <c r="AY476" s="93"/>
      <c r="AZ476" s="93"/>
      <c r="BA476" s="93"/>
      <c r="BB476" s="155"/>
      <c r="BC476" s="93"/>
      <c r="BE476" s="93"/>
      <c r="BG476" s="93"/>
      <c r="BH476" s="93"/>
      <c r="BI476" s="93"/>
      <c r="BJ476" s="155"/>
      <c r="BK476" s="93"/>
    </row>
    <row r="477">
      <c r="A477" s="166">
        <v>44320.97552390046</v>
      </c>
      <c r="B477" s="44" t="s">
        <v>123</v>
      </c>
      <c r="C477" s="128">
        <v>684.2723711933179</v>
      </c>
      <c r="D477" s="128">
        <v>13.0</v>
      </c>
      <c r="E477" s="128">
        <v>680.07283231322</v>
      </c>
      <c r="F477" s="44" t="s">
        <v>88</v>
      </c>
      <c r="G477" s="128">
        <v>721.5701366183828</v>
      </c>
      <c r="H477" s="128">
        <v>7.0</v>
      </c>
      <c r="I477" s="128">
        <v>715.6881247169682</v>
      </c>
      <c r="J477" s="44" t="s">
        <v>27</v>
      </c>
      <c r="K477" s="128">
        <v>1275.1463713765836</v>
      </c>
      <c r="L477" s="128">
        <v>26.0</v>
      </c>
      <c r="M477" s="128">
        <v>1273.9720361033399</v>
      </c>
      <c r="N477" s="44" t="s">
        <v>23</v>
      </c>
      <c r="O477" s="128">
        <v>1679.28997334168</v>
      </c>
      <c r="P477" s="128">
        <v>24.0</v>
      </c>
      <c r="Q477" s="128">
        <v>1677.545859396436</v>
      </c>
      <c r="V477" s="44" t="s">
        <v>34</v>
      </c>
      <c r="W477" s="128">
        <v>907.3927683520094</v>
      </c>
      <c r="X477" s="128">
        <v>25.0</v>
      </c>
      <c r="Y477" s="128">
        <v>911.6236124672089</v>
      </c>
      <c r="Z477" s="44" t="s">
        <v>90</v>
      </c>
      <c r="AA477" s="128">
        <v>935.2504320122598</v>
      </c>
      <c r="AB477" s="128">
        <v>15.0</v>
      </c>
      <c r="AC477" s="128">
        <v>936.7405255298004</v>
      </c>
      <c r="AD477" s="44" t="s">
        <v>61</v>
      </c>
      <c r="AE477" s="128">
        <v>984.6720440451735</v>
      </c>
      <c r="AF477" s="128">
        <v>28.0</v>
      </c>
      <c r="AG477" s="128">
        <v>989.6314944532336</v>
      </c>
      <c r="AH477" s="44" t="s">
        <v>31</v>
      </c>
      <c r="AI477" s="128">
        <v>1666.8981637021302</v>
      </c>
      <c r="AJ477" s="128">
        <v>19.0</v>
      </c>
      <c r="AK477" s="128">
        <v>1669.21777566133</v>
      </c>
      <c r="AP477" s="128">
        <v>11.0</v>
      </c>
      <c r="AQ477" s="128">
        <v>17.0</v>
      </c>
      <c r="AT477" s="44">
        <v>476.0</v>
      </c>
      <c r="AU477" s="44"/>
      <c r="AW477" s="93"/>
      <c r="AY477" s="93"/>
      <c r="AZ477" s="93"/>
      <c r="BA477" s="93"/>
      <c r="BB477" s="155"/>
      <c r="BC477" s="93"/>
      <c r="BE477" s="93"/>
      <c r="BG477" s="93"/>
      <c r="BH477" s="93"/>
      <c r="BI477" s="93"/>
      <c r="BJ477" s="155"/>
      <c r="BK477" s="93"/>
    </row>
    <row r="478">
      <c r="A478" s="166">
        <v>44321.022693113424</v>
      </c>
      <c r="B478" s="44" t="s">
        <v>123</v>
      </c>
      <c r="C478" s="128">
        <v>680.07283231322</v>
      </c>
      <c r="D478" s="128">
        <v>13.0</v>
      </c>
      <c r="E478" s="128">
        <v>673.0820215421659</v>
      </c>
      <c r="F478" s="44" t="s">
        <v>34</v>
      </c>
      <c r="G478" s="128">
        <v>911.6236124672089</v>
      </c>
      <c r="H478" s="128">
        <v>13.0</v>
      </c>
      <c r="I478" s="128">
        <v>904.1331561082197</v>
      </c>
      <c r="J478" s="44" t="s">
        <v>27</v>
      </c>
      <c r="K478" s="128">
        <v>1273.9720361033399</v>
      </c>
      <c r="L478" s="128">
        <v>14.0</v>
      </c>
      <c r="M478" s="128">
        <v>1266.6218451603622</v>
      </c>
      <c r="N478" s="44" t="s">
        <v>31</v>
      </c>
      <c r="O478" s="128">
        <v>1669.21777566133</v>
      </c>
      <c r="P478" s="128">
        <v>27.0</v>
      </c>
      <c r="Q478" s="128">
        <v>1668.049233734351</v>
      </c>
      <c r="V478" s="44" t="s">
        <v>88</v>
      </c>
      <c r="W478" s="128">
        <v>715.6881247169682</v>
      </c>
      <c r="X478" s="128">
        <v>10.0</v>
      </c>
      <c r="Y478" s="128">
        <v>716.1050502564365</v>
      </c>
      <c r="Z478" s="44" t="s">
        <v>61</v>
      </c>
      <c r="AA478" s="128">
        <v>989.6314944532336</v>
      </c>
      <c r="AB478" s="128">
        <v>19.0</v>
      </c>
      <c r="AC478" s="128">
        <v>993.6621070996296</v>
      </c>
      <c r="AD478" s="44" t="s">
        <v>245</v>
      </c>
      <c r="AE478" s="128">
        <v>1104.7917711417447</v>
      </c>
      <c r="AF478" s="128">
        <v>28.0</v>
      </c>
      <c r="AG478" s="128">
        <v>1112.9691832363621</v>
      </c>
      <c r="AH478" s="44" t="s">
        <v>23</v>
      </c>
      <c r="AI478" s="128">
        <v>1677.545859396436</v>
      </c>
      <c r="AJ478" s="128">
        <v>33.0</v>
      </c>
      <c r="AK478" s="128">
        <v>1687.9209091159541</v>
      </c>
      <c r="AP478" s="128">
        <v>10.0</v>
      </c>
      <c r="AQ478" s="128">
        <v>18.0</v>
      </c>
      <c r="AR478" s="44" t="s">
        <v>502</v>
      </c>
      <c r="AS478" s="44" t="s">
        <v>231</v>
      </c>
      <c r="AT478" s="44">
        <v>477.0</v>
      </c>
      <c r="AU478" s="44"/>
      <c r="AW478" s="93"/>
      <c r="AY478" s="93"/>
      <c r="AZ478" s="93"/>
      <c r="BA478" s="93"/>
      <c r="BB478" s="155"/>
      <c r="BC478" s="93"/>
      <c r="BE478" s="93"/>
      <c r="BG478" s="93"/>
      <c r="BH478" s="93"/>
      <c r="BI478" s="93"/>
      <c r="BJ478" s="155"/>
      <c r="BK478" s="93"/>
    </row>
    <row r="479">
      <c r="A479" s="166">
        <v>44322.92321460648</v>
      </c>
      <c r="B479" s="44" t="s">
        <v>88</v>
      </c>
      <c r="C479" s="128">
        <v>1000.0</v>
      </c>
      <c r="D479" s="128">
        <v>13.0</v>
      </c>
      <c r="E479" s="128">
        <v>996.40625</v>
      </c>
      <c r="F479" s="44" t="s">
        <v>107</v>
      </c>
      <c r="G479" s="128">
        <v>1000.0</v>
      </c>
      <c r="H479" s="128">
        <v>25.0</v>
      </c>
      <c r="I479" s="128">
        <v>998.90625</v>
      </c>
      <c r="J479" s="44" t="s">
        <v>112</v>
      </c>
      <c r="K479" s="128">
        <v>1000.0</v>
      </c>
      <c r="L479" s="128">
        <v>20.0</v>
      </c>
      <c r="M479" s="128">
        <v>997.8645833333334</v>
      </c>
      <c r="N479" s="44" t="s">
        <v>123</v>
      </c>
      <c r="O479" s="128">
        <v>1000.0</v>
      </c>
      <c r="P479" s="128">
        <v>15.0</v>
      </c>
      <c r="Q479" s="128">
        <v>996.8229166666666</v>
      </c>
      <c r="V479" s="44" t="s">
        <v>61</v>
      </c>
      <c r="W479" s="128">
        <v>1000.0</v>
      </c>
      <c r="X479" s="128">
        <v>27.0</v>
      </c>
      <c r="Y479" s="128">
        <v>1004.0625</v>
      </c>
      <c r="Z479" s="44" t="s">
        <v>47</v>
      </c>
      <c r="AA479" s="128">
        <v>1000.0</v>
      </c>
      <c r="AB479" s="128">
        <v>26.0</v>
      </c>
      <c r="AC479" s="128">
        <v>1003.8541666666666</v>
      </c>
      <c r="AD479" s="44" t="s">
        <v>227</v>
      </c>
      <c r="AE479" s="128">
        <v>1000.0</v>
      </c>
      <c r="AF479" s="128">
        <v>14.0</v>
      </c>
      <c r="AG479" s="128">
        <v>1001.3541666666666</v>
      </c>
      <c r="AH479" s="44" t="s">
        <v>58</v>
      </c>
      <c r="AI479" s="128">
        <v>1000.0</v>
      </c>
      <c r="AJ479" s="128">
        <v>11.0</v>
      </c>
      <c r="AK479" s="128">
        <v>1000.7291666666666</v>
      </c>
      <c r="AP479" s="128">
        <v>13.0</v>
      </c>
      <c r="AQ479" s="128">
        <v>15.0</v>
      </c>
      <c r="AT479" s="44">
        <v>478.0</v>
      </c>
      <c r="AU479" s="44"/>
      <c r="AW479" s="93"/>
      <c r="AY479" s="93"/>
      <c r="AZ479" s="93"/>
      <c r="BA479" s="93"/>
      <c r="BB479" s="155"/>
      <c r="BC479" s="93"/>
      <c r="BE479" s="93"/>
      <c r="BG479" s="93"/>
      <c r="BH479" s="93"/>
      <c r="BI479" s="93"/>
      <c r="BJ479" s="155"/>
      <c r="BK479" s="93"/>
    </row>
    <row r="480">
      <c r="A480" s="166">
        <v>44322.97151516203</v>
      </c>
      <c r="B480" s="44" t="s">
        <v>123</v>
      </c>
      <c r="C480" s="128">
        <v>996.8229166666666</v>
      </c>
      <c r="D480" s="128">
        <v>16.0</v>
      </c>
      <c r="E480" s="128">
        <v>992.5283708952942</v>
      </c>
      <c r="F480" s="44" t="s">
        <v>107</v>
      </c>
      <c r="G480" s="128">
        <v>998.90625</v>
      </c>
      <c r="H480" s="128">
        <v>18.0</v>
      </c>
      <c r="I480" s="128">
        <v>994.6081802982657</v>
      </c>
      <c r="J480" s="44" t="s">
        <v>248</v>
      </c>
      <c r="K480" s="128">
        <v>1000.0</v>
      </c>
      <c r="L480" s="128">
        <v>19.0</v>
      </c>
      <c r="M480" s="128">
        <v>995.8219076362134</v>
      </c>
      <c r="N480" s="44" t="s">
        <v>90</v>
      </c>
      <c r="O480" s="128">
        <v>1000.0</v>
      </c>
      <c r="P480" s="128">
        <v>15.0</v>
      </c>
      <c r="Q480" s="128">
        <v>994.4885743028801</v>
      </c>
      <c r="R480" s="44" t="s">
        <v>47</v>
      </c>
      <c r="S480" s="128">
        <v>1003.8541666666666</v>
      </c>
      <c r="T480" s="128">
        <v>27.0</v>
      </c>
      <c r="U480" s="128">
        <v>1002.1363002006799</v>
      </c>
      <c r="V480" s="44" t="s">
        <v>88</v>
      </c>
      <c r="W480" s="128">
        <v>996.40625</v>
      </c>
      <c r="X480" s="128">
        <v>19.0</v>
      </c>
      <c r="Y480" s="128">
        <v>999.9911224106755</v>
      </c>
      <c r="Z480" s="44" t="s">
        <v>27</v>
      </c>
      <c r="AA480" s="128">
        <v>1000.0</v>
      </c>
      <c r="AB480" s="128">
        <v>28.0</v>
      </c>
      <c r="AC480" s="128">
        <v>1005.2796130840177</v>
      </c>
      <c r="AD480" s="44" t="s">
        <v>110</v>
      </c>
      <c r="AE480" s="128">
        <v>1000.0</v>
      </c>
      <c r="AF480" s="128">
        <v>21.0</v>
      </c>
      <c r="AG480" s="128">
        <v>1002.9462797506843</v>
      </c>
      <c r="AH480" s="44" t="s">
        <v>58</v>
      </c>
      <c r="AI480" s="128">
        <v>1000.7291666666666</v>
      </c>
      <c r="AJ480" s="128">
        <v>25.0</v>
      </c>
      <c r="AK480" s="128">
        <v>1004.8949117702028</v>
      </c>
      <c r="AL480" s="44" t="s">
        <v>61</v>
      </c>
      <c r="AM480" s="128">
        <v>1004.0625</v>
      </c>
      <c r="AN480" s="128">
        <v>25.0</v>
      </c>
      <c r="AO480" s="128">
        <v>1008.0859896510862</v>
      </c>
      <c r="AP480" s="128">
        <v>10.0</v>
      </c>
      <c r="AQ480" s="128">
        <v>18.0</v>
      </c>
      <c r="AT480" s="44">
        <v>479.0</v>
      </c>
      <c r="AU480" s="44"/>
      <c r="AW480" s="93"/>
      <c r="AY480" s="93"/>
      <c r="AZ480" s="93"/>
      <c r="BA480" s="93"/>
      <c r="BB480" s="155"/>
      <c r="BC480" s="93"/>
      <c r="BE480" s="93"/>
      <c r="BG480" s="93"/>
      <c r="BH480" s="93"/>
      <c r="BI480" s="93"/>
      <c r="BJ480" s="155"/>
      <c r="BK480" s="93"/>
    </row>
    <row r="481">
      <c r="A481" s="166">
        <v>44323.026126111115</v>
      </c>
      <c r="B481" s="44" t="s">
        <v>112</v>
      </c>
      <c r="C481" s="128">
        <v>997.8645833333334</v>
      </c>
      <c r="D481" s="128">
        <v>26.0</v>
      </c>
      <c r="E481" s="128">
        <v>1001.576959412003</v>
      </c>
      <c r="F481" s="44" t="s">
        <v>88</v>
      </c>
      <c r="G481" s="128">
        <v>999.9911224106755</v>
      </c>
      <c r="H481" s="128">
        <v>12.0</v>
      </c>
      <c r="I481" s="128">
        <v>1000.6555228161627</v>
      </c>
      <c r="J481" s="44" t="s">
        <v>245</v>
      </c>
      <c r="K481" s="128">
        <v>1000.0</v>
      </c>
      <c r="L481" s="128">
        <v>33.0</v>
      </c>
      <c r="M481" s="128">
        <v>1005.038966396971</v>
      </c>
      <c r="N481" s="44" t="s">
        <v>47</v>
      </c>
      <c r="O481" s="128">
        <v>1002.1363002006799</v>
      </c>
      <c r="P481" s="128">
        <v>12.0</v>
      </c>
      <c r="Q481" s="128">
        <v>1002.7205573195521</v>
      </c>
      <c r="V481" s="44" t="s">
        <v>107</v>
      </c>
      <c r="W481" s="128">
        <v>994.6081802982657</v>
      </c>
      <c r="X481" s="128">
        <v>17.0</v>
      </c>
      <c r="Y481" s="128">
        <v>992.1468246624762</v>
      </c>
      <c r="Z481" s="44" t="s">
        <v>34</v>
      </c>
      <c r="AA481" s="128">
        <v>1000.0</v>
      </c>
      <c r="AB481" s="128">
        <v>22.0</v>
      </c>
      <c r="AC481" s="128">
        <v>998.182924461748</v>
      </c>
      <c r="AD481" s="44" t="s">
        <v>110</v>
      </c>
      <c r="AE481" s="128">
        <v>1002.9462797506843</v>
      </c>
      <c r="AF481" s="128">
        <v>19.0</v>
      </c>
      <c r="AG481" s="128">
        <v>1000.4155277351906</v>
      </c>
      <c r="AH481" s="44" t="s">
        <v>61</v>
      </c>
      <c r="AI481" s="128">
        <v>1008.0859896510862</v>
      </c>
      <c r="AJ481" s="128">
        <v>16.0</v>
      </c>
      <c r="AK481" s="128">
        <v>1004.8951728406213</v>
      </c>
      <c r="AP481" s="128">
        <v>15.0</v>
      </c>
      <c r="AQ481" s="128">
        <v>13.0</v>
      </c>
      <c r="AT481" s="44">
        <v>480.0</v>
      </c>
      <c r="AU481" s="44"/>
      <c r="AW481" s="93"/>
      <c r="AY481" s="93"/>
      <c r="AZ481" s="93"/>
      <c r="BA481" s="93"/>
      <c r="BB481" s="155"/>
      <c r="BC481" s="93"/>
      <c r="BE481" s="93"/>
      <c r="BG481" s="93"/>
      <c r="BH481" s="93"/>
      <c r="BI481" s="93"/>
      <c r="BJ481" s="155"/>
      <c r="BK481" s="93"/>
    </row>
    <row r="482">
      <c r="A482" s="166">
        <v>44323.93025344907</v>
      </c>
      <c r="B482" s="44" t="s">
        <v>92</v>
      </c>
      <c r="C482" s="128">
        <v>1000.0</v>
      </c>
      <c r="D482" s="128">
        <v>18.0</v>
      </c>
      <c r="E482" s="128">
        <v>990.8751824806269</v>
      </c>
      <c r="F482" s="44" t="s">
        <v>47</v>
      </c>
      <c r="G482" s="128">
        <v>1002.7205573195521</v>
      </c>
      <c r="H482" s="128">
        <v>20.0</v>
      </c>
      <c r="I482" s="128">
        <v>994.4964368543173</v>
      </c>
      <c r="J482" s="44" t="s">
        <v>61</v>
      </c>
      <c r="K482" s="128">
        <v>1004.8951728406213</v>
      </c>
      <c r="L482" s="128">
        <v>28.0</v>
      </c>
      <c r="M482" s="128">
        <v>1001.2441108252292</v>
      </c>
      <c r="N482" s="44"/>
      <c r="O482" s="128"/>
      <c r="P482" s="128"/>
      <c r="Q482" s="128"/>
      <c r="V482" s="44" t="s">
        <v>34</v>
      </c>
      <c r="W482" s="128">
        <v>998.182924461748</v>
      </c>
      <c r="X482" s="128">
        <v>23.0</v>
      </c>
      <c r="Y482" s="128">
        <v>1000.8446634995817</v>
      </c>
      <c r="Z482" s="44" t="s">
        <v>31</v>
      </c>
      <c r="AA482" s="128">
        <v>1000.0</v>
      </c>
      <c r="AB482" s="128">
        <v>48.0</v>
      </c>
      <c r="AC482" s="128">
        <v>1016.8121194539362</v>
      </c>
      <c r="AD482" s="44" t="s">
        <v>88</v>
      </c>
      <c r="AE482" s="128">
        <v>1000.6555228161627</v>
      </c>
      <c r="AF482" s="128">
        <v>22.0</v>
      </c>
      <c r="AG482" s="128">
        <v>1002.1816643243928</v>
      </c>
      <c r="AH482" s="44"/>
      <c r="AI482" s="128"/>
      <c r="AJ482" s="128"/>
      <c r="AK482" s="128"/>
      <c r="AP482" s="128">
        <v>16.0</v>
      </c>
      <c r="AQ482" s="128">
        <v>26.0</v>
      </c>
      <c r="AS482" s="44" t="s">
        <v>362</v>
      </c>
      <c r="AT482" s="44">
        <v>481.0</v>
      </c>
      <c r="AU482" s="44"/>
      <c r="AW482" s="93"/>
      <c r="AY482" s="93"/>
      <c r="AZ482" s="93"/>
      <c r="BA482" s="93"/>
      <c r="BB482" s="155"/>
      <c r="BC482" s="93"/>
      <c r="BE482" s="93"/>
      <c r="BG482" s="93"/>
      <c r="BH482" s="93"/>
      <c r="BI482" s="93"/>
      <c r="BJ482" s="155"/>
      <c r="BK482" s="93"/>
    </row>
    <row r="483">
      <c r="A483" s="166">
        <v>44323.98124028935</v>
      </c>
      <c r="B483" s="44" t="s">
        <v>47</v>
      </c>
      <c r="C483" s="128">
        <v>994.4964368543173</v>
      </c>
      <c r="D483" s="128">
        <v>26.0</v>
      </c>
      <c r="E483" s="128">
        <v>991.987217527611</v>
      </c>
      <c r="F483" s="44" t="s">
        <v>23</v>
      </c>
      <c r="G483" s="128">
        <v>1000.0</v>
      </c>
      <c r="H483" s="128">
        <v>27.0</v>
      </c>
      <c r="I483" s="128">
        <v>997.4447276190527</v>
      </c>
      <c r="J483" s="44" t="s">
        <v>98</v>
      </c>
      <c r="K483" s="128">
        <v>1000.0</v>
      </c>
      <c r="L483" s="128">
        <v>12.0</v>
      </c>
      <c r="M483" s="128">
        <v>988.1947276190527</v>
      </c>
      <c r="N483" s="44" t="s">
        <v>227</v>
      </c>
      <c r="O483" s="128">
        <v>1001.3541666666666</v>
      </c>
      <c r="P483" s="128">
        <v>14.0</v>
      </c>
      <c r="Q483" s="128">
        <v>990.6797686285996</v>
      </c>
      <c r="R483" s="44" t="s">
        <v>112</v>
      </c>
      <c r="S483" s="128">
        <v>1001.576959412003</v>
      </c>
      <c r="T483" s="128">
        <v>16.0</v>
      </c>
      <c r="U483" s="128">
        <v>992.1211215386709</v>
      </c>
      <c r="V483" s="44" t="s">
        <v>78</v>
      </c>
      <c r="W483" s="128">
        <v>1000.0</v>
      </c>
      <c r="X483" s="128">
        <v>18.0</v>
      </c>
      <c r="Y483" s="128">
        <v>1005.3833428402539</v>
      </c>
      <c r="Z483" s="44" t="s">
        <v>61</v>
      </c>
      <c r="AA483" s="128">
        <v>1001.2441108252292</v>
      </c>
      <c r="AB483" s="128">
        <v>17.0</v>
      </c>
      <c r="AC483" s="128">
        <v>1005.905289693148</v>
      </c>
      <c r="AD483" s="44" t="s">
        <v>88</v>
      </c>
      <c r="AE483" s="128">
        <v>1002.1816643243928</v>
      </c>
      <c r="AF483" s="128">
        <v>16.0</v>
      </c>
      <c r="AG483" s="128">
        <v>1006.160003619313</v>
      </c>
      <c r="AH483" s="44" t="s">
        <v>27</v>
      </c>
      <c r="AI483" s="128">
        <v>1005.2796130840177</v>
      </c>
      <c r="AJ483" s="128">
        <v>20.0</v>
      </c>
      <c r="AK483" s="128">
        <v>1011.5762828915979</v>
      </c>
      <c r="AL483" s="44" t="s">
        <v>31</v>
      </c>
      <c r="AM483" s="128">
        <v>1016.8121194539362</v>
      </c>
      <c r="AN483" s="128">
        <v>37.0</v>
      </c>
      <c r="AO483" s="128">
        <v>1033.4925886432632</v>
      </c>
      <c r="AP483" s="128">
        <v>9.0</v>
      </c>
      <c r="AQ483" s="128">
        <v>19.0</v>
      </c>
      <c r="AS483" s="44" t="s">
        <v>241</v>
      </c>
      <c r="AT483" s="44">
        <v>482.0</v>
      </c>
      <c r="AU483" s="44"/>
      <c r="AW483" s="93"/>
      <c r="AY483" s="93"/>
      <c r="AZ483" s="93"/>
      <c r="BA483" s="93"/>
      <c r="BB483" s="155"/>
      <c r="BC483" s="93"/>
      <c r="BE483" s="93"/>
      <c r="BG483" s="93"/>
      <c r="BH483" s="93"/>
      <c r="BI483" s="93"/>
      <c r="BJ483" s="155"/>
      <c r="BK483" s="93"/>
    </row>
    <row r="484">
      <c r="A484" s="166">
        <v>44324.026910451386</v>
      </c>
      <c r="B484" s="44" t="s">
        <v>98</v>
      </c>
      <c r="C484" s="128">
        <v>988.1947276190527</v>
      </c>
      <c r="D484" s="128">
        <v>12.0</v>
      </c>
      <c r="E484" s="128">
        <v>989.370811532692</v>
      </c>
      <c r="F484" s="44" t="s">
        <v>47</v>
      </c>
      <c r="G484" s="128">
        <v>991.987217527611</v>
      </c>
      <c r="H484" s="128">
        <v>24.0</v>
      </c>
      <c r="I484" s="128">
        <v>996.949135374683</v>
      </c>
      <c r="J484" s="44" t="s">
        <v>112</v>
      </c>
      <c r="K484" s="128">
        <v>992.1211215386709</v>
      </c>
      <c r="L484" s="128">
        <v>18.0</v>
      </c>
      <c r="M484" s="128">
        <v>995.0761954015902</v>
      </c>
      <c r="N484" s="44" t="s">
        <v>61</v>
      </c>
      <c r="O484" s="128">
        <v>1005.905289693148</v>
      </c>
      <c r="P484" s="128">
        <v>13.0</v>
      </c>
      <c r="Q484" s="128">
        <v>1006.7426405987414</v>
      </c>
      <c r="R484" s="44" t="s">
        <v>31</v>
      </c>
      <c r="S484" s="128">
        <v>1033.4925886432632</v>
      </c>
      <c r="T484" s="128">
        <v>41.0</v>
      </c>
      <c r="U484" s="128">
        <v>1043.5621621140392</v>
      </c>
      <c r="V484" s="44" t="s">
        <v>227</v>
      </c>
      <c r="W484" s="128">
        <v>990.6797686285996</v>
      </c>
      <c r="X484" s="128">
        <v>13.0</v>
      </c>
      <c r="Y484" s="128">
        <v>985.204991252402</v>
      </c>
      <c r="Z484" s="44" t="s">
        <v>23</v>
      </c>
      <c r="AA484" s="128">
        <v>997.4447276190527</v>
      </c>
      <c r="AB484" s="128">
        <v>27.0</v>
      </c>
      <c r="AC484" s="128">
        <v>996.3795450307136</v>
      </c>
      <c r="AD484" s="44" t="s">
        <v>78</v>
      </c>
      <c r="AE484" s="128">
        <v>1005.3833428402539</v>
      </c>
      <c r="AF484" s="128">
        <v>15.0</v>
      </c>
      <c r="AG484" s="128">
        <v>1000.143084543356</v>
      </c>
      <c r="AH484" s="44" t="s">
        <v>88</v>
      </c>
      <c r="AI484" s="128">
        <v>1006.160003619313</v>
      </c>
      <c r="AJ484" s="128">
        <v>15.0</v>
      </c>
      <c r="AK484" s="128">
        <v>1000.9089730025836</v>
      </c>
      <c r="AL484" s="44" t="s">
        <v>27</v>
      </c>
      <c r="AM484" s="128">
        <v>1011.5762828915979</v>
      </c>
      <c r="AN484" s="128">
        <v>22.0</v>
      </c>
      <c r="AO484" s="128">
        <v>1008.6075317697619</v>
      </c>
      <c r="AP484" s="128">
        <v>18.0</v>
      </c>
      <c r="AQ484" s="128">
        <v>10.0</v>
      </c>
      <c r="AS484" s="44" t="s">
        <v>403</v>
      </c>
      <c r="AT484" s="44">
        <v>483.0</v>
      </c>
      <c r="AU484" s="44"/>
      <c r="AW484" s="93"/>
      <c r="AY484" s="93"/>
      <c r="AZ484" s="93"/>
      <c r="BA484" s="93"/>
      <c r="BB484" s="155"/>
      <c r="BC484" s="93"/>
      <c r="BE484" s="93"/>
      <c r="BG484" s="93"/>
      <c r="BH484" s="93"/>
      <c r="BI484" s="93"/>
      <c r="BJ484" s="155"/>
      <c r="BK484" s="93"/>
    </row>
    <row r="485">
      <c r="A485" s="166">
        <v>44324.06813767361</v>
      </c>
      <c r="B485" s="44" t="s">
        <v>23</v>
      </c>
      <c r="C485" s="128">
        <v>996.3795450307136</v>
      </c>
      <c r="D485" s="128">
        <v>30.0</v>
      </c>
      <c r="E485" s="128">
        <v>996.3695450307137</v>
      </c>
      <c r="F485" s="44" t="s">
        <v>47</v>
      </c>
      <c r="G485" s="128">
        <v>996.949135374683</v>
      </c>
      <c r="H485" s="128">
        <v>16.0</v>
      </c>
      <c r="I485" s="128">
        <v>990.5303267251782</v>
      </c>
      <c r="J485" s="44" t="s">
        <v>88</v>
      </c>
      <c r="K485" s="128">
        <v>1000.9089730025836</v>
      </c>
      <c r="L485" s="128">
        <v>7.0</v>
      </c>
      <c r="M485" s="128">
        <v>990.1145210195607</v>
      </c>
      <c r="N485" s="44"/>
      <c r="O485" s="128"/>
      <c r="P485" s="128"/>
      <c r="Q485" s="128"/>
      <c r="V485" s="44" t="s">
        <v>110</v>
      </c>
      <c r="W485" s="128">
        <v>1000.4155277351906</v>
      </c>
      <c r="X485" s="128">
        <v>19.0</v>
      </c>
      <c r="Y485" s="128">
        <v>1004.9813608751249</v>
      </c>
      <c r="Z485" s="44" t="s">
        <v>61</v>
      </c>
      <c r="AA485" s="128">
        <v>1006.7426405987414</v>
      </c>
      <c r="AB485" s="128">
        <v>19.0</v>
      </c>
      <c r="AC485" s="128">
        <v>1011.1407741373854</v>
      </c>
      <c r="AD485" s="44" t="s">
        <v>31</v>
      </c>
      <c r="AE485" s="128">
        <v>1043.5621621140392</v>
      </c>
      <c r="AF485" s="128">
        <v>27.0</v>
      </c>
      <c r="AG485" s="128">
        <v>1051.5981954354609</v>
      </c>
      <c r="AH485" s="44"/>
      <c r="AI485" s="128"/>
      <c r="AJ485" s="128"/>
      <c r="AK485" s="128"/>
      <c r="AP485" s="128">
        <v>10.0</v>
      </c>
      <c r="AQ485" s="128">
        <v>18.0</v>
      </c>
      <c r="AT485" s="44">
        <v>484.0</v>
      </c>
      <c r="AU485" s="44"/>
      <c r="AW485" s="93"/>
      <c r="AY485" s="93"/>
      <c r="AZ485" s="93"/>
      <c r="BA485" s="93"/>
      <c r="BB485" s="155"/>
      <c r="BC485" s="93"/>
      <c r="BE485" s="93"/>
      <c r="BG485" s="93"/>
      <c r="BH485" s="93"/>
      <c r="BI485" s="93"/>
      <c r="BJ485" s="155"/>
      <c r="BK485" s="93"/>
    </row>
    <row r="486">
      <c r="A486" s="166">
        <v>44324.10866344908</v>
      </c>
      <c r="B486" s="44" t="s">
        <v>23</v>
      </c>
      <c r="C486" s="128">
        <v>996.3695450307137</v>
      </c>
      <c r="D486" s="128">
        <v>29.0</v>
      </c>
      <c r="E486" s="128">
        <v>1008.8010008732919</v>
      </c>
      <c r="F486" s="44" t="s">
        <v>34</v>
      </c>
      <c r="G486" s="128">
        <v>1000.8446634995817</v>
      </c>
      <c r="H486" s="128">
        <v>10.0</v>
      </c>
      <c r="I486" s="128">
        <v>1001.4804240834795</v>
      </c>
      <c r="J486" s="44" t="s">
        <v>61</v>
      </c>
      <c r="K486" s="128">
        <v>1011.1407741373854</v>
      </c>
      <c r="L486" s="128">
        <v>24.0</v>
      </c>
      <c r="M486" s="128">
        <v>1020.0735577109092</v>
      </c>
      <c r="N486" s="44"/>
      <c r="O486" s="128"/>
      <c r="P486" s="128"/>
      <c r="Q486" s="128"/>
      <c r="V486" s="44" t="s">
        <v>88</v>
      </c>
      <c r="W486" s="128">
        <v>990.1145210195607</v>
      </c>
      <c r="X486" s="128">
        <v>11.0</v>
      </c>
      <c r="Y486" s="128">
        <v>980.3182754653926</v>
      </c>
      <c r="Z486" s="44" t="s">
        <v>110</v>
      </c>
      <c r="AA486" s="128">
        <v>1004.9813608751249</v>
      </c>
      <c r="AB486" s="128">
        <v>12.0</v>
      </c>
      <c r="AC486" s="128">
        <v>995.3057079117123</v>
      </c>
      <c r="AD486" s="44" t="s">
        <v>31</v>
      </c>
      <c r="AE486" s="128">
        <v>1051.5981954354609</v>
      </c>
      <c r="AF486" s="128">
        <v>24.0</v>
      </c>
      <c r="AG486" s="128">
        <v>1049.0700939530416</v>
      </c>
      <c r="AH486" s="44"/>
      <c r="AI486" s="128"/>
      <c r="AJ486" s="128"/>
      <c r="AK486" s="128"/>
      <c r="AP486" s="128">
        <v>17.0</v>
      </c>
      <c r="AQ486" s="128">
        <v>11.0</v>
      </c>
      <c r="AT486" s="44">
        <v>485.0</v>
      </c>
      <c r="AU486" s="44"/>
      <c r="AW486" s="93"/>
      <c r="AY486" s="93"/>
      <c r="AZ486" s="93"/>
      <c r="BA486" s="93"/>
      <c r="BB486" s="155"/>
      <c r="BC486" s="93"/>
      <c r="BE486" s="93"/>
      <c r="BG486" s="93"/>
      <c r="BH486" s="93"/>
      <c r="BI486" s="93"/>
      <c r="BJ486" s="155"/>
      <c r="BK486" s="93"/>
    </row>
    <row r="487">
      <c r="A487" s="166">
        <v>44325.02115665509</v>
      </c>
      <c r="B487" s="44" t="s">
        <v>112</v>
      </c>
      <c r="C487" s="128">
        <v>995.0761954015902</v>
      </c>
      <c r="D487" s="128">
        <v>21.0</v>
      </c>
      <c r="E487" s="128">
        <v>991.2396049674782</v>
      </c>
      <c r="F487" s="44" t="s">
        <v>110</v>
      </c>
      <c r="G487" s="128">
        <v>995.3057079117123</v>
      </c>
      <c r="H487" s="128">
        <v>24.0</v>
      </c>
      <c r="I487" s="128">
        <v>992.2139165544864</v>
      </c>
      <c r="J487" s="44" t="s">
        <v>78</v>
      </c>
      <c r="K487" s="128">
        <v>1000.143084543356</v>
      </c>
      <c r="L487" s="128">
        <v>18.0</v>
      </c>
      <c r="M487" s="128">
        <v>995.4550155102585</v>
      </c>
      <c r="N487" s="44" t="s">
        <v>31</v>
      </c>
      <c r="O487" s="128">
        <v>1049.0700939530416</v>
      </c>
      <c r="P487" s="128">
        <v>36.0</v>
      </c>
      <c r="Q487" s="128">
        <v>1048.6865447774771</v>
      </c>
      <c r="V487" s="44" t="s">
        <v>98</v>
      </c>
      <c r="W487" s="128">
        <v>989.370811532692</v>
      </c>
      <c r="X487" s="128">
        <v>8.0</v>
      </c>
      <c r="Y487" s="128">
        <v>990.1422927001687</v>
      </c>
      <c r="Z487" s="44" t="s">
        <v>47</v>
      </c>
      <c r="AA487" s="128">
        <v>990.5303267251782</v>
      </c>
      <c r="AB487" s="128">
        <v>10.0</v>
      </c>
      <c r="AC487" s="128">
        <v>991.7782243656138</v>
      </c>
      <c r="AD487" s="44" t="s">
        <v>107</v>
      </c>
      <c r="AE487" s="128">
        <v>992.1468246624762</v>
      </c>
      <c r="AF487" s="128">
        <v>26.0</v>
      </c>
      <c r="AG487" s="128">
        <v>997.3636555000018</v>
      </c>
      <c r="AH487" s="44" t="s">
        <v>27</v>
      </c>
      <c r="AI487" s="128">
        <v>1008.6075317697619</v>
      </c>
      <c r="AJ487" s="128">
        <v>25.0</v>
      </c>
      <c r="AK487" s="128">
        <v>1013.3713221243239</v>
      </c>
      <c r="AL487" s="44" t="s">
        <v>224</v>
      </c>
      <c r="AM487" s="44">
        <v>1000.0</v>
      </c>
      <c r="AN487" s="44">
        <v>10.0</v>
      </c>
      <c r="AO487" s="44">
        <v>1001.33</v>
      </c>
      <c r="AP487" s="128">
        <v>13.0</v>
      </c>
      <c r="AQ487" s="128">
        <v>15.0</v>
      </c>
      <c r="AS487" s="44" t="s">
        <v>229</v>
      </c>
      <c r="AT487" s="44">
        <v>486.0</v>
      </c>
      <c r="AU487" s="44"/>
      <c r="AW487" s="93"/>
      <c r="AY487" s="93"/>
      <c r="AZ487" s="93"/>
      <c r="BA487" s="93"/>
      <c r="BB487" s="155"/>
      <c r="BC487" s="93"/>
      <c r="BE487" s="93"/>
      <c r="BG487" s="93"/>
      <c r="BH487" s="93"/>
      <c r="BI487" s="93"/>
      <c r="BJ487" s="155"/>
      <c r="BK487" s="93"/>
    </row>
    <row r="488">
      <c r="A488" s="166">
        <v>44325.07083739583</v>
      </c>
      <c r="B488" s="44" t="s">
        <v>47</v>
      </c>
      <c r="C488" s="128">
        <v>991.7782243656138</v>
      </c>
      <c r="D488" s="128">
        <v>19.0</v>
      </c>
      <c r="E488" s="128">
        <v>987.1442036119234</v>
      </c>
      <c r="F488" s="44" t="s">
        <v>110</v>
      </c>
      <c r="G488" s="128">
        <v>992.2139165544864</v>
      </c>
      <c r="H488" s="128">
        <v>20.0</v>
      </c>
      <c r="I488" s="128">
        <v>987.9618339276104</v>
      </c>
      <c r="J488" s="44" t="s">
        <v>27</v>
      </c>
      <c r="K488" s="128">
        <v>1013.3713221243239</v>
      </c>
      <c r="L488" s="128">
        <v>20.0</v>
      </c>
      <c r="M488" s="128">
        <v>1008.7282207870344</v>
      </c>
      <c r="N488" s="44" t="s">
        <v>61</v>
      </c>
      <c r="O488" s="128">
        <v>1020.0735577109092</v>
      </c>
      <c r="P488" s="128">
        <v>18.0</v>
      </c>
      <c r="Q488" s="128">
        <v>1014.602762428765</v>
      </c>
      <c r="V488" s="44" t="s">
        <v>98</v>
      </c>
      <c r="W488" s="128">
        <v>990.1422927001687</v>
      </c>
      <c r="X488" s="128">
        <v>23.0</v>
      </c>
      <c r="Y488" s="128">
        <v>996.9858333403827</v>
      </c>
      <c r="Z488" s="44" t="s">
        <v>78</v>
      </c>
      <c r="AA488" s="128">
        <v>995.4550155102585</v>
      </c>
      <c r="AB488" s="128">
        <v>14.0</v>
      </c>
      <c r="AC488" s="128">
        <v>998.5799556539263</v>
      </c>
      <c r="AD488" s="44" t="s">
        <v>107</v>
      </c>
      <c r="AE488" s="128">
        <v>997.3636555000018</v>
      </c>
      <c r="AF488" s="128">
        <v>11.0</v>
      </c>
      <c r="AG488" s="128">
        <v>999.2538551482745</v>
      </c>
      <c r="AH488" s="44" t="s">
        <v>31</v>
      </c>
      <c r="AI488" s="128">
        <v>1048.6865447774771</v>
      </c>
      <c r="AJ488" s="128">
        <v>25.0</v>
      </c>
      <c r="AK488" s="128">
        <v>1055.8278643453227</v>
      </c>
      <c r="AP488" s="128">
        <v>12.0</v>
      </c>
      <c r="AQ488" s="128">
        <v>16.0</v>
      </c>
      <c r="AT488" s="44">
        <v>487.0</v>
      </c>
      <c r="AU488" s="44"/>
      <c r="AW488" s="93"/>
      <c r="AY488" s="93"/>
      <c r="AZ488" s="93"/>
      <c r="BA488" s="93"/>
      <c r="BB488" s="155"/>
      <c r="BC488" s="93"/>
      <c r="BE488" s="93"/>
      <c r="BG488" s="93"/>
      <c r="BH488" s="93"/>
      <c r="BI488" s="93"/>
      <c r="BJ488" s="155"/>
      <c r="BK488" s="93"/>
    </row>
    <row r="489">
      <c r="A489" s="166">
        <v>44326.93044077547</v>
      </c>
      <c r="B489" s="44" t="s">
        <v>47</v>
      </c>
      <c r="C489" s="128">
        <v>987.1442036119234</v>
      </c>
      <c r="D489" s="128">
        <v>18.0</v>
      </c>
      <c r="E489" s="128">
        <v>991.6585089311468</v>
      </c>
      <c r="F489" s="44" t="s">
        <v>92</v>
      </c>
      <c r="G489" s="128">
        <v>990.8751824806269</v>
      </c>
      <c r="H489" s="128">
        <v>14.0</v>
      </c>
      <c r="I489" s="128">
        <v>993.2112202499512</v>
      </c>
      <c r="J489" s="44" t="s">
        <v>31</v>
      </c>
      <c r="K489" s="128">
        <v>1055.8278643453227</v>
      </c>
      <c r="L489" s="128">
        <v>33.0</v>
      </c>
      <c r="M489" s="128">
        <v>1066.977521256775</v>
      </c>
      <c r="N489" s="44"/>
      <c r="O489" s="128"/>
      <c r="P489" s="128"/>
      <c r="Q489" s="128"/>
      <c r="V489" s="44" t="s">
        <v>112</v>
      </c>
      <c r="W489" s="128">
        <v>991.2396049674782</v>
      </c>
      <c r="X489" s="128">
        <v>26.0</v>
      </c>
      <c r="Y489" s="128">
        <v>989.6013510599839</v>
      </c>
      <c r="Z489" s="44" t="s">
        <v>90</v>
      </c>
      <c r="AA489" s="128">
        <v>994.4885743028801</v>
      </c>
      <c r="AB489" s="128">
        <v>10.0</v>
      </c>
      <c r="AC489" s="128">
        <v>984.7424924106554</v>
      </c>
      <c r="AD489" s="44" t="s">
        <v>61</v>
      </c>
      <c r="AE489" s="128">
        <v>1014.602762428765</v>
      </c>
      <c r="AF489" s="128">
        <v>17.0</v>
      </c>
      <c r="AG489" s="128">
        <v>1007.987098228484</v>
      </c>
      <c r="AH489" s="44"/>
      <c r="AI489" s="128"/>
      <c r="AJ489" s="128"/>
      <c r="AK489" s="128"/>
      <c r="AP489" s="128">
        <v>18.0</v>
      </c>
      <c r="AQ489" s="128">
        <v>10.0</v>
      </c>
      <c r="AS489" s="44" t="s">
        <v>229</v>
      </c>
      <c r="AT489" s="44">
        <v>488.0</v>
      </c>
      <c r="AU489" s="44"/>
      <c r="AW489" s="93"/>
      <c r="AY489" s="93"/>
      <c r="AZ489" s="93"/>
      <c r="BA489" s="93"/>
      <c r="BB489" s="155"/>
      <c r="BC489" s="93"/>
      <c r="BE489" s="93"/>
      <c r="BG489" s="93"/>
      <c r="BH489" s="93"/>
      <c r="BI489" s="93"/>
      <c r="BJ489" s="155"/>
      <c r="BK489" s="93"/>
    </row>
    <row r="490">
      <c r="A490" s="166">
        <v>44326.97962038194</v>
      </c>
      <c r="B490" s="44" t="s">
        <v>47</v>
      </c>
      <c r="C490" s="128">
        <v>991.6585089311468</v>
      </c>
      <c r="D490" s="128">
        <v>31.0</v>
      </c>
      <c r="E490" s="128">
        <v>998.7275210475884</v>
      </c>
      <c r="F490" s="44" t="s">
        <v>121</v>
      </c>
      <c r="G490" s="128">
        <v>1000.0</v>
      </c>
      <c r="H490" s="128">
        <v>11.0</v>
      </c>
      <c r="I490" s="128">
        <v>1000.2270439144355</v>
      </c>
      <c r="J490" s="44" t="s">
        <v>245</v>
      </c>
      <c r="K490" s="128">
        <v>1005.038966396971</v>
      </c>
      <c r="L490" s="128">
        <v>28.0</v>
      </c>
      <c r="M490" s="128">
        <v>1010.8557391855268</v>
      </c>
      <c r="N490" s="44" t="s">
        <v>61</v>
      </c>
      <c r="O490" s="128">
        <v>1007.987098228484</v>
      </c>
      <c r="P490" s="128">
        <v>23.0</v>
      </c>
      <c r="Q490" s="128">
        <v>1012.1013615448911</v>
      </c>
      <c r="R490" s="44" t="s">
        <v>27</v>
      </c>
      <c r="S490" s="128">
        <v>1008.7282207870344</v>
      </c>
      <c r="T490" s="128">
        <v>19.0</v>
      </c>
      <c r="U490" s="128">
        <v>1011.5011286511944</v>
      </c>
      <c r="V490" s="44" t="s">
        <v>88</v>
      </c>
      <c r="W490" s="128">
        <v>980.3182754653926</v>
      </c>
      <c r="X490" s="128">
        <v>9.0</v>
      </c>
      <c r="Y490" s="128">
        <v>972.6821332650345</v>
      </c>
      <c r="Z490" s="44" t="s">
        <v>90</v>
      </c>
      <c r="AA490" s="128">
        <v>984.7424924106554</v>
      </c>
      <c r="AB490" s="128">
        <v>15.0</v>
      </c>
      <c r="AC490" s="128">
        <v>978.9654730010984</v>
      </c>
      <c r="AD490" s="44" t="s">
        <v>112</v>
      </c>
      <c r="AE490" s="128">
        <v>989.6013510599839</v>
      </c>
      <c r="AF490" s="128">
        <v>22.0</v>
      </c>
      <c r="AG490" s="128">
        <v>986.0228746424561</v>
      </c>
      <c r="AH490" s="44" t="s">
        <v>123</v>
      </c>
      <c r="AI490" s="128">
        <v>992.5283708952942</v>
      </c>
      <c r="AJ490" s="128">
        <v>27.0</v>
      </c>
      <c r="AK490" s="128">
        <v>990.5454845389519</v>
      </c>
      <c r="AL490" s="44" t="s">
        <v>31</v>
      </c>
      <c r="AM490" s="128">
        <v>1066.977521256775</v>
      </c>
      <c r="AN490" s="128">
        <v>31.0</v>
      </c>
      <c r="AO490" s="128">
        <v>1065.95204564056</v>
      </c>
      <c r="AP490" s="128">
        <v>16.0</v>
      </c>
      <c r="AQ490" s="128">
        <v>12.0</v>
      </c>
      <c r="AS490" s="44" t="s">
        <v>290</v>
      </c>
      <c r="AT490" s="44">
        <v>489.0</v>
      </c>
      <c r="AU490" s="44"/>
      <c r="AW490" s="93"/>
      <c r="AY490" s="93"/>
      <c r="AZ490" s="93"/>
      <c r="BA490" s="93"/>
      <c r="BB490" s="155"/>
      <c r="BC490" s="93"/>
      <c r="BE490" s="93"/>
      <c r="BG490" s="93"/>
      <c r="BH490" s="93"/>
      <c r="BI490" s="93"/>
      <c r="BJ490" s="155"/>
      <c r="BK490" s="93"/>
    </row>
    <row r="491">
      <c r="A491" s="166">
        <v>44327.03526094907</v>
      </c>
      <c r="B491" s="44" t="s">
        <v>88</v>
      </c>
      <c r="C491" s="128">
        <v>972.6821332650345</v>
      </c>
      <c r="D491" s="128">
        <v>13.0</v>
      </c>
      <c r="E491" s="128">
        <v>966.7108456560289</v>
      </c>
      <c r="F491" s="44" t="s">
        <v>110</v>
      </c>
      <c r="G491" s="128">
        <v>987.9618339276104</v>
      </c>
      <c r="H491" s="128">
        <v>7.0</v>
      </c>
      <c r="I491" s="128">
        <v>979.0186648975388</v>
      </c>
      <c r="J491" s="44" t="s">
        <v>123</v>
      </c>
      <c r="K491" s="128">
        <v>990.5454845389519</v>
      </c>
      <c r="L491" s="128">
        <v>8.0</v>
      </c>
      <c r="M491" s="128">
        <v>981.9572389127952</v>
      </c>
      <c r="N491" s="44" t="s">
        <v>31</v>
      </c>
      <c r="O491" s="128">
        <v>1065.95204564056</v>
      </c>
      <c r="P491" s="128">
        <v>38.0</v>
      </c>
      <c r="Q491" s="128">
        <v>1065.94204564056</v>
      </c>
      <c r="V491" s="44" t="s">
        <v>112</v>
      </c>
      <c r="W491" s="128">
        <v>986.0228746424561</v>
      </c>
      <c r="X491" s="128">
        <v>19.0</v>
      </c>
      <c r="Y491" s="128">
        <v>989.5892054280207</v>
      </c>
      <c r="Z491" s="44" t="s">
        <v>245</v>
      </c>
      <c r="AA491" s="128">
        <v>1010.8557391855268</v>
      </c>
      <c r="AB491" s="128">
        <v>18.0</v>
      </c>
      <c r="AC491" s="128">
        <v>1013.4241601788071</v>
      </c>
      <c r="AD491" s="44" t="s">
        <v>27</v>
      </c>
      <c r="AE491" s="128">
        <v>1011.5011286511944</v>
      </c>
      <c r="AF491" s="128">
        <v>33.0</v>
      </c>
      <c r="AG491" s="128">
        <v>1020.3120838299436</v>
      </c>
      <c r="AH491" s="44" t="s">
        <v>61</v>
      </c>
      <c r="AI491" s="128">
        <v>1012.1013615448911</v>
      </c>
      <c r="AJ491" s="128">
        <v>24.0</v>
      </c>
      <c r="AK491" s="128">
        <v>1017.155654587297</v>
      </c>
      <c r="AP491" s="128">
        <v>10.0</v>
      </c>
      <c r="AQ491" s="128">
        <v>18.0</v>
      </c>
      <c r="AS491" s="44" t="s">
        <v>244</v>
      </c>
      <c r="AT491" s="44">
        <v>490.0</v>
      </c>
      <c r="AU491" s="44"/>
      <c r="AW491" s="93"/>
      <c r="AY491" s="93"/>
      <c r="AZ491" s="93"/>
      <c r="BA491" s="93"/>
      <c r="BB491" s="155"/>
      <c r="BC491" s="93"/>
      <c r="BE491" s="93"/>
      <c r="BG491" s="93"/>
      <c r="BH491" s="93"/>
      <c r="BI491" s="93"/>
      <c r="BJ491" s="155"/>
      <c r="BK491" s="93"/>
    </row>
    <row r="492">
      <c r="A492" s="166">
        <v>44327.94473800926</v>
      </c>
      <c r="B492" s="44" t="s">
        <v>227</v>
      </c>
      <c r="C492" s="128">
        <v>985.204991252402</v>
      </c>
      <c r="D492" s="128">
        <v>6.0</v>
      </c>
      <c r="E492" s="128">
        <v>980.0601589439183</v>
      </c>
      <c r="F492" s="44" t="s">
        <v>112</v>
      </c>
      <c r="G492" s="128">
        <v>989.5892054280207</v>
      </c>
      <c r="H492" s="128">
        <v>33.0</v>
      </c>
      <c r="I492" s="128">
        <v>989.5792054280207</v>
      </c>
      <c r="J492" s="44" t="s">
        <v>47</v>
      </c>
      <c r="K492" s="128">
        <v>998.7275210475884</v>
      </c>
      <c r="L492" s="128">
        <v>20.0</v>
      </c>
      <c r="M492" s="128">
        <v>996.3489658483235</v>
      </c>
      <c r="N492" s="44" t="s">
        <v>61</v>
      </c>
      <c r="O492" s="128">
        <v>1017.155654587297</v>
      </c>
      <c r="P492" s="128">
        <v>18.0</v>
      </c>
      <c r="Q492" s="128">
        <v>1014.255134120357</v>
      </c>
      <c r="V492" s="44" t="s">
        <v>88</v>
      </c>
      <c r="W492" s="128">
        <v>966.7108456560289</v>
      </c>
      <c r="X492" s="128">
        <v>16.0</v>
      </c>
      <c r="Y492" s="128">
        <v>968.7233162929493</v>
      </c>
      <c r="Z492" s="44" t="s">
        <v>110</v>
      </c>
      <c r="AA492" s="128">
        <v>979.0186648975388</v>
      </c>
      <c r="AB492" s="128">
        <v>25.0</v>
      </c>
      <c r="AC492" s="128">
        <v>982.6668403190414</v>
      </c>
      <c r="AD492" s="44" t="s">
        <v>123</v>
      </c>
      <c r="AE492" s="128">
        <v>981.9572389127952</v>
      </c>
      <c r="AF492" s="128">
        <v>6.0</v>
      </c>
      <c r="AG492" s="128">
        <v>981.5986210191102</v>
      </c>
      <c r="AH492" s="44" t="s">
        <v>31</v>
      </c>
      <c r="AI492" s="128">
        <v>1065.94204564056</v>
      </c>
      <c r="AJ492" s="128">
        <v>32.0</v>
      </c>
      <c r="AK492" s="128">
        <v>1070.640017475822</v>
      </c>
      <c r="AP492" s="128">
        <v>13.0</v>
      </c>
      <c r="AQ492" s="128">
        <v>15.0</v>
      </c>
      <c r="AS492" s="44" t="s">
        <v>503</v>
      </c>
      <c r="AT492" s="44">
        <v>491.0</v>
      </c>
      <c r="AU492" s="44"/>
      <c r="AW492" s="93"/>
      <c r="AY492" s="93"/>
      <c r="AZ492" s="93"/>
      <c r="BA492" s="93"/>
      <c r="BB492" s="155"/>
      <c r="BC492" s="93"/>
      <c r="BE492" s="93"/>
      <c r="BG492" s="93"/>
      <c r="BH492" s="93"/>
      <c r="BI492" s="93"/>
      <c r="BJ492" s="155"/>
      <c r="BK492" s="93"/>
    </row>
    <row r="493">
      <c r="A493" s="166">
        <v>44328.02285252315</v>
      </c>
      <c r="B493" s="44" t="s">
        <v>227</v>
      </c>
      <c r="C493" s="128">
        <v>980.0601589439183</v>
      </c>
      <c r="D493" s="128">
        <v>12.0</v>
      </c>
      <c r="E493" s="128">
        <v>974.9620611640723</v>
      </c>
      <c r="F493" s="44" t="s">
        <v>110</v>
      </c>
      <c r="G493" s="128">
        <v>982.6668403190414</v>
      </c>
      <c r="H493" s="128">
        <v>40.0</v>
      </c>
      <c r="I493" s="128">
        <v>982.6517878671689</v>
      </c>
      <c r="J493" s="44" t="s">
        <v>47</v>
      </c>
      <c r="K493" s="128">
        <v>996.3489658483235</v>
      </c>
      <c r="L493" s="128">
        <v>40.0</v>
      </c>
      <c r="M493" s="128">
        <v>996.1228583673761</v>
      </c>
      <c r="N493" s="44" t="s">
        <v>121</v>
      </c>
      <c r="O493" s="128">
        <v>1000.2270439144355</v>
      </c>
      <c r="P493" s="128">
        <v>5.0</v>
      </c>
      <c r="Q493" s="128">
        <v>993.5402401216132</v>
      </c>
      <c r="R493" s="44" t="s">
        <v>31</v>
      </c>
      <c r="S493" s="128">
        <v>1070.640017475822</v>
      </c>
      <c r="T493" s="128">
        <v>48.0</v>
      </c>
      <c r="U493" s="128">
        <v>1070.6300174758221</v>
      </c>
      <c r="V493" s="44" t="s">
        <v>88</v>
      </c>
      <c r="W493" s="128">
        <v>968.7233162929493</v>
      </c>
      <c r="X493" s="128">
        <v>22.0</v>
      </c>
      <c r="Y493" s="128">
        <v>970.3753023261365</v>
      </c>
      <c r="Z493" s="44" t="s">
        <v>112</v>
      </c>
      <c r="AA493" s="128">
        <v>989.5792054280207</v>
      </c>
      <c r="AB493" s="128">
        <v>37.0</v>
      </c>
      <c r="AC493" s="128">
        <v>993.5808055572984</v>
      </c>
      <c r="AD493" s="44" t="s">
        <v>107</v>
      </c>
      <c r="AE493" s="128">
        <v>999.2538551482745</v>
      </c>
      <c r="AF493" s="128">
        <v>26.0</v>
      </c>
      <c r="AG493" s="128">
        <v>1001.1186744241252</v>
      </c>
      <c r="AH493" s="44" t="s">
        <v>61</v>
      </c>
      <c r="AI493" s="128">
        <v>1014.255134120357</v>
      </c>
      <c r="AJ493" s="128">
        <v>16.0</v>
      </c>
      <c r="AK493" s="128">
        <v>1014.174803237774</v>
      </c>
      <c r="AL493" s="44" t="s">
        <v>27</v>
      </c>
      <c r="AM493" s="128">
        <v>1020.3120838299436</v>
      </c>
      <c r="AN493" s="128">
        <v>36.0</v>
      </c>
      <c r="AO493" s="128">
        <v>1023.8740092742111</v>
      </c>
      <c r="AP493" s="128">
        <v>19.0</v>
      </c>
      <c r="AQ493" s="128">
        <v>23.0</v>
      </c>
      <c r="AS493" s="44" t="s">
        <v>504</v>
      </c>
      <c r="AT493" s="44">
        <v>492.0</v>
      </c>
      <c r="AU493" s="44"/>
      <c r="AW493" s="93"/>
      <c r="AY493" s="93"/>
      <c r="AZ493" s="93"/>
      <c r="BA493" s="93"/>
      <c r="BB493" s="155"/>
      <c r="BC493" s="93"/>
      <c r="BE493" s="93"/>
      <c r="BG493" s="93"/>
      <c r="BH493" s="93"/>
      <c r="BI493" s="93"/>
      <c r="BJ493" s="155"/>
      <c r="BK493" s="93"/>
    </row>
    <row r="494">
      <c r="A494" s="166">
        <v>44328.955332812504</v>
      </c>
      <c r="B494" s="44" t="s">
        <v>88</v>
      </c>
      <c r="C494" s="128">
        <v>970.3753023261365</v>
      </c>
      <c r="D494" s="128">
        <v>23.0</v>
      </c>
      <c r="E494" s="128">
        <v>984.0204739907937</v>
      </c>
      <c r="F494" s="44" t="s">
        <v>245</v>
      </c>
      <c r="G494" s="128">
        <v>1013.4241601788071</v>
      </c>
      <c r="H494" s="128">
        <v>27.0</v>
      </c>
      <c r="I494" s="128">
        <v>1028.3701164086276</v>
      </c>
      <c r="J494" s="44" t="s">
        <v>27</v>
      </c>
      <c r="K494" s="128">
        <v>1023.8740092742111</v>
      </c>
      <c r="L494" s="128">
        <v>23.0</v>
      </c>
      <c r="M494" s="128">
        <v>1034.2828813797335</v>
      </c>
      <c r="N494" s="44"/>
      <c r="O494" s="128"/>
      <c r="P494" s="128"/>
      <c r="Q494" s="128"/>
      <c r="V494" s="44" t="s">
        <v>47</v>
      </c>
      <c r="W494" s="128">
        <v>996.1228583673761</v>
      </c>
      <c r="X494" s="128">
        <v>19.0</v>
      </c>
      <c r="Y494" s="128">
        <v>988.6750889894994</v>
      </c>
      <c r="Z494" s="44" t="s">
        <v>107</v>
      </c>
      <c r="AA494" s="128">
        <v>1001.1186744241252</v>
      </c>
      <c r="AB494" s="128">
        <v>15.0</v>
      </c>
      <c r="AC494" s="128">
        <v>989.1829356419628</v>
      </c>
      <c r="AD494" s="44" t="s">
        <v>58</v>
      </c>
      <c r="AE494" s="128">
        <v>1004.8949117702028</v>
      </c>
      <c r="AF494" s="128">
        <v>8.0</v>
      </c>
      <c r="AG494" s="128">
        <v>985.278419930242</v>
      </c>
      <c r="AH494" s="44"/>
      <c r="AI494" s="128"/>
      <c r="AJ494" s="128"/>
      <c r="AK494" s="128"/>
      <c r="AP494" s="128">
        <v>21.0</v>
      </c>
      <c r="AQ494" s="128">
        <v>7.0</v>
      </c>
      <c r="AT494" s="44">
        <v>493.0</v>
      </c>
      <c r="AU494" s="44"/>
      <c r="AW494" s="93"/>
      <c r="AY494" s="93"/>
      <c r="AZ494" s="93"/>
      <c r="BA494" s="93"/>
      <c r="BB494" s="155"/>
      <c r="BC494" s="93"/>
      <c r="BE494" s="93"/>
      <c r="BG494" s="93"/>
      <c r="BH494" s="93"/>
      <c r="BI494" s="93"/>
      <c r="BJ494" s="155"/>
      <c r="BK494" s="93"/>
    </row>
    <row r="495">
      <c r="A495" s="166">
        <v>44328.9969540162</v>
      </c>
      <c r="B495" s="44" t="s">
        <v>88</v>
      </c>
      <c r="C495" s="128">
        <v>984.0204739907937</v>
      </c>
      <c r="D495" s="128">
        <v>10.0</v>
      </c>
      <c r="E495" s="128">
        <v>984.0304739907937</v>
      </c>
      <c r="F495" s="44" t="s">
        <v>245</v>
      </c>
      <c r="G495" s="128">
        <v>1028.3701164086276</v>
      </c>
      <c r="H495" s="128">
        <v>22.0</v>
      </c>
      <c r="I495" s="128">
        <v>1028.3801164086276</v>
      </c>
      <c r="J495" s="44" t="s">
        <v>27</v>
      </c>
      <c r="K495" s="128">
        <v>1034.2828813797335</v>
      </c>
      <c r="L495" s="128">
        <v>17.0</v>
      </c>
      <c r="M495" s="128">
        <v>1034.2928813797334</v>
      </c>
      <c r="N495" s="44"/>
      <c r="O495" s="128"/>
      <c r="P495" s="128"/>
      <c r="Q495" s="128"/>
      <c r="V495" s="44" t="s">
        <v>47</v>
      </c>
      <c r="W495" s="128">
        <v>988.6750889894994</v>
      </c>
      <c r="X495" s="128">
        <v>19.0</v>
      </c>
      <c r="Y495" s="128">
        <v>988.6750889894994</v>
      </c>
      <c r="Z495" s="44" t="s">
        <v>107</v>
      </c>
      <c r="AA495" s="128">
        <v>989.1829356419628</v>
      </c>
      <c r="AB495" s="128">
        <v>12.0</v>
      </c>
      <c r="AC495" s="128">
        <v>989.1829356419628</v>
      </c>
      <c r="AD495" s="44" t="s">
        <v>31</v>
      </c>
      <c r="AE495" s="128">
        <v>1070.6300174758221</v>
      </c>
      <c r="AF495" s="128">
        <v>27.0</v>
      </c>
      <c r="AG495" s="128">
        <v>1070.6300174758221</v>
      </c>
      <c r="AH495" s="44"/>
      <c r="AI495" s="128"/>
      <c r="AJ495" s="128"/>
      <c r="AK495" s="128"/>
      <c r="AP495" s="128">
        <v>14.0</v>
      </c>
      <c r="AQ495" s="128">
        <v>14.0</v>
      </c>
      <c r="AT495" s="44">
        <v>494.0</v>
      </c>
      <c r="AU495" s="44"/>
      <c r="AW495" s="93"/>
      <c r="AY495" s="93"/>
      <c r="AZ495" s="93"/>
      <c r="BA495" s="93"/>
      <c r="BB495" s="155"/>
      <c r="BC495" s="93"/>
      <c r="BE495" s="93"/>
      <c r="BG495" s="93"/>
      <c r="BH495" s="93"/>
      <c r="BI495" s="93"/>
      <c r="BJ495" s="155"/>
      <c r="BK495" s="93"/>
    </row>
    <row r="496">
      <c r="A496" s="166">
        <v>44329.035742430555</v>
      </c>
      <c r="B496" s="44" t="s">
        <v>88</v>
      </c>
      <c r="C496" s="128">
        <v>984.0304739907937</v>
      </c>
      <c r="D496" s="128">
        <v>7.0</v>
      </c>
      <c r="E496" s="128">
        <v>984.0404739907937</v>
      </c>
      <c r="F496" s="44" t="s">
        <v>107</v>
      </c>
      <c r="G496" s="128">
        <v>989.1829356419628</v>
      </c>
      <c r="H496" s="128">
        <v>21.0</v>
      </c>
      <c r="I496" s="128">
        <v>1001.4325931032982</v>
      </c>
      <c r="J496" s="44" t="s">
        <v>31</v>
      </c>
      <c r="K496" s="128">
        <v>1070.6300174758221</v>
      </c>
      <c r="L496" s="128">
        <v>38.0</v>
      </c>
      <c r="M496" s="128">
        <v>1099.947019432845</v>
      </c>
      <c r="N496" s="44"/>
      <c r="O496" s="128"/>
      <c r="P496" s="128"/>
      <c r="Q496" s="128"/>
      <c r="V496" s="44" t="s">
        <v>121</v>
      </c>
      <c r="W496" s="128">
        <v>993.5402401216132</v>
      </c>
      <c r="X496" s="128">
        <v>4.0</v>
      </c>
      <c r="Y496" s="128">
        <v>968.6691512699739</v>
      </c>
      <c r="Z496" s="44" t="s">
        <v>61</v>
      </c>
      <c r="AA496" s="128">
        <v>1014.174803237774</v>
      </c>
      <c r="AB496" s="128">
        <v>18.0</v>
      </c>
      <c r="AC496" s="128">
        <v>1003.9336189577174</v>
      </c>
      <c r="AD496" s="44" t="s">
        <v>245</v>
      </c>
      <c r="AE496" s="128">
        <v>1028.3801164086276</v>
      </c>
      <c r="AF496" s="128">
        <v>24.0</v>
      </c>
      <c r="AG496" s="128">
        <v>1024.4923895403235</v>
      </c>
      <c r="AH496" s="44"/>
      <c r="AI496" s="128"/>
      <c r="AJ496" s="128"/>
      <c r="AK496" s="128"/>
      <c r="AP496" s="128">
        <v>19.0</v>
      </c>
      <c r="AQ496" s="128">
        <v>9.0</v>
      </c>
      <c r="AT496" s="44">
        <v>495.0</v>
      </c>
      <c r="AU496" s="44"/>
      <c r="AW496" s="93"/>
      <c r="AY496" s="93"/>
      <c r="AZ496" s="93"/>
      <c r="BA496" s="93"/>
      <c r="BB496" s="155"/>
      <c r="BC496" s="93"/>
      <c r="BE496" s="93"/>
      <c r="BG496" s="93"/>
      <c r="BH496" s="93"/>
      <c r="BI496" s="93"/>
      <c r="BJ496" s="155"/>
      <c r="BK496" s="93"/>
    </row>
    <row r="497">
      <c r="A497" s="166">
        <v>44329.93346435185</v>
      </c>
      <c r="B497" s="44" t="s">
        <v>88</v>
      </c>
      <c r="C497" s="128">
        <v>984.0404739907937</v>
      </c>
      <c r="D497" s="128">
        <v>14.0</v>
      </c>
      <c r="E497" s="128">
        <v>986.9539026765116</v>
      </c>
      <c r="F497" s="44" t="s">
        <v>47</v>
      </c>
      <c r="G497" s="128">
        <v>988.6750889894994</v>
      </c>
      <c r="H497" s="128">
        <v>18.0</v>
      </c>
      <c r="I497" s="128">
        <v>993.486591501011</v>
      </c>
      <c r="J497" s="44" t="s">
        <v>31</v>
      </c>
      <c r="K497" s="128">
        <v>1099.947019432845</v>
      </c>
      <c r="L497" s="128">
        <v>30.0</v>
      </c>
      <c r="M497" s="128">
        <v>1110.2220882356155</v>
      </c>
      <c r="N497" s="44"/>
      <c r="O497" s="128"/>
      <c r="P497" s="128"/>
      <c r="Q497" s="128"/>
      <c r="V497" s="44" t="s">
        <v>112</v>
      </c>
      <c r="W497" s="128">
        <v>993.5808055572984</v>
      </c>
      <c r="X497" s="128">
        <v>15.0</v>
      </c>
      <c r="Y497" s="128">
        <v>986.5856240184953</v>
      </c>
      <c r="Z497" s="44" t="s">
        <v>23</v>
      </c>
      <c r="AA497" s="128">
        <v>1008.8010008732919</v>
      </c>
      <c r="AB497" s="128">
        <v>19.0</v>
      </c>
      <c r="AC497" s="128">
        <v>1003.6204817625357</v>
      </c>
      <c r="AD497" s="44" t="s">
        <v>27</v>
      </c>
      <c r="AE497" s="128">
        <v>1034.2928813797334</v>
      </c>
      <c r="AF497" s="128">
        <v>18.0</v>
      </c>
      <c r="AG497" s="128">
        <v>1028.4685820292925</v>
      </c>
      <c r="AH497" s="44"/>
      <c r="AI497" s="128"/>
      <c r="AJ497" s="128"/>
      <c r="AK497" s="128"/>
      <c r="AP497" s="128">
        <v>16.0</v>
      </c>
      <c r="AQ497" s="128">
        <v>12.0</v>
      </c>
      <c r="AT497" s="44">
        <v>496.0</v>
      </c>
      <c r="AU497" s="44"/>
      <c r="AW497" s="93"/>
      <c r="AY497" s="93"/>
      <c r="AZ497" s="93"/>
      <c r="BA497" s="93"/>
      <c r="BB497" s="155"/>
      <c r="BC497" s="93"/>
      <c r="BE497" s="93"/>
      <c r="BG497" s="93"/>
      <c r="BH497" s="93"/>
      <c r="BI497" s="93"/>
      <c r="BJ497" s="155"/>
      <c r="BK497" s="93"/>
    </row>
    <row r="498">
      <c r="A498" s="166">
        <v>44330.86189517361</v>
      </c>
      <c r="B498" s="44" t="s">
        <v>112</v>
      </c>
      <c r="C498" s="128">
        <v>986.5856240184953</v>
      </c>
      <c r="D498" s="128">
        <v>11.0</v>
      </c>
      <c r="E498" s="128">
        <v>975.6669358612828</v>
      </c>
      <c r="F498" s="44" t="s">
        <v>88</v>
      </c>
      <c r="G498" s="128">
        <v>986.9539026765116</v>
      </c>
      <c r="H498" s="128">
        <v>7.0</v>
      </c>
      <c r="I498" s="128">
        <v>973.2498999143282</v>
      </c>
      <c r="J498" s="44" t="s">
        <v>31</v>
      </c>
      <c r="K498" s="128">
        <v>1110.2220882356155</v>
      </c>
      <c r="L498" s="128">
        <v>27.0</v>
      </c>
      <c r="M498" s="128">
        <v>1109.8447791550113</v>
      </c>
      <c r="N498" s="44"/>
      <c r="O498" s="128"/>
      <c r="P498" s="128"/>
      <c r="Q498" s="128"/>
      <c r="V498" s="44" t="s">
        <v>47</v>
      </c>
      <c r="W498" s="128">
        <v>993.486591501011</v>
      </c>
      <c r="X498" s="128">
        <v>16.0</v>
      </c>
      <c r="Y498" s="128">
        <v>999.3949584312807</v>
      </c>
      <c r="Z498" s="44" t="s">
        <v>107</v>
      </c>
      <c r="AA498" s="128">
        <v>1001.4325931032982</v>
      </c>
      <c r="AB498" s="128">
        <v>16.0</v>
      </c>
      <c r="AC498" s="128">
        <v>1007.1782686346544</v>
      </c>
      <c r="AD498" s="44" t="s">
        <v>23</v>
      </c>
      <c r="AE498" s="128">
        <v>1003.6204817625357</v>
      </c>
      <c r="AF498" s="128">
        <v>27.0</v>
      </c>
      <c r="AG498" s="128">
        <v>1016.96643930091</v>
      </c>
      <c r="AH498" s="44"/>
      <c r="AI498" s="128"/>
      <c r="AJ498" s="128"/>
      <c r="AK498" s="128"/>
      <c r="AP498" s="128">
        <v>10.0</v>
      </c>
      <c r="AQ498" s="128">
        <v>18.0</v>
      </c>
      <c r="AT498" s="44">
        <v>497.0</v>
      </c>
      <c r="AU498" s="44"/>
      <c r="AW498" s="93"/>
      <c r="AY498" s="93"/>
      <c r="AZ498" s="93"/>
      <c r="BA498" s="93"/>
      <c r="BB498" s="155"/>
      <c r="BC498" s="93"/>
      <c r="BE498" s="93"/>
      <c r="BG498" s="93"/>
      <c r="BH498" s="93"/>
      <c r="BI498" s="93"/>
      <c r="BJ498" s="155"/>
      <c r="BK498" s="93"/>
    </row>
    <row r="499">
      <c r="A499" s="166">
        <v>44330.9005165625</v>
      </c>
      <c r="B499" s="44" t="s">
        <v>61</v>
      </c>
      <c r="C499" s="128">
        <v>1003.9336189577174</v>
      </c>
      <c r="D499" s="128">
        <v>18.0</v>
      </c>
      <c r="E499" s="128">
        <v>1014.6379760209273</v>
      </c>
      <c r="F499" s="44" t="s">
        <v>23</v>
      </c>
      <c r="G499" s="128">
        <v>1016.96643930091</v>
      </c>
      <c r="H499" s="128">
        <v>18.0</v>
      </c>
      <c r="I499" s="128">
        <v>1027.3321242245836</v>
      </c>
      <c r="J499" s="44" t="s">
        <v>27</v>
      </c>
      <c r="K499" s="128">
        <v>1028.4685820292925</v>
      </c>
      <c r="L499" s="128">
        <v>29.0</v>
      </c>
      <c r="M499" s="128">
        <v>1052.398540042409</v>
      </c>
      <c r="N499" s="44"/>
      <c r="O499" s="128"/>
      <c r="P499" s="128"/>
      <c r="Q499" s="128"/>
      <c r="V499" s="44" t="s">
        <v>58</v>
      </c>
      <c r="W499" s="128">
        <v>985.278419930242</v>
      </c>
      <c r="X499" s="128">
        <v>7.0</v>
      </c>
      <c r="Y499" s="128">
        <v>961.9905220231944</v>
      </c>
      <c r="Z499" s="44" t="s">
        <v>47</v>
      </c>
      <c r="AA499" s="128">
        <v>999.3949584312807</v>
      </c>
      <c r="AB499" s="128">
        <v>20.0</v>
      </c>
      <c r="AC499" s="128">
        <v>991.9504866508337</v>
      </c>
      <c r="AD499" s="44" t="s">
        <v>31</v>
      </c>
      <c r="AE499" s="128">
        <v>1109.8447791550113</v>
      </c>
      <c r="AF499" s="128">
        <v>15.0</v>
      </c>
      <c r="AG499" s="128">
        <v>1095.577148842506</v>
      </c>
      <c r="AH499" s="44"/>
      <c r="AI499" s="128"/>
      <c r="AJ499" s="128"/>
      <c r="AK499" s="128"/>
      <c r="AP499" s="128">
        <v>19.0</v>
      </c>
      <c r="AQ499" s="128">
        <v>9.0</v>
      </c>
      <c r="AT499" s="44">
        <v>498.0</v>
      </c>
      <c r="AU499" s="44"/>
      <c r="AW499" s="93"/>
      <c r="AY499" s="93"/>
      <c r="AZ499" s="93"/>
      <c r="BA499" s="93"/>
      <c r="BB499" s="155"/>
      <c r="BC499" s="93"/>
      <c r="BE499" s="93"/>
      <c r="BG499" s="93"/>
      <c r="BH499" s="93"/>
      <c r="BI499" s="93"/>
      <c r="BJ499" s="155"/>
      <c r="BK499" s="93"/>
    </row>
    <row r="500">
      <c r="A500" s="166">
        <v>44330.96001634259</v>
      </c>
      <c r="B500" s="44" t="s">
        <v>47</v>
      </c>
      <c r="C500" s="128">
        <v>991.9504866508337</v>
      </c>
      <c r="D500" s="128">
        <v>12.0</v>
      </c>
      <c r="E500" s="128">
        <v>994.3873788498959</v>
      </c>
      <c r="F500" s="44" t="s">
        <v>92</v>
      </c>
      <c r="G500" s="128">
        <v>993.2112202499512</v>
      </c>
      <c r="H500" s="128">
        <v>18.0</v>
      </c>
      <c r="I500" s="128">
        <v>997.6368338648949</v>
      </c>
      <c r="J500" s="44" t="s">
        <v>107</v>
      </c>
      <c r="K500" s="128">
        <v>1007.1782686346544</v>
      </c>
      <c r="L500" s="128">
        <v>19.0</v>
      </c>
      <c r="M500" s="128">
        <v>1011.8343409073641</v>
      </c>
      <c r="N500" s="44" t="s">
        <v>61</v>
      </c>
      <c r="O500" s="128">
        <v>1014.6379760209273</v>
      </c>
      <c r="P500" s="128">
        <v>13.0</v>
      </c>
      <c r="Q500" s="128">
        <v>1017.2545085279445</v>
      </c>
      <c r="R500" s="44" t="s">
        <v>27</v>
      </c>
      <c r="S500" s="128">
        <v>1052.398540042409</v>
      </c>
      <c r="T500" s="128">
        <v>23.0</v>
      </c>
      <c r="U500" s="128">
        <v>1058.2634294486763</v>
      </c>
      <c r="V500" s="44" t="s">
        <v>58</v>
      </c>
      <c r="W500" s="128">
        <v>961.9905220231944</v>
      </c>
      <c r="X500" s="128">
        <v>12.0</v>
      </c>
      <c r="Y500" s="128">
        <v>957.2586956649446</v>
      </c>
      <c r="Z500" s="44" t="s">
        <v>90</v>
      </c>
      <c r="AA500" s="128">
        <v>978.9654730010984</v>
      </c>
      <c r="AB500" s="128">
        <v>11.0</v>
      </c>
      <c r="AC500" s="128">
        <v>973.6865290929113</v>
      </c>
      <c r="AD500" s="44" t="s">
        <v>98</v>
      </c>
      <c r="AE500" s="128">
        <v>996.9858333403827</v>
      </c>
      <c r="AF500" s="128">
        <v>14.0</v>
      </c>
      <c r="AG500" s="128">
        <v>992.5433724821876</v>
      </c>
      <c r="AH500" s="44" t="s">
        <v>23</v>
      </c>
      <c r="AI500" s="128">
        <v>1027.3321242245836</v>
      </c>
      <c r="AJ500" s="128">
        <v>28.0</v>
      </c>
      <c r="AK500" s="128">
        <v>1027.4131139947795</v>
      </c>
      <c r="AL500" s="44" t="s">
        <v>31</v>
      </c>
      <c r="AM500" s="128">
        <v>1095.577148842506</v>
      </c>
      <c r="AN500" s="128">
        <v>11.0</v>
      </c>
      <c r="AO500" s="128">
        <v>1089.949390196942</v>
      </c>
      <c r="AP500" s="128">
        <v>16.0</v>
      </c>
      <c r="AQ500" s="128">
        <v>12.0</v>
      </c>
      <c r="AT500" s="44">
        <v>499.0</v>
      </c>
      <c r="AU500" s="44"/>
      <c r="AV500" s="44" t="s">
        <v>88</v>
      </c>
      <c r="AW500" s="45">
        <v>973.2498999143282</v>
      </c>
      <c r="AX500" s="44">
        <v>27.0</v>
      </c>
      <c r="AY500" s="145">
        <v>981.21</v>
      </c>
      <c r="AZ500" s="93"/>
      <c r="BA500" s="93"/>
      <c r="BB500" s="155"/>
      <c r="BC500" s="93"/>
      <c r="BD500" s="44" t="s">
        <v>112</v>
      </c>
      <c r="BE500" s="45">
        <v>975.6669358612828</v>
      </c>
      <c r="BF500" s="44">
        <v>21.0</v>
      </c>
      <c r="BG500" s="145">
        <v>974.01</v>
      </c>
      <c r="BH500" s="93"/>
      <c r="BI500" s="93"/>
      <c r="BJ500" s="155"/>
      <c r="BK500" s="93"/>
    </row>
    <row r="501">
      <c r="A501" s="166">
        <v>44331.01087732639</v>
      </c>
      <c r="B501" s="44" t="s">
        <v>88</v>
      </c>
      <c r="C501" s="128">
        <v>981.21</v>
      </c>
      <c r="D501" s="128">
        <v>15.0</v>
      </c>
      <c r="E501" s="128">
        <v>982.0007617611841</v>
      </c>
      <c r="F501" s="44" t="s">
        <v>123</v>
      </c>
      <c r="G501" s="128">
        <v>981.5986210191102</v>
      </c>
      <c r="H501" s="128">
        <v>18.0</v>
      </c>
      <c r="I501" s="128">
        <v>982.886380910912</v>
      </c>
      <c r="J501" s="44" t="s">
        <v>47</v>
      </c>
      <c r="K501" s="128">
        <v>994.3873788498959</v>
      </c>
      <c r="L501" s="128">
        <v>16.0</v>
      </c>
      <c r="M501" s="128">
        <v>995.2555799106217</v>
      </c>
      <c r="N501" s="44" t="s">
        <v>493</v>
      </c>
      <c r="O501" s="128">
        <v>1000.0</v>
      </c>
      <c r="P501" s="128">
        <v>19.0</v>
      </c>
      <c r="Q501" s="128">
        <v>1001.3378629669274</v>
      </c>
      <c r="R501" s="44" t="s">
        <v>31</v>
      </c>
      <c r="S501" s="128">
        <v>1089.949390196942</v>
      </c>
      <c r="T501" s="128">
        <v>46.0</v>
      </c>
      <c r="U501" s="128">
        <v>1095.6648045163029</v>
      </c>
      <c r="V501" s="44" t="s">
        <v>98</v>
      </c>
      <c r="W501" s="128">
        <v>992.5433724821876</v>
      </c>
      <c r="X501" s="128">
        <v>16.0</v>
      </c>
      <c r="Y501" s="128">
        <v>989.8082737787531</v>
      </c>
      <c r="Z501" s="44" t="s">
        <v>92</v>
      </c>
      <c r="AA501" s="128">
        <v>997.6368338648949</v>
      </c>
      <c r="AB501" s="128">
        <v>25.0</v>
      </c>
      <c r="AC501" s="128">
        <v>996.3756416984272</v>
      </c>
      <c r="AD501" s="44" t="s">
        <v>107</v>
      </c>
      <c r="AE501" s="128">
        <v>1011.8343409073641</v>
      </c>
      <c r="AF501" s="128">
        <v>15.0</v>
      </c>
      <c r="AG501" s="128">
        <v>1008.8505374113529</v>
      </c>
      <c r="AH501" s="44" t="s">
        <v>61</v>
      </c>
      <c r="AI501" s="128">
        <v>1017.2545085279445</v>
      </c>
      <c r="AJ501" s="128">
        <v>20.0</v>
      </c>
      <c r="AK501" s="128">
        <v>1015.0886111509294</v>
      </c>
      <c r="AL501" s="44" t="s">
        <v>23</v>
      </c>
      <c r="AM501" s="128">
        <v>1027.4131139947795</v>
      </c>
      <c r="AN501" s="128">
        <v>28.0</v>
      </c>
      <c r="AO501" s="128">
        <v>1026.5591057377078</v>
      </c>
      <c r="AP501" s="128">
        <v>15.0</v>
      </c>
      <c r="AQ501" s="128">
        <v>13.0</v>
      </c>
      <c r="AT501" s="44">
        <v>500.0</v>
      </c>
      <c r="AU501" s="44"/>
      <c r="AV501" s="44" t="s">
        <v>58</v>
      </c>
      <c r="AW501" s="45">
        <v>957.2586956649446</v>
      </c>
      <c r="AX501" s="44">
        <v>11.0</v>
      </c>
      <c r="AY501" s="145">
        <v>957.65</v>
      </c>
      <c r="AZ501" s="93"/>
      <c r="BA501" s="93"/>
      <c r="BB501" s="155"/>
      <c r="BC501" s="93"/>
      <c r="BD501" s="44" t="s">
        <v>112</v>
      </c>
      <c r="BE501" s="145">
        <v>974.01</v>
      </c>
      <c r="BF501" s="44">
        <v>25.0</v>
      </c>
      <c r="BG501" s="145">
        <v>973.45</v>
      </c>
      <c r="BH501" s="93"/>
      <c r="BI501" s="93"/>
      <c r="BJ501" s="155"/>
      <c r="BK501" s="93"/>
    </row>
    <row r="502">
      <c r="A502" s="166">
        <v>44331.055342604166</v>
      </c>
      <c r="B502" s="44" t="s">
        <v>112</v>
      </c>
      <c r="C502" s="128">
        <v>973.45</v>
      </c>
      <c r="D502" s="128">
        <v>21.0</v>
      </c>
      <c r="E502" s="128">
        <v>970.6505879613721</v>
      </c>
      <c r="F502" s="44" t="s">
        <v>88</v>
      </c>
      <c r="G502" s="128">
        <v>982.0007617611841</v>
      </c>
      <c r="H502" s="128">
        <v>13.0</v>
      </c>
      <c r="I502" s="128">
        <v>976.425577573271</v>
      </c>
      <c r="J502" s="44" t="s">
        <v>123</v>
      </c>
      <c r="K502" s="128">
        <v>982.886380910912</v>
      </c>
      <c r="L502" s="128">
        <v>8.0</v>
      </c>
      <c r="M502" s="128">
        <v>975.6341868114961</v>
      </c>
      <c r="N502" s="44" t="s">
        <v>493</v>
      </c>
      <c r="O502" s="128">
        <v>1001.3378629669274</v>
      </c>
      <c r="P502" s="128">
        <v>15.0</v>
      </c>
      <c r="Q502" s="128">
        <v>996.2434579081928</v>
      </c>
      <c r="R502" s="44" t="s">
        <v>31</v>
      </c>
      <c r="S502" s="128">
        <v>1095.6648045163029</v>
      </c>
      <c r="T502" s="128">
        <v>33.0</v>
      </c>
      <c r="U502" s="128">
        <v>1095.6548045163029</v>
      </c>
      <c r="V502" s="44" t="s">
        <v>98</v>
      </c>
      <c r="W502" s="128">
        <v>989.8082737787531</v>
      </c>
      <c r="X502" s="128">
        <v>20.0</v>
      </c>
      <c r="Y502" s="128">
        <v>992.7675762657241</v>
      </c>
      <c r="Z502" s="44" t="s">
        <v>47</v>
      </c>
      <c r="AA502" s="128">
        <v>995.2555799106217</v>
      </c>
      <c r="AB502" s="128">
        <v>34.0</v>
      </c>
      <c r="AC502" s="128">
        <v>1002.8156598904646</v>
      </c>
      <c r="AD502" s="44" t="s">
        <v>107</v>
      </c>
      <c r="AE502" s="128">
        <v>1008.8505374113529</v>
      </c>
      <c r="AF502" s="128">
        <v>15.0</v>
      </c>
      <c r="AG502" s="128">
        <v>1009.9482160240975</v>
      </c>
      <c r="AH502" s="44" t="s">
        <v>61</v>
      </c>
      <c r="AI502" s="128">
        <v>1015.0886111509294</v>
      </c>
      <c r="AJ502" s="128">
        <v>20.0</v>
      </c>
      <c r="AK502" s="128">
        <v>1017.8092933491039</v>
      </c>
      <c r="AL502" s="44" t="s">
        <v>23</v>
      </c>
      <c r="AM502" s="128">
        <v>1026.5591057377078</v>
      </c>
      <c r="AN502" s="128">
        <v>29.0</v>
      </c>
      <c r="AO502" s="128">
        <v>1032.221362459975</v>
      </c>
      <c r="AP502" s="128">
        <v>10.0</v>
      </c>
      <c r="AQ502" s="128">
        <v>18.0</v>
      </c>
      <c r="AT502" s="44">
        <v>501.0</v>
      </c>
      <c r="AU502" s="44"/>
      <c r="AW502" s="93"/>
      <c r="AY502" s="93"/>
      <c r="AZ502" s="93"/>
      <c r="BA502" s="93"/>
      <c r="BB502" s="155"/>
      <c r="BC502" s="93"/>
      <c r="BE502" s="93"/>
      <c r="BG502" s="93"/>
      <c r="BH502" s="93"/>
      <c r="BI502" s="93"/>
      <c r="BJ502" s="155"/>
      <c r="BK502" s="93"/>
    </row>
    <row r="503">
      <c r="A503" s="166">
        <v>44331.105456307865</v>
      </c>
      <c r="B503" s="44" t="s">
        <v>112</v>
      </c>
      <c r="C503" s="128">
        <v>970.6505879613721</v>
      </c>
      <c r="D503" s="128">
        <v>15.0</v>
      </c>
      <c r="E503" s="128">
        <v>972.2165063219792</v>
      </c>
      <c r="F503" s="44" t="s">
        <v>123</v>
      </c>
      <c r="G503" s="128">
        <v>975.6341868114961</v>
      </c>
      <c r="H503" s="128">
        <v>21.0</v>
      </c>
      <c r="I503" s="128">
        <v>978.4034926220373</v>
      </c>
      <c r="J503" s="44" t="s">
        <v>47</v>
      </c>
      <c r="K503" s="128">
        <v>1002.8156598904646</v>
      </c>
      <c r="L503" s="128">
        <v>21.0</v>
      </c>
      <c r="M503" s="128">
        <v>1005.3967430611777</v>
      </c>
      <c r="N503" s="44" t="s">
        <v>31</v>
      </c>
      <c r="O503" s="128">
        <v>1095.6548045163029</v>
      </c>
      <c r="P503" s="128">
        <v>24.0</v>
      </c>
      <c r="Q503" s="128">
        <v>1098.7384971744414</v>
      </c>
      <c r="V503" s="44" t="s">
        <v>88</v>
      </c>
      <c r="W503" s="128">
        <v>976.425577573271</v>
      </c>
      <c r="X503" s="128">
        <v>17.0</v>
      </c>
      <c r="Y503" s="128">
        <v>973.4773722613173</v>
      </c>
      <c r="Z503" s="44" t="s">
        <v>107</v>
      </c>
      <c r="AA503" s="128">
        <v>1009.9482160240975</v>
      </c>
      <c r="AB503" s="128">
        <v>15.0</v>
      </c>
      <c r="AC503" s="128">
        <v>1006.3766092074567</v>
      </c>
      <c r="AD503" s="44" t="s">
        <v>61</v>
      </c>
      <c r="AE503" s="128">
        <v>1017.8092933491039</v>
      </c>
      <c r="AF503" s="128">
        <v>19.0</v>
      </c>
      <c r="AG503" s="128">
        <v>1015.0440210116378</v>
      </c>
      <c r="AH503" s="44" t="s">
        <v>23</v>
      </c>
      <c r="AI503" s="128">
        <v>1032.221362459975</v>
      </c>
      <c r="AJ503" s="128">
        <v>29.0</v>
      </c>
      <c r="AK503" s="128">
        <v>1031.5064469260353</v>
      </c>
      <c r="AP503" s="128">
        <v>15.0</v>
      </c>
      <c r="AQ503" s="128">
        <v>13.0</v>
      </c>
      <c r="AT503" s="44">
        <v>502.0</v>
      </c>
      <c r="AU503" s="44"/>
      <c r="AW503" s="93"/>
      <c r="AY503" s="93"/>
      <c r="AZ503" s="93"/>
      <c r="BA503" s="93"/>
      <c r="BB503" s="155"/>
      <c r="BC503" s="93"/>
      <c r="BE503" s="93"/>
      <c r="BG503" s="93"/>
      <c r="BH503" s="93"/>
      <c r="BI503" s="93"/>
      <c r="BJ503" s="155"/>
      <c r="BK503" s="93"/>
    </row>
    <row r="504">
      <c r="A504" s="166">
        <v>44331.13731012732</v>
      </c>
      <c r="B504" s="44" t="s">
        <v>88</v>
      </c>
      <c r="C504" s="128">
        <v>973.4773722613173</v>
      </c>
      <c r="D504" s="128">
        <v>11.0</v>
      </c>
      <c r="E504" s="128">
        <v>967.897350108745</v>
      </c>
      <c r="F504" s="44" t="s">
        <v>123</v>
      </c>
      <c r="G504" s="128">
        <v>978.4034926220373</v>
      </c>
      <c r="H504" s="128">
        <v>13.0</v>
      </c>
      <c r="I504" s="128">
        <v>973.3226673269737</v>
      </c>
      <c r="J504" s="44" t="s">
        <v>31</v>
      </c>
      <c r="K504" s="128">
        <v>1098.7384971744414</v>
      </c>
      <c r="L504" s="128">
        <v>35.0</v>
      </c>
      <c r="M504" s="128">
        <v>1098.7284971744414</v>
      </c>
      <c r="N504" s="44"/>
      <c r="O504" s="128"/>
      <c r="P504" s="128"/>
      <c r="Q504" s="128"/>
      <c r="V504" s="44" t="s">
        <v>47</v>
      </c>
      <c r="W504" s="128">
        <v>1005.3967430611777</v>
      </c>
      <c r="X504" s="128">
        <v>20.0</v>
      </c>
      <c r="Y504" s="128">
        <v>1009.0556980603262</v>
      </c>
      <c r="Z504" s="44" t="s">
        <v>61</v>
      </c>
      <c r="AA504" s="128">
        <v>1015.0440210116378</v>
      </c>
      <c r="AB504" s="128">
        <v>17.0</v>
      </c>
      <c r="AC504" s="128">
        <v>1017.8231821039991</v>
      </c>
      <c r="AD504" s="44" t="s">
        <v>23</v>
      </c>
      <c r="AE504" s="128">
        <v>1031.5064469260353</v>
      </c>
      <c r="AF504" s="128">
        <v>20.0</v>
      </c>
      <c r="AG504" s="128">
        <v>1035.0683308345256</v>
      </c>
      <c r="AH504" s="44"/>
      <c r="AI504" s="128"/>
      <c r="AJ504" s="128"/>
      <c r="AK504" s="128"/>
      <c r="AP504" s="128">
        <v>13.0</v>
      </c>
      <c r="AQ504" s="128">
        <v>15.0</v>
      </c>
      <c r="AT504" s="44">
        <v>503.0</v>
      </c>
      <c r="AU504" s="44"/>
      <c r="AW504" s="93"/>
      <c r="AY504" s="93"/>
      <c r="AZ504" s="93"/>
      <c r="BA504" s="93"/>
      <c r="BB504" s="155"/>
      <c r="BC504" s="93"/>
      <c r="BE504" s="93"/>
      <c r="BG504" s="93"/>
      <c r="BH504" s="93"/>
      <c r="BI504" s="93"/>
      <c r="BJ504" s="155"/>
      <c r="BK504" s="93"/>
    </row>
    <row r="505">
      <c r="A505" s="166">
        <v>44332.97088736111</v>
      </c>
      <c r="B505" s="44" t="s">
        <v>88</v>
      </c>
      <c r="C505" s="128">
        <v>967.897350108745</v>
      </c>
      <c r="D505" s="44">
        <v>28.0</v>
      </c>
      <c r="E505" s="128">
        <v>967.9073501087449</v>
      </c>
      <c r="F505" s="44" t="s">
        <v>47</v>
      </c>
      <c r="G505" s="128">
        <v>1009.0556980603262</v>
      </c>
      <c r="H505" s="44">
        <v>58.0</v>
      </c>
      <c r="I505" s="128">
        <v>1014.1207692248803</v>
      </c>
      <c r="J505" s="44" t="s">
        <v>61</v>
      </c>
      <c r="K505" s="128">
        <v>1017.8231821039991</v>
      </c>
      <c r="L505" s="44">
        <v>60.0</v>
      </c>
      <c r="M505" s="128">
        <v>1025.24634474115</v>
      </c>
      <c r="N505" s="44"/>
      <c r="O505" s="128"/>
      <c r="P505" s="128"/>
      <c r="Q505" s="128"/>
      <c r="V505" s="44" t="s">
        <v>58</v>
      </c>
      <c r="W505" s="128">
        <v>957.65</v>
      </c>
      <c r="X505" s="44">
        <v>39.0</v>
      </c>
      <c r="Y505" s="128">
        <v>953.9962522651714</v>
      </c>
      <c r="Z505" s="44" t="s">
        <v>92</v>
      </c>
      <c r="AA505" s="128">
        <v>996.3756416984272</v>
      </c>
      <c r="AB505" s="44">
        <v>39.0</v>
      </c>
      <c r="AC505" s="128">
        <v>990.9218899640156</v>
      </c>
      <c r="AD505" s="44" t="s">
        <v>27</v>
      </c>
      <c r="AE505" s="128">
        <v>1058.2634294486763</v>
      </c>
      <c r="AF505" s="44">
        <v>61.0</v>
      </c>
      <c r="AG505" s="128">
        <v>1056.3709289179167</v>
      </c>
      <c r="AH505" s="44"/>
      <c r="AI505" s="128"/>
      <c r="AJ505" s="128"/>
      <c r="AK505" s="128"/>
      <c r="AP505" s="128">
        <v>29.0</v>
      </c>
      <c r="AQ505" s="128">
        <v>27.0</v>
      </c>
      <c r="AT505" s="44">
        <v>504.0</v>
      </c>
      <c r="AU505" s="44"/>
      <c r="AW505" s="93"/>
      <c r="AY505" s="93"/>
      <c r="AZ505" s="93"/>
      <c r="BA505" s="93"/>
      <c r="BB505" s="155"/>
      <c r="BC505" s="93"/>
      <c r="BE505" s="93"/>
      <c r="BG505" s="93"/>
      <c r="BH505" s="93"/>
      <c r="BI505" s="93"/>
      <c r="BJ505" s="155"/>
      <c r="BK505" s="93"/>
    </row>
    <row r="506">
      <c r="A506" s="166">
        <v>44333.91612981481</v>
      </c>
      <c r="B506" s="44" t="s">
        <v>58</v>
      </c>
      <c r="C506" s="128">
        <v>953.9962522651714</v>
      </c>
      <c r="D506" s="128">
        <v>15.0</v>
      </c>
      <c r="E506" s="128">
        <v>949.7442037171537</v>
      </c>
      <c r="F506" s="44" t="s">
        <v>88</v>
      </c>
      <c r="G506" s="128">
        <v>967.9073501087449</v>
      </c>
      <c r="H506" s="128">
        <v>18.0</v>
      </c>
      <c r="I506" s="128">
        <v>964.2987468154154</v>
      </c>
      <c r="J506" s="44" t="s">
        <v>27</v>
      </c>
      <c r="K506" s="128">
        <v>1056.3709289179167</v>
      </c>
      <c r="L506" s="128">
        <v>25.0</v>
      </c>
      <c r="M506" s="128">
        <v>1054.231580759264</v>
      </c>
      <c r="N506" s="44"/>
      <c r="O506" s="128"/>
      <c r="P506" s="128"/>
      <c r="Q506" s="128"/>
      <c r="V506" s="44" t="s">
        <v>123</v>
      </c>
      <c r="W506" s="128">
        <v>973.3226673269737</v>
      </c>
      <c r="X506" s="128">
        <v>14.0</v>
      </c>
      <c r="Y506" s="128">
        <v>975.5140597348492</v>
      </c>
      <c r="Z506" s="44" t="s">
        <v>92</v>
      </c>
      <c r="AA506" s="128">
        <v>990.9218899640156</v>
      </c>
      <c r="AB506" s="128">
        <v>17.0</v>
      </c>
      <c r="AC506" s="128">
        <v>993.7837514091667</v>
      </c>
      <c r="AD506" s="44" t="s">
        <v>47</v>
      </c>
      <c r="AE506" s="128">
        <v>1014.1207692248803</v>
      </c>
      <c r="AF506" s="128">
        <v>25.0</v>
      </c>
      <c r="AG506" s="128">
        <v>1019.0675153718537</v>
      </c>
      <c r="AH506" s="44"/>
      <c r="AI506" s="128"/>
      <c r="AJ506" s="128"/>
      <c r="AK506" s="128"/>
      <c r="AP506" s="128">
        <v>13.0</v>
      </c>
      <c r="AQ506" s="128">
        <v>15.0</v>
      </c>
      <c r="AT506" s="44">
        <v>505.0</v>
      </c>
      <c r="AU506" s="44"/>
      <c r="AW506" s="93"/>
      <c r="AY506" s="93"/>
      <c r="AZ506" s="93"/>
      <c r="BA506" s="93"/>
      <c r="BB506" s="155"/>
      <c r="BC506" s="93"/>
      <c r="BE506" s="93"/>
      <c r="BG506" s="93"/>
      <c r="BH506" s="93"/>
      <c r="BI506" s="93"/>
      <c r="BJ506" s="155"/>
      <c r="BK506" s="93"/>
    </row>
    <row r="507">
      <c r="A507" s="166">
        <v>44334.92975570602</v>
      </c>
      <c r="B507" s="44" t="s">
        <v>123</v>
      </c>
      <c r="C507" s="128">
        <v>975.5140597348492</v>
      </c>
      <c r="D507" s="128">
        <v>13.0</v>
      </c>
      <c r="E507" s="128">
        <v>968.1453531344418</v>
      </c>
      <c r="F507" s="44" t="s">
        <v>110</v>
      </c>
      <c r="G507" s="128">
        <v>982.6517878671689</v>
      </c>
      <c r="H507" s="128">
        <v>15.0</v>
      </c>
      <c r="I507" s="128">
        <v>976.2862277083597</v>
      </c>
      <c r="J507" s="44" t="s">
        <v>27</v>
      </c>
      <c r="K507" s="128">
        <v>1054.231580759264</v>
      </c>
      <c r="L507" s="128">
        <v>16.0</v>
      </c>
      <c r="M507" s="128">
        <v>1047.9658475184806</v>
      </c>
      <c r="N507" s="44"/>
      <c r="O507" s="128"/>
      <c r="P507" s="128"/>
      <c r="Q507" s="128"/>
      <c r="V507" s="44" t="s">
        <v>88</v>
      </c>
      <c r="W507" s="128">
        <v>964.2987468154154</v>
      </c>
      <c r="X507" s="128">
        <v>16.0</v>
      </c>
      <c r="Y507" s="128">
        <v>969.1770281685388</v>
      </c>
      <c r="Z507" s="44" t="s">
        <v>47</v>
      </c>
      <c r="AA507" s="128">
        <v>1019.0675153718537</v>
      </c>
      <c r="AB507" s="128">
        <v>23.0</v>
      </c>
      <c r="AC507" s="128">
        <v>1026.9275303295412</v>
      </c>
      <c r="AD507" s="44" t="s">
        <v>61</v>
      </c>
      <c r="AE507" s="128">
        <v>1025.24634474115</v>
      </c>
      <c r="AF507" s="128">
        <v>22.0</v>
      </c>
      <c r="AG507" s="128">
        <v>1032.5080484303392</v>
      </c>
      <c r="AH507" s="44"/>
      <c r="AI507" s="128"/>
      <c r="AJ507" s="128"/>
      <c r="AK507" s="128"/>
      <c r="AP507" s="128">
        <v>11.0</v>
      </c>
      <c r="AQ507" s="128">
        <v>17.0</v>
      </c>
      <c r="AT507" s="44">
        <v>506.0</v>
      </c>
      <c r="AU507" s="44"/>
      <c r="AW507" s="93"/>
      <c r="AY507" s="93"/>
      <c r="AZ507" s="93"/>
      <c r="BA507" s="93"/>
      <c r="BB507" s="155"/>
      <c r="BC507" s="93"/>
      <c r="BE507" s="93"/>
      <c r="BG507" s="93"/>
      <c r="BH507" s="93"/>
      <c r="BI507" s="93"/>
      <c r="BJ507" s="155"/>
      <c r="BK507" s="93"/>
    </row>
    <row r="508">
      <c r="A508" s="166">
        <v>44334.960664502316</v>
      </c>
      <c r="B508" s="44" t="s">
        <v>123</v>
      </c>
      <c r="C508" s="128">
        <v>968.1453531344418</v>
      </c>
      <c r="D508" s="128">
        <v>9.0</v>
      </c>
      <c r="E508" s="128">
        <v>968.9954138639578</v>
      </c>
      <c r="F508" s="44" t="s">
        <v>47</v>
      </c>
      <c r="G508" s="128">
        <v>1026.9275303295412</v>
      </c>
      <c r="H508" s="128">
        <v>30.0</v>
      </c>
      <c r="I508" s="128">
        <v>1037.5154437135789</v>
      </c>
      <c r="J508" s="44" t="s">
        <v>61</v>
      </c>
      <c r="K508" s="128">
        <v>1032.5080484303392</v>
      </c>
      <c r="L508" s="128">
        <v>22.0</v>
      </c>
      <c r="M508" s="128">
        <v>1039.0700743167856</v>
      </c>
      <c r="N508" s="44"/>
      <c r="O508" s="128"/>
      <c r="P508" s="128"/>
      <c r="Q508" s="128"/>
      <c r="V508" s="44" t="s">
        <v>88</v>
      </c>
      <c r="W508" s="128">
        <v>969.1770281685388</v>
      </c>
      <c r="X508" s="128">
        <v>16.0</v>
      </c>
      <c r="Y508" s="128">
        <v>963.2710756606599</v>
      </c>
      <c r="Z508" s="44" t="s">
        <v>110</v>
      </c>
      <c r="AA508" s="128">
        <v>976.2862277083597</v>
      </c>
      <c r="AB508" s="128">
        <v>10.0</v>
      </c>
      <c r="AC508" s="128">
        <v>967.2612884984107</v>
      </c>
      <c r="AD508" s="44" t="s">
        <v>27</v>
      </c>
      <c r="AE508" s="128">
        <v>1047.9658475184806</v>
      </c>
      <c r="AF508" s="128">
        <v>23.0</v>
      </c>
      <c r="AG508" s="128">
        <v>1044.8967392363083</v>
      </c>
      <c r="AH508" s="44"/>
      <c r="AI508" s="128"/>
      <c r="AJ508" s="128"/>
      <c r="AK508" s="128"/>
      <c r="AP508" s="128">
        <v>18.0</v>
      </c>
      <c r="AQ508" s="128">
        <v>10.0</v>
      </c>
      <c r="AT508" s="44">
        <v>507.0</v>
      </c>
      <c r="AU508" s="44"/>
      <c r="AW508" s="93"/>
      <c r="AY508" s="93"/>
      <c r="AZ508" s="93"/>
      <c r="BA508" s="93"/>
      <c r="BB508" s="155"/>
      <c r="BC508" s="93"/>
      <c r="BE508" s="93"/>
      <c r="BG508" s="93"/>
      <c r="BH508" s="93"/>
      <c r="BI508" s="93"/>
      <c r="BJ508" s="155"/>
      <c r="BK508" s="93"/>
    </row>
    <row r="509">
      <c r="A509" s="166">
        <v>44334.983154560185</v>
      </c>
      <c r="B509" s="44" t="s">
        <v>123</v>
      </c>
      <c r="C509" s="128">
        <v>968.9954138639578</v>
      </c>
      <c r="D509" s="128">
        <v>7.0</v>
      </c>
      <c r="E509" s="128">
        <v>969.8958754739712</v>
      </c>
      <c r="F509" s="44" t="s">
        <v>47</v>
      </c>
      <c r="G509" s="128">
        <v>1037.5154437135789</v>
      </c>
      <c r="H509" s="128">
        <v>28.0</v>
      </c>
      <c r="I509" s="128">
        <v>1046.6149821035656</v>
      </c>
      <c r="J509" s="44"/>
      <c r="K509" s="128"/>
      <c r="L509" s="128"/>
      <c r="M509" s="128"/>
      <c r="N509" s="44"/>
      <c r="O509" s="128"/>
      <c r="P509" s="128"/>
      <c r="Q509" s="128"/>
      <c r="V509" s="44" t="s">
        <v>88</v>
      </c>
      <c r="W509" s="128">
        <v>963.2710756606599</v>
      </c>
      <c r="X509" s="128">
        <v>16.0</v>
      </c>
      <c r="Y509" s="128">
        <v>957.770648889866</v>
      </c>
      <c r="Z509" s="44" t="s">
        <v>61</v>
      </c>
      <c r="AA509" s="128">
        <v>1039.0700743167856</v>
      </c>
      <c r="AB509" s="128">
        <v>20.0</v>
      </c>
      <c r="AC509" s="128">
        <v>1034.5705010875795</v>
      </c>
      <c r="AD509" s="44"/>
      <c r="AE509" s="128"/>
      <c r="AF509" s="128"/>
      <c r="AG509" s="128"/>
      <c r="AH509" s="44"/>
      <c r="AI509" s="128"/>
      <c r="AJ509" s="128"/>
      <c r="AK509" s="128"/>
      <c r="AP509" s="128">
        <v>15.0</v>
      </c>
      <c r="AQ509" s="128">
        <v>13.0</v>
      </c>
      <c r="AT509" s="44">
        <v>508.0</v>
      </c>
      <c r="AU509" s="44"/>
      <c r="AW509" s="93"/>
      <c r="AY509" s="93"/>
      <c r="AZ509" s="93"/>
      <c r="BA509" s="93"/>
      <c r="BB509" s="155"/>
      <c r="BC509" s="93"/>
      <c r="BE509" s="93"/>
      <c r="BG509" s="93"/>
      <c r="BH509" s="93"/>
      <c r="BI509" s="93"/>
      <c r="BJ509" s="155"/>
      <c r="BK509" s="93"/>
    </row>
    <row r="510">
      <c r="A510" s="166">
        <v>44335.949003483795</v>
      </c>
      <c r="B510" s="44" t="s">
        <v>110</v>
      </c>
      <c r="C510" s="128">
        <v>967.2612884984107</v>
      </c>
      <c r="D510" s="128">
        <v>15.0</v>
      </c>
      <c r="E510" s="128">
        <v>972.1381761516233</v>
      </c>
      <c r="F510" s="44" t="s">
        <v>98</v>
      </c>
      <c r="G510" s="128">
        <v>992.7675762657241</v>
      </c>
      <c r="H510" s="128">
        <v>22.0</v>
      </c>
      <c r="I510" s="128">
        <v>1001.0802465381224</v>
      </c>
      <c r="J510" s="44" t="s">
        <v>27</v>
      </c>
      <c r="K510" s="128">
        <v>1044.8967392363083</v>
      </c>
      <c r="L510" s="128">
        <v>20.0</v>
      </c>
      <c r="M510" s="128">
        <v>1051.7071813106975</v>
      </c>
      <c r="N510" s="44"/>
      <c r="O510" s="128"/>
      <c r="P510" s="128"/>
      <c r="Q510" s="128"/>
      <c r="V510" s="44" t="s">
        <v>88</v>
      </c>
      <c r="W510" s="128">
        <v>957.770648889866</v>
      </c>
      <c r="X510" s="128">
        <v>5.0</v>
      </c>
      <c r="Y510" s="128">
        <v>946.5372995343823</v>
      </c>
      <c r="Z510" s="44" t="s">
        <v>92</v>
      </c>
      <c r="AA510" s="128">
        <v>993.7837514091667</v>
      </c>
      <c r="AB510" s="128">
        <v>13.0</v>
      </c>
      <c r="AC510" s="128">
        <v>986.4862600313497</v>
      </c>
      <c r="AD510" s="44" t="s">
        <v>47</v>
      </c>
      <c r="AE510" s="128">
        <v>1046.6149821035656</v>
      </c>
      <c r="AF510" s="128">
        <v>24.0</v>
      </c>
      <c r="AG510" s="128">
        <v>1045.1458228368663</v>
      </c>
      <c r="AH510" s="44"/>
      <c r="AI510" s="128"/>
      <c r="AJ510" s="128"/>
      <c r="AK510" s="128"/>
      <c r="AP510" s="128">
        <v>18.0</v>
      </c>
      <c r="AQ510" s="128">
        <v>10.0</v>
      </c>
      <c r="AT510" s="44">
        <v>509.0</v>
      </c>
      <c r="AU510" s="44"/>
      <c r="AW510" s="93"/>
      <c r="AY510" s="93"/>
      <c r="AZ510" s="93"/>
      <c r="BA510" s="93"/>
      <c r="BB510" s="155"/>
      <c r="BC510" s="93"/>
      <c r="BE510" s="93"/>
      <c r="BG510" s="93"/>
      <c r="BH510" s="93"/>
      <c r="BI510" s="93"/>
      <c r="BJ510" s="155"/>
      <c r="BK510" s="93"/>
    </row>
    <row r="511">
      <c r="A511" s="166">
        <v>44336.928730162035</v>
      </c>
      <c r="B511" s="44" t="s">
        <v>110</v>
      </c>
      <c r="C511" s="128">
        <v>972.1381761516233</v>
      </c>
      <c r="D511" s="128">
        <v>43.0</v>
      </c>
      <c r="E511" s="128">
        <v>1003.2670100403485</v>
      </c>
      <c r="F511" s="44" t="s">
        <v>61</v>
      </c>
      <c r="G511" s="128">
        <v>1034.5705010875795</v>
      </c>
      <c r="H511" s="128">
        <v>30.0</v>
      </c>
      <c r="I511" s="128">
        <v>1040.4127553970568</v>
      </c>
      <c r="J511" s="44" t="s">
        <v>47</v>
      </c>
      <c r="K511" s="128">
        <v>1045.1458228368663</v>
      </c>
      <c r="L511" s="128">
        <v>40.0</v>
      </c>
      <c r="M511" s="128">
        <v>1067.1747346386637</v>
      </c>
      <c r="N511" s="44"/>
      <c r="O511" s="128"/>
      <c r="P511" s="128"/>
      <c r="Q511" s="128"/>
      <c r="V511" s="44" t="s">
        <v>88</v>
      </c>
      <c r="W511" s="128">
        <v>946.5372995343823</v>
      </c>
      <c r="X511" s="128">
        <v>28.0</v>
      </c>
      <c r="Y511" s="128">
        <v>926.8452288159353</v>
      </c>
      <c r="Z511" s="44" t="s">
        <v>98</v>
      </c>
      <c r="AA511" s="128">
        <v>1001.0802465381224</v>
      </c>
      <c r="AB511" s="128">
        <v>21.0</v>
      </c>
      <c r="AC511" s="128">
        <v>964.9992433558081</v>
      </c>
      <c r="AD511" s="44" t="s">
        <v>31</v>
      </c>
      <c r="AE511" s="128">
        <v>1098.7284971744414</v>
      </c>
      <c r="AF511" s="128">
        <v>42.0</v>
      </c>
      <c r="AG511" s="128">
        <v>1095.5015710752027</v>
      </c>
      <c r="AH511" s="44"/>
      <c r="AI511" s="128"/>
      <c r="AJ511" s="128"/>
      <c r="AK511" s="128"/>
      <c r="AP511" s="128">
        <v>25.0</v>
      </c>
      <c r="AQ511" s="44">
        <v>17.0</v>
      </c>
      <c r="AT511" s="44">
        <v>510.0</v>
      </c>
      <c r="AU511" s="44"/>
      <c r="AW511" s="93"/>
      <c r="AY511" s="93"/>
      <c r="AZ511" s="93"/>
      <c r="BA511" s="93"/>
      <c r="BB511" s="155"/>
      <c r="BC511" s="93"/>
      <c r="BE511" s="93"/>
      <c r="BG511" s="93"/>
      <c r="BH511" s="93"/>
      <c r="BI511" s="93"/>
      <c r="BJ511" s="155"/>
      <c r="BK511" s="93"/>
    </row>
    <row r="512">
      <c r="A512" s="166">
        <v>44336.96869364583</v>
      </c>
      <c r="B512" s="44" t="s">
        <v>98</v>
      </c>
      <c r="C512" s="128">
        <v>964.9992433558081</v>
      </c>
      <c r="D512" s="128">
        <v>15.0</v>
      </c>
      <c r="E512" s="128">
        <v>968.5736973513963</v>
      </c>
      <c r="F512" s="44" t="s">
        <v>110</v>
      </c>
      <c r="G512" s="128">
        <v>1003.2670100403485</v>
      </c>
      <c r="H512" s="128">
        <v>18.0</v>
      </c>
      <c r="I512" s="128">
        <v>1007.5052175050873</v>
      </c>
      <c r="J512" s="44" t="s">
        <v>47</v>
      </c>
      <c r="K512" s="128">
        <v>1067.1747346386637</v>
      </c>
      <c r="L512" s="128">
        <v>15.0</v>
      </c>
      <c r="M512" s="128">
        <v>1070.3620731783367</v>
      </c>
      <c r="N512" s="44"/>
      <c r="O512" s="128"/>
      <c r="P512" s="128"/>
      <c r="Q512" s="128"/>
      <c r="V512" s="44" t="s">
        <v>88</v>
      </c>
      <c r="W512" s="128">
        <v>926.8452288159353</v>
      </c>
      <c r="X512" s="128">
        <v>12.0</v>
      </c>
      <c r="Y512" s="128">
        <v>922.2208752199258</v>
      </c>
      <c r="Z512" s="44" t="s">
        <v>61</v>
      </c>
      <c r="AA512" s="128">
        <v>1040.4127553970568</v>
      </c>
      <c r="AB512" s="128">
        <v>15.0</v>
      </c>
      <c r="AC512" s="128">
        <v>1035.86722549189</v>
      </c>
      <c r="AD512" s="44" t="s">
        <v>31</v>
      </c>
      <c r="AE512" s="128">
        <v>1095.5015710752027</v>
      </c>
      <c r="AF512" s="128">
        <v>24.0</v>
      </c>
      <c r="AG512" s="128">
        <v>1093.6714545763791</v>
      </c>
      <c r="AH512" s="44"/>
      <c r="AI512" s="128"/>
      <c r="AJ512" s="128"/>
      <c r="AK512" s="128"/>
      <c r="AP512" s="128">
        <v>15.0</v>
      </c>
      <c r="AQ512" s="128">
        <v>13.0</v>
      </c>
      <c r="AT512" s="44">
        <v>511.0</v>
      </c>
      <c r="AU512" s="44"/>
      <c r="AW512" s="93"/>
      <c r="AY512" s="93"/>
      <c r="AZ512" s="93"/>
      <c r="BA512" s="93"/>
      <c r="BB512" s="155"/>
      <c r="BC512" s="93"/>
      <c r="BE512" s="93"/>
      <c r="BG512" s="93"/>
      <c r="BH512" s="93"/>
      <c r="BI512" s="93"/>
      <c r="BJ512" s="155"/>
      <c r="BK512" s="93"/>
    </row>
    <row r="513">
      <c r="A513" s="166">
        <v>44337.94731054398</v>
      </c>
      <c r="B513" s="44" t="s">
        <v>88</v>
      </c>
      <c r="C513" s="128">
        <v>922.2208752199258</v>
      </c>
      <c r="D513" s="128">
        <v>11.0</v>
      </c>
      <c r="E513" s="128">
        <v>925.263740399599</v>
      </c>
      <c r="F513" s="44" t="s">
        <v>107</v>
      </c>
      <c r="G513" s="128">
        <v>1006.3766092074567</v>
      </c>
      <c r="H513" s="128">
        <v>21.0</v>
      </c>
      <c r="I513" s="128">
        <v>1015.0689812188999</v>
      </c>
      <c r="J513" s="44" t="s">
        <v>27</v>
      </c>
      <c r="K513" s="128">
        <v>1051.7071813106975</v>
      </c>
      <c r="L513" s="128">
        <v>23.0</v>
      </c>
      <c r="M513" s="128">
        <v>1061.6763809755698</v>
      </c>
      <c r="N513" s="44" t="s">
        <v>31</v>
      </c>
      <c r="O513" s="128">
        <v>1093.6714545763791</v>
      </c>
      <c r="P513" s="128">
        <v>34.0</v>
      </c>
      <c r="Q513" s="128">
        <v>1112.9670177203905</v>
      </c>
      <c r="V513" s="44" t="s">
        <v>112</v>
      </c>
      <c r="W513" s="128">
        <v>972.2165063219792</v>
      </c>
      <c r="X513" s="128">
        <v>14.0</v>
      </c>
      <c r="Y513" s="128">
        <v>963.0667228549786</v>
      </c>
      <c r="Z513" s="44" t="s">
        <v>224</v>
      </c>
      <c r="AA513" s="128">
        <v>1001.33</v>
      </c>
      <c r="AB513" s="128">
        <v>1.0</v>
      </c>
      <c r="AC513" s="128">
        <v>980.656616592105</v>
      </c>
      <c r="AD513" s="44" t="s">
        <v>23</v>
      </c>
      <c r="AE513" s="128">
        <v>1035.0683308345256</v>
      </c>
      <c r="AF513" s="128">
        <v>31.0</v>
      </c>
      <c r="AG513" s="128">
        <v>1039.7712355376166</v>
      </c>
      <c r="AH513" s="44" t="s">
        <v>47</v>
      </c>
      <c r="AI513" s="128">
        <v>1070.3620731783367</v>
      </c>
      <c r="AJ513" s="128">
        <v>7.0</v>
      </c>
      <c r="AK513" s="128">
        <v>1054.4823353501415</v>
      </c>
      <c r="AP513" s="128">
        <v>21.0</v>
      </c>
      <c r="AQ513" s="128">
        <v>7.0</v>
      </c>
      <c r="AT513" s="44">
        <v>512.0</v>
      </c>
      <c r="AU513" s="44"/>
      <c r="AW513" s="93"/>
      <c r="AY513" s="93"/>
      <c r="AZ513" s="93"/>
      <c r="BA513" s="93"/>
      <c r="BB513" s="155"/>
      <c r="BC513" s="93"/>
      <c r="BE513" s="93"/>
      <c r="BG513" s="93"/>
      <c r="BH513" s="93"/>
      <c r="BI513" s="93"/>
      <c r="BJ513" s="155"/>
      <c r="BK513" s="93"/>
    </row>
    <row r="514">
      <c r="A514" s="166">
        <v>44337.988750439814</v>
      </c>
      <c r="B514" s="44" t="s">
        <v>88</v>
      </c>
      <c r="C514" s="128">
        <v>925.263740399599</v>
      </c>
      <c r="D514" s="128">
        <v>16.0</v>
      </c>
      <c r="E514" s="128">
        <v>920.4531289907627</v>
      </c>
      <c r="F514" s="44" t="s">
        <v>98</v>
      </c>
      <c r="G514" s="128">
        <v>968.5736973513963</v>
      </c>
      <c r="H514" s="128">
        <v>6.0</v>
      </c>
      <c r="I514" s="128">
        <v>958.9857887325697</v>
      </c>
      <c r="J514" s="44" t="s">
        <v>27</v>
      </c>
      <c r="K514" s="128">
        <v>1061.6763809755698</v>
      </c>
      <c r="L514" s="128">
        <v>23.0</v>
      </c>
      <c r="M514" s="128">
        <v>1058.677514901521</v>
      </c>
      <c r="N514" s="44" t="s">
        <v>31</v>
      </c>
      <c r="O514" s="128">
        <v>1112.9670177203905</v>
      </c>
      <c r="P514" s="128">
        <v>24.0</v>
      </c>
      <c r="Q514" s="128">
        <v>1110.364403822102</v>
      </c>
      <c r="V514" s="44" t="s">
        <v>112</v>
      </c>
      <c r="W514" s="128">
        <v>963.0667228549786</v>
      </c>
      <c r="X514" s="128">
        <v>15.0</v>
      </c>
      <c r="Y514" s="128">
        <v>965.6023192223546</v>
      </c>
      <c r="Z514" s="44" t="s">
        <v>110</v>
      </c>
      <c r="AA514" s="128">
        <v>1007.5052175050873</v>
      </c>
      <c r="AB514" s="128">
        <v>19.0</v>
      </c>
      <c r="AC514" s="128">
        <v>1011.2236325684935</v>
      </c>
      <c r="AD514" s="44" t="s">
        <v>23</v>
      </c>
      <c r="AE514" s="128">
        <v>1039.7712355376166</v>
      </c>
      <c r="AF514" s="128">
        <v>23.0</v>
      </c>
      <c r="AG514" s="128">
        <v>1044.9953006902447</v>
      </c>
      <c r="AH514" s="44" t="s">
        <v>47</v>
      </c>
      <c r="AI514" s="128">
        <v>1054.4823353501415</v>
      </c>
      <c r="AJ514" s="128">
        <v>31.0</v>
      </c>
      <c r="AK514" s="128">
        <v>1063.0042587667313</v>
      </c>
      <c r="AP514" s="128">
        <v>10.0</v>
      </c>
      <c r="AQ514" s="128">
        <v>18.0</v>
      </c>
      <c r="AT514" s="44">
        <v>513.0</v>
      </c>
      <c r="AU514" s="44"/>
      <c r="AW514" s="93"/>
      <c r="AY514" s="93"/>
      <c r="AZ514" s="93"/>
      <c r="BA514" s="93"/>
      <c r="BB514" s="155"/>
      <c r="BC514" s="93"/>
      <c r="BE514" s="93"/>
      <c r="BG514" s="93"/>
      <c r="BH514" s="93"/>
      <c r="BI514" s="93"/>
      <c r="BJ514" s="155"/>
      <c r="BK514" s="93"/>
    </row>
    <row r="515">
      <c r="A515" s="166">
        <v>44338.037244629624</v>
      </c>
      <c r="B515" s="44" t="s">
        <v>88</v>
      </c>
      <c r="C515" s="128">
        <v>920.4531289907627</v>
      </c>
      <c r="D515" s="128">
        <v>11.0</v>
      </c>
      <c r="E515" s="128">
        <v>914.2336955249044</v>
      </c>
      <c r="F515" s="44" t="s">
        <v>98</v>
      </c>
      <c r="G515" s="128">
        <v>958.9857887325697</v>
      </c>
      <c r="H515" s="128">
        <v>14.0</v>
      </c>
      <c r="I515" s="128">
        <v>953.2535212267794</v>
      </c>
      <c r="J515" s="44" t="s">
        <v>110</v>
      </c>
      <c r="K515" s="128">
        <v>1011.2236325684935</v>
      </c>
      <c r="L515" s="128">
        <v>17.0</v>
      </c>
      <c r="M515" s="128">
        <v>1006.0818914844451</v>
      </c>
      <c r="N515" s="44" t="s">
        <v>47</v>
      </c>
      <c r="O515" s="128">
        <v>1063.0042587667313</v>
      </c>
      <c r="P515" s="128">
        <v>22.0</v>
      </c>
      <c r="Q515" s="128">
        <v>1059.3935675096277</v>
      </c>
      <c r="R515" s="44" t="s">
        <v>31</v>
      </c>
      <c r="S515" s="128">
        <v>1110.364403822102</v>
      </c>
      <c r="T515" s="128">
        <v>35.0</v>
      </c>
      <c r="U515" s="128">
        <v>1110.354403822102</v>
      </c>
      <c r="V515" s="44" t="s">
        <v>112</v>
      </c>
      <c r="W515" s="128">
        <v>965.6023192223546</v>
      </c>
      <c r="X515" s="128">
        <v>20.0</v>
      </c>
      <c r="Y515" s="128">
        <v>969.6903122714447</v>
      </c>
      <c r="Z515" s="44" t="s">
        <v>224</v>
      </c>
      <c r="AA515" s="128">
        <v>980.656616592105</v>
      </c>
      <c r="AB515" s="128">
        <v>2.0</v>
      </c>
      <c r="AC515" s="128">
        <v>978.6026677984271</v>
      </c>
      <c r="AD515" s="44" t="s">
        <v>107</v>
      </c>
      <c r="AE515" s="128">
        <v>1015.0689812188999</v>
      </c>
      <c r="AF515" s="128">
        <v>26.0</v>
      </c>
      <c r="AG515" s="128">
        <v>1020.7939419577502</v>
      </c>
      <c r="AH515" s="44" t="s">
        <v>23</v>
      </c>
      <c r="AI515" s="128">
        <v>1044.9953006902447</v>
      </c>
      <c r="AJ515" s="128">
        <v>30.0</v>
      </c>
      <c r="AK515" s="128">
        <v>1051.9597811612362</v>
      </c>
      <c r="AL515" s="44" t="s">
        <v>27</v>
      </c>
      <c r="AM515" s="128">
        <v>1058.677514901521</v>
      </c>
      <c r="AN515" s="128">
        <v>25.0</v>
      </c>
      <c r="AO515" s="128">
        <v>1063.9540294362669</v>
      </c>
      <c r="AP515" s="128">
        <v>12.0</v>
      </c>
      <c r="AQ515" s="128">
        <v>16.0</v>
      </c>
      <c r="AT515" s="44">
        <v>514.0</v>
      </c>
      <c r="AU515" s="44"/>
      <c r="AW515" s="93"/>
      <c r="AY515" s="93"/>
      <c r="AZ515" s="93"/>
      <c r="BA515" s="93"/>
      <c r="BB515" s="155"/>
      <c r="BC515" s="93"/>
      <c r="BE515" s="93"/>
      <c r="BG515" s="93"/>
      <c r="BH515" s="93"/>
      <c r="BI515" s="93"/>
      <c r="BJ515" s="155"/>
      <c r="BK515" s="93"/>
    </row>
    <row r="516">
      <c r="A516" s="166">
        <v>44338.08187740741</v>
      </c>
      <c r="B516" s="44" t="s">
        <v>88</v>
      </c>
      <c r="C516" s="128">
        <v>914.2336955249044</v>
      </c>
      <c r="D516" s="128">
        <v>13.0</v>
      </c>
      <c r="E516" s="128">
        <v>916.4385548381911</v>
      </c>
      <c r="F516" s="44" t="s">
        <v>224</v>
      </c>
      <c r="G516" s="128">
        <v>978.6026677984271</v>
      </c>
      <c r="H516" s="128">
        <v>2.0</v>
      </c>
      <c r="I516" s="128">
        <v>978.6126677984271</v>
      </c>
      <c r="J516" s="44" t="s">
        <v>23</v>
      </c>
      <c r="K516" s="128">
        <v>1051.9597811612362</v>
      </c>
      <c r="L516" s="128">
        <v>38.0</v>
      </c>
      <c r="M516" s="128">
        <v>1063.0296271686027</v>
      </c>
      <c r="N516" s="44" t="s">
        <v>31</v>
      </c>
      <c r="O516" s="128">
        <v>1110.354403822102</v>
      </c>
      <c r="P516" s="128">
        <v>36.0</v>
      </c>
      <c r="Q516" s="128">
        <v>1120.542710068409</v>
      </c>
      <c r="V516" s="44" t="s">
        <v>112</v>
      </c>
      <c r="W516" s="128">
        <v>969.6903122714447</v>
      </c>
      <c r="X516" s="128">
        <v>17.0</v>
      </c>
      <c r="Y516" s="128">
        <v>964.2531872081006</v>
      </c>
      <c r="Z516" s="44" t="s">
        <v>110</v>
      </c>
      <c r="AA516" s="128">
        <v>1006.0818914844451</v>
      </c>
      <c r="AB516" s="128">
        <v>15.0</v>
      </c>
      <c r="AC516" s="128">
        <v>999.50784790124</v>
      </c>
      <c r="AD516" s="44" t="s">
        <v>107</v>
      </c>
      <c r="AE516" s="128">
        <v>1020.7939419577502</v>
      </c>
      <c r="AF516" s="128">
        <v>24.0</v>
      </c>
      <c r="AG516" s="128">
        <v>1017.8934826535171</v>
      </c>
      <c r="AH516" s="44" t="s">
        <v>47</v>
      </c>
      <c r="AI516" s="128">
        <v>1059.3935675096277</v>
      </c>
      <c r="AJ516" s="128">
        <v>19.0</v>
      </c>
      <c r="AK516" s="128">
        <v>1054.30519546041</v>
      </c>
      <c r="AP516" s="128">
        <v>16.0</v>
      </c>
      <c r="AQ516" s="128">
        <v>12.0</v>
      </c>
      <c r="AT516" s="44">
        <v>515.0</v>
      </c>
      <c r="AU516" s="44"/>
      <c r="AW516" s="93"/>
      <c r="AY516" s="93"/>
      <c r="AZ516" s="93"/>
      <c r="BA516" s="93"/>
      <c r="BB516" s="155"/>
      <c r="BC516" s="93"/>
      <c r="BE516" s="93"/>
      <c r="BG516" s="93"/>
      <c r="BH516" s="93"/>
      <c r="BI516" s="93"/>
      <c r="BJ516" s="155"/>
      <c r="BK516" s="93"/>
    </row>
    <row r="517">
      <c r="A517" s="166">
        <v>44338.13422390046</v>
      </c>
      <c r="B517" s="44" t="s">
        <v>88</v>
      </c>
      <c r="C517" s="128">
        <v>916.4385548381911</v>
      </c>
      <c r="D517" s="128">
        <v>14.0</v>
      </c>
      <c r="E517" s="128">
        <v>916.4485548381911</v>
      </c>
      <c r="F517" s="44" t="s">
        <v>47</v>
      </c>
      <c r="G517" s="128">
        <v>1054.30519546041</v>
      </c>
      <c r="H517" s="128">
        <v>39.0</v>
      </c>
      <c r="I517" s="128">
        <v>1064.4094018510284</v>
      </c>
      <c r="J517" s="44" t="s">
        <v>31</v>
      </c>
      <c r="K517" s="128">
        <v>1120.542710068409</v>
      </c>
      <c r="L517" s="128">
        <v>38.0</v>
      </c>
      <c r="M517" s="128">
        <v>1130.0370944805345</v>
      </c>
      <c r="N517" s="44"/>
      <c r="O517" s="128"/>
      <c r="P517" s="128"/>
      <c r="Q517" s="128"/>
      <c r="V517" s="44" t="s">
        <v>110</v>
      </c>
      <c r="W517" s="128">
        <v>999.50784790124</v>
      </c>
      <c r="X517" s="128">
        <v>17.0</v>
      </c>
      <c r="Y517" s="128">
        <v>987.7471118850905</v>
      </c>
      <c r="Z517" s="44" t="s">
        <v>107</v>
      </c>
      <c r="AA517" s="128">
        <v>1017.8934826535171</v>
      </c>
      <c r="AB517" s="128">
        <v>28.0</v>
      </c>
      <c r="AC517" s="128">
        <v>1011.7484054400176</v>
      </c>
      <c r="AD517" s="44" t="s">
        <v>23</v>
      </c>
      <c r="AE517" s="128">
        <v>1063.0296271686027</v>
      </c>
      <c r="AF517" s="128">
        <v>38.0</v>
      </c>
      <c r="AG517" s="128">
        <v>1061.9354403982518</v>
      </c>
      <c r="AH517" s="44"/>
      <c r="AI517" s="128"/>
      <c r="AJ517" s="128"/>
      <c r="AK517" s="128"/>
      <c r="AP517" s="128">
        <v>23.0</v>
      </c>
      <c r="AQ517" s="128">
        <v>18.0</v>
      </c>
      <c r="AT517" s="44">
        <v>516.0</v>
      </c>
      <c r="AU517" s="44"/>
      <c r="AW517" s="93"/>
      <c r="AY517" s="93"/>
      <c r="AZ517" s="93"/>
      <c r="BA517" s="93"/>
      <c r="BB517" s="155"/>
      <c r="BC517" s="93"/>
      <c r="BE517" s="93"/>
      <c r="BG517" s="93"/>
      <c r="BH517" s="93"/>
      <c r="BI517" s="93"/>
      <c r="BJ517" s="155"/>
      <c r="BK517" s="93"/>
    </row>
    <row r="518">
      <c r="A518" s="166">
        <v>44338.90257892361</v>
      </c>
      <c r="B518" s="44" t="s">
        <v>88</v>
      </c>
      <c r="C518" s="128">
        <v>916.4485548381911</v>
      </c>
      <c r="D518" s="128">
        <v>17.0</v>
      </c>
      <c r="E518" s="128">
        <v>922.6670779644999</v>
      </c>
      <c r="F518" s="44" t="s">
        <v>110</v>
      </c>
      <c r="G518" s="128">
        <v>987.7471118850905</v>
      </c>
      <c r="H518" s="128">
        <v>18.0</v>
      </c>
      <c r="I518" s="128">
        <v>993.1680072409567</v>
      </c>
      <c r="J518" s="44" t="s">
        <v>31</v>
      </c>
      <c r="K518" s="128">
        <v>1130.0370944805345</v>
      </c>
      <c r="L518" s="128">
        <v>27.0</v>
      </c>
      <c r="M518" s="128">
        <v>1140.3976759983593</v>
      </c>
      <c r="N518" s="44"/>
      <c r="O518" s="128"/>
      <c r="P518" s="128"/>
      <c r="Q518" s="128"/>
      <c r="V518" s="44" t="s">
        <v>123</v>
      </c>
      <c r="W518" s="128">
        <v>969.8958754739712</v>
      </c>
      <c r="X518" s="128">
        <v>7.0</v>
      </c>
      <c r="Y518" s="128">
        <v>957.4226689676544</v>
      </c>
      <c r="Z518" s="44" t="s">
        <v>61</v>
      </c>
      <c r="AA518" s="128">
        <v>1035.86722549189</v>
      </c>
      <c r="AB518" s="128">
        <v>16.0</v>
      </c>
      <c r="AC518" s="128">
        <v>1028.3899227961865</v>
      </c>
      <c r="AD518" s="44" t="s">
        <v>47</v>
      </c>
      <c r="AE518" s="128">
        <v>1064.4094018510284</v>
      </c>
      <c r="AF518" s="128">
        <v>25.0</v>
      </c>
      <c r="AG518" s="128">
        <v>1062.3599110530486</v>
      </c>
      <c r="AH518" s="44"/>
      <c r="AI518" s="128"/>
      <c r="AJ518" s="128"/>
      <c r="AK518" s="128"/>
      <c r="AP518" s="128">
        <v>17.0</v>
      </c>
      <c r="AQ518" s="128">
        <v>11.0</v>
      </c>
      <c r="AT518" s="44">
        <v>517.0</v>
      </c>
      <c r="AU518" s="44"/>
      <c r="AW518" s="93"/>
      <c r="AY518" s="93"/>
      <c r="AZ518" s="93"/>
      <c r="BA518" s="93"/>
      <c r="BB518" s="155"/>
      <c r="BC518" s="93"/>
      <c r="BE518" s="93"/>
      <c r="BG518" s="93"/>
      <c r="BH518" s="93"/>
      <c r="BI518" s="93"/>
      <c r="BJ518" s="155"/>
      <c r="BK518" s="93"/>
    </row>
    <row r="519">
      <c r="A519" s="166">
        <v>44338.96483163194</v>
      </c>
      <c r="B519" s="44" t="s">
        <v>88</v>
      </c>
      <c r="C519" s="128">
        <v>922.6670779644999</v>
      </c>
      <c r="D519" s="128">
        <v>8.0</v>
      </c>
      <c r="E519" s="128">
        <v>915.5133188173995</v>
      </c>
      <c r="F519" s="44" t="s">
        <v>112</v>
      </c>
      <c r="G519" s="128">
        <v>964.2531872081006</v>
      </c>
      <c r="H519" s="128">
        <v>14.0</v>
      </c>
      <c r="I519" s="128">
        <v>958.6680345339931</v>
      </c>
      <c r="J519" s="44" t="s">
        <v>107</v>
      </c>
      <c r="K519" s="128">
        <v>1011.7484054400176</v>
      </c>
      <c r="L519" s="128">
        <v>14.0</v>
      </c>
      <c r="M519" s="128">
        <v>1005.865889479393</v>
      </c>
      <c r="N519" s="44" t="s">
        <v>27</v>
      </c>
      <c r="O519" s="128">
        <v>1063.9540294362669</v>
      </c>
      <c r="P519" s="128">
        <v>19.0</v>
      </c>
      <c r="Q519" s="128">
        <v>1059.6106478585727</v>
      </c>
      <c r="R519" s="44" t="s">
        <v>31</v>
      </c>
      <c r="S519" s="128">
        <v>1140.3976759983593</v>
      </c>
      <c r="T519" s="128">
        <v>41.0</v>
      </c>
      <c r="U519" s="128">
        <v>1140.3876759983593</v>
      </c>
      <c r="V519" s="44" t="s">
        <v>123</v>
      </c>
      <c r="W519" s="128">
        <v>957.4226689676544</v>
      </c>
      <c r="X519" s="128">
        <v>5.0</v>
      </c>
      <c r="Y519" s="128">
        <v>956.1264256749577</v>
      </c>
      <c r="Z519" s="44" t="s">
        <v>110</v>
      </c>
      <c r="AA519" s="128">
        <v>993.1680072409567</v>
      </c>
      <c r="AB519" s="128">
        <v>23.0</v>
      </c>
      <c r="AC519" s="128">
        <v>997.5737140785075</v>
      </c>
      <c r="AD519" s="44" t="s">
        <v>61</v>
      </c>
      <c r="AE519" s="128">
        <v>1028.3899227961865</v>
      </c>
      <c r="AF519" s="128">
        <v>30.0</v>
      </c>
      <c r="AG519" s="128">
        <v>1034.958749105028</v>
      </c>
      <c r="AH519" s="44" t="s">
        <v>23</v>
      </c>
      <c r="AI519" s="128">
        <v>1061.9354403982518</v>
      </c>
      <c r="AJ519" s="128">
        <v>32.0</v>
      </c>
      <c r="AK519" s="128">
        <v>1069.096569324859</v>
      </c>
      <c r="AL519" s="44" t="s">
        <v>47</v>
      </c>
      <c r="AM519" s="128">
        <v>1062.3599110530486</v>
      </c>
      <c r="AN519" s="128">
        <v>20.0</v>
      </c>
      <c r="AO519" s="128">
        <v>1065.5204922727457</v>
      </c>
      <c r="AP519" s="128">
        <v>12.0</v>
      </c>
      <c r="AQ519" s="128">
        <v>16.0</v>
      </c>
      <c r="AT519" s="44">
        <v>518.0</v>
      </c>
      <c r="AU519" s="44"/>
      <c r="AW519" s="93"/>
      <c r="AY519" s="93"/>
      <c r="AZ519" s="93"/>
      <c r="BA519" s="93"/>
      <c r="BB519" s="155"/>
      <c r="BC519" s="93"/>
      <c r="BE519" s="93"/>
      <c r="BG519" s="93"/>
      <c r="BH519" s="93"/>
      <c r="BI519" s="93"/>
      <c r="BJ519" s="155"/>
      <c r="BK519" s="93"/>
    </row>
    <row r="520">
      <c r="A520" s="166">
        <v>44339.01313104166</v>
      </c>
      <c r="B520" s="44" t="s">
        <v>88</v>
      </c>
      <c r="C520" s="128">
        <v>915.5133188173995</v>
      </c>
      <c r="D520" s="128">
        <v>17.0</v>
      </c>
      <c r="E520" s="128">
        <v>915.5233188173995</v>
      </c>
      <c r="F520" s="44" t="s">
        <v>123</v>
      </c>
      <c r="G520" s="128">
        <v>956.1264256749577</v>
      </c>
      <c r="H520" s="128">
        <v>10.0</v>
      </c>
      <c r="I520" s="128">
        <v>956.1364256749576</v>
      </c>
      <c r="J520" s="44" t="s">
        <v>110</v>
      </c>
      <c r="K520" s="128">
        <v>997.5737140785075</v>
      </c>
      <c r="L520" s="128">
        <v>24.0</v>
      </c>
      <c r="M520" s="128">
        <v>997.5837140785075</v>
      </c>
      <c r="N520" s="44" t="s">
        <v>47</v>
      </c>
      <c r="O520" s="128">
        <v>1065.5204922727457</v>
      </c>
      <c r="P520" s="128">
        <v>27.0</v>
      </c>
      <c r="Q520" s="128">
        <v>1065.5304922727457</v>
      </c>
      <c r="R520" s="44" t="s">
        <v>31</v>
      </c>
      <c r="S520" s="128">
        <v>1140.3876759983593</v>
      </c>
      <c r="T520" s="128">
        <v>34.0</v>
      </c>
      <c r="U520" s="128">
        <v>1140.3976759983593</v>
      </c>
      <c r="V520" s="44" t="s">
        <v>98</v>
      </c>
      <c r="W520" s="128">
        <v>953.2535212267794</v>
      </c>
      <c r="X520" s="128">
        <v>16.0</v>
      </c>
      <c r="Y520" s="128">
        <v>953.2535212267794</v>
      </c>
      <c r="Z520" s="44" t="s">
        <v>112</v>
      </c>
      <c r="AA520" s="128">
        <v>958.6680345339931</v>
      </c>
      <c r="AB520" s="128">
        <v>7.0</v>
      </c>
      <c r="AC520" s="128">
        <v>958.6680345339931</v>
      </c>
      <c r="AD520" s="44" t="s">
        <v>61</v>
      </c>
      <c r="AE520" s="128">
        <v>1034.958749105028</v>
      </c>
      <c r="AF520" s="128">
        <v>25.0</v>
      </c>
      <c r="AG520" s="128">
        <v>1034.958749105028</v>
      </c>
      <c r="AH520" s="44" t="s">
        <v>27</v>
      </c>
      <c r="AI520" s="128">
        <v>1059.6106478585727</v>
      </c>
      <c r="AJ520" s="128">
        <v>24.0</v>
      </c>
      <c r="AK520" s="128">
        <v>1059.6106478585727</v>
      </c>
      <c r="AL520" s="44" t="s">
        <v>23</v>
      </c>
      <c r="AM520" s="128">
        <v>1069.096569324859</v>
      </c>
      <c r="AN520" s="128">
        <v>29.0</v>
      </c>
      <c r="AO520" s="128">
        <v>1069.096569324859</v>
      </c>
      <c r="AP520" s="128">
        <v>14.0</v>
      </c>
      <c r="AQ520" s="128">
        <v>14.0</v>
      </c>
      <c r="AT520" s="44">
        <v>519.0</v>
      </c>
      <c r="AU520" s="44"/>
      <c r="AW520" s="93"/>
      <c r="AY520" s="93"/>
      <c r="AZ520" s="93"/>
      <c r="BA520" s="93"/>
      <c r="BB520" s="155"/>
      <c r="BC520" s="93"/>
      <c r="BE520" s="93"/>
      <c r="BG520" s="93"/>
      <c r="BH520" s="93"/>
      <c r="BI520" s="93"/>
      <c r="BJ520" s="155"/>
      <c r="BK520" s="93"/>
    </row>
    <row r="521">
      <c r="A521" s="166">
        <v>44339.05657417824</v>
      </c>
      <c r="B521" s="44" t="s">
        <v>88</v>
      </c>
      <c r="C521" s="128">
        <v>915.5233188173995</v>
      </c>
      <c r="D521" s="128">
        <v>10.0</v>
      </c>
      <c r="E521" s="128">
        <v>907.478005329596</v>
      </c>
      <c r="F521" s="44" t="s">
        <v>98</v>
      </c>
      <c r="G521" s="128">
        <v>953.2535212267794</v>
      </c>
      <c r="H521" s="128">
        <v>14.0</v>
      </c>
      <c r="I521" s="128">
        <v>946.453653352073</v>
      </c>
      <c r="J521" s="44" t="s">
        <v>47</v>
      </c>
      <c r="K521" s="128">
        <v>1065.5304922727457</v>
      </c>
      <c r="L521" s="128">
        <v>14.0</v>
      </c>
      <c r="M521" s="128">
        <v>1058.0937896752666</v>
      </c>
      <c r="N521" s="44" t="s">
        <v>31</v>
      </c>
      <c r="O521" s="128">
        <v>1140.3976759983593</v>
      </c>
      <c r="P521" s="128">
        <v>34.0</v>
      </c>
      <c r="Q521" s="128">
        <v>1140.3876759983593</v>
      </c>
      <c r="V521" s="44" t="s">
        <v>123</v>
      </c>
      <c r="W521" s="128">
        <v>956.1364256749576</v>
      </c>
      <c r="X521" s="128">
        <v>12.0</v>
      </c>
      <c r="Y521" s="128">
        <v>957.6694937976239</v>
      </c>
      <c r="Z521" s="44" t="s">
        <v>110</v>
      </c>
      <c r="AA521" s="128">
        <v>997.5837140785075</v>
      </c>
      <c r="AB521" s="128">
        <v>12.0</v>
      </c>
      <c r="AC521" s="128">
        <v>998.6952574830705</v>
      </c>
      <c r="AD521" s="44" t="s">
        <v>61</v>
      </c>
      <c r="AE521" s="128">
        <v>1034.958749105028</v>
      </c>
      <c r="AF521" s="128">
        <v>22.0</v>
      </c>
      <c r="AG521" s="128">
        <v>1040.2396185492944</v>
      </c>
      <c r="AH521" s="44" t="s">
        <v>23</v>
      </c>
      <c r="AI521" s="128">
        <v>1069.096569324859</v>
      </c>
      <c r="AJ521" s="128">
        <v>40.0</v>
      </c>
      <c r="AK521" s="128">
        <v>1082.171088353363</v>
      </c>
      <c r="AP521" s="128">
        <v>11.0</v>
      </c>
      <c r="AQ521" s="128">
        <v>17.0</v>
      </c>
      <c r="AT521" s="44">
        <v>520.0</v>
      </c>
      <c r="AU521" s="44"/>
      <c r="AW521" s="93"/>
      <c r="AY521" s="93"/>
      <c r="AZ521" s="93"/>
      <c r="BA521" s="93"/>
      <c r="BB521" s="155"/>
      <c r="BC521" s="93"/>
      <c r="BE521" s="93"/>
      <c r="BG521" s="93"/>
      <c r="BH521" s="93"/>
      <c r="BI521" s="93"/>
      <c r="BJ521" s="155"/>
      <c r="BK521" s="93"/>
    </row>
    <row r="522">
      <c r="A522" s="166">
        <v>44339.0897189699</v>
      </c>
      <c r="B522" s="44" t="s">
        <v>110</v>
      </c>
      <c r="C522" s="128">
        <v>998.6952574830705</v>
      </c>
      <c r="D522" s="128">
        <v>15.0</v>
      </c>
      <c r="E522" s="128">
        <v>1001.7219945129297</v>
      </c>
      <c r="F522" s="44" t="s">
        <v>61</v>
      </c>
      <c r="G522" s="128">
        <v>1040.2396185492944</v>
      </c>
      <c r="H522" s="128">
        <v>23.0</v>
      </c>
      <c r="I522" s="128">
        <v>1047.031170760402</v>
      </c>
      <c r="J522" s="44" t="s">
        <v>31</v>
      </c>
      <c r="K522" s="128">
        <v>1140.3876759983593</v>
      </c>
      <c r="L522" s="128">
        <v>26.0</v>
      </c>
      <c r="M522" s="128">
        <v>1148.5693867573927</v>
      </c>
      <c r="N522" s="44"/>
      <c r="O522" s="128"/>
      <c r="P522" s="128"/>
      <c r="Q522" s="128"/>
      <c r="V522" s="44" t="s">
        <v>34</v>
      </c>
      <c r="W522" s="128">
        <v>1001.4804240834795</v>
      </c>
      <c r="X522" s="128">
        <v>2.0</v>
      </c>
      <c r="Y522" s="128">
        <v>989.6040288166538</v>
      </c>
      <c r="Z522" s="44" t="s">
        <v>47</v>
      </c>
      <c r="AA522" s="128">
        <v>1058.0937896752666</v>
      </c>
      <c r="AB522" s="128">
        <v>25.0</v>
      </c>
      <c r="AC522" s="128">
        <v>1057.5442246265286</v>
      </c>
      <c r="AD522" s="44" t="s">
        <v>23</v>
      </c>
      <c r="AE522" s="128">
        <v>1082.171088353363</v>
      </c>
      <c r="AF522" s="128">
        <v>15.0</v>
      </c>
      <c r="AG522" s="128">
        <v>1076.5970486689268</v>
      </c>
      <c r="AH522" s="44"/>
      <c r="AI522" s="128"/>
      <c r="AJ522" s="128"/>
      <c r="AK522" s="128"/>
      <c r="AP522" s="128">
        <v>16.0</v>
      </c>
      <c r="AQ522" s="128">
        <v>12.0</v>
      </c>
      <c r="AT522" s="44">
        <v>521.0</v>
      </c>
      <c r="AU522" s="44"/>
      <c r="AW522" s="93"/>
      <c r="AY522" s="93"/>
      <c r="AZ522" s="93"/>
      <c r="BA522" s="93"/>
      <c r="BB522" s="155"/>
      <c r="BC522" s="93"/>
      <c r="BE522" s="93"/>
      <c r="BG522" s="93"/>
      <c r="BH522" s="93"/>
      <c r="BI522" s="93"/>
      <c r="BJ522" s="155"/>
      <c r="BK522" s="93"/>
    </row>
    <row r="523">
      <c r="A523" s="166">
        <v>44339.12134241898</v>
      </c>
      <c r="B523" s="44" t="s">
        <v>34</v>
      </c>
      <c r="C523" s="128">
        <v>989.6040288166538</v>
      </c>
      <c r="D523" s="128">
        <v>15.0</v>
      </c>
      <c r="E523" s="128">
        <v>977.8585417481619</v>
      </c>
      <c r="F523" s="44" t="s">
        <v>110</v>
      </c>
      <c r="G523" s="128">
        <v>1001.7219945129297</v>
      </c>
      <c r="H523" s="128">
        <v>13.0</v>
      </c>
      <c r="I523" s="128">
        <v>987.8911035442328</v>
      </c>
      <c r="J523" s="44" t="s">
        <v>31</v>
      </c>
      <c r="K523" s="128">
        <v>1148.5693867573927</v>
      </c>
      <c r="L523" s="128">
        <v>18.0</v>
      </c>
      <c r="M523" s="128">
        <v>1139.1457647945815</v>
      </c>
      <c r="N523" s="44"/>
      <c r="O523" s="128"/>
      <c r="P523" s="128"/>
      <c r="Q523" s="128"/>
      <c r="V523" s="44" t="s">
        <v>61</v>
      </c>
      <c r="W523" s="128">
        <v>1047.031170760402</v>
      </c>
      <c r="X523" s="128">
        <v>20.0</v>
      </c>
      <c r="Y523" s="128">
        <v>1057.7815871166463</v>
      </c>
      <c r="Z523" s="44" t="s">
        <v>47</v>
      </c>
      <c r="AA523" s="128">
        <v>1057.5442246265286</v>
      </c>
      <c r="AB523" s="128">
        <v>21.0</v>
      </c>
      <c r="AC523" s="128">
        <v>1069.2142729049867</v>
      </c>
      <c r="AD523" s="44" t="s">
        <v>23</v>
      </c>
      <c r="AE523" s="128">
        <v>1076.5970486689268</v>
      </c>
      <c r="AF523" s="128">
        <v>22.0</v>
      </c>
      <c r="AG523" s="128">
        <v>1089.1765840342243</v>
      </c>
      <c r="AH523" s="44"/>
      <c r="AI523" s="128"/>
      <c r="AJ523" s="128"/>
      <c r="AK523" s="128"/>
      <c r="AP523" s="128">
        <v>7.0</v>
      </c>
      <c r="AQ523" s="128">
        <v>21.0</v>
      </c>
      <c r="AT523" s="44">
        <v>522.0</v>
      </c>
      <c r="AU523" s="44"/>
      <c r="AW523" s="93"/>
      <c r="AY523" s="93"/>
      <c r="AZ523" s="93"/>
      <c r="BA523" s="93"/>
      <c r="BB523" s="155"/>
      <c r="BC523" s="93"/>
      <c r="BE523" s="93"/>
      <c r="BG523" s="93"/>
      <c r="BH523" s="93"/>
      <c r="BI523" s="93"/>
      <c r="BJ523" s="155"/>
      <c r="BK523" s="93"/>
    </row>
    <row r="524">
      <c r="A524" s="166">
        <v>44339.94274709491</v>
      </c>
      <c r="B524" s="44" t="s">
        <v>34</v>
      </c>
      <c r="C524" s="128">
        <v>977.8585417481619</v>
      </c>
      <c r="D524" s="128">
        <v>21.0</v>
      </c>
      <c r="E524" s="128">
        <v>978.9239253753215</v>
      </c>
      <c r="F524" s="44" t="s">
        <v>61</v>
      </c>
      <c r="G524" s="128">
        <v>1057.7815871166463</v>
      </c>
      <c r="H524" s="128">
        <v>26.0</v>
      </c>
      <c r="I524" s="128">
        <v>1059.7713250424001</v>
      </c>
      <c r="J524" s="44" t="s">
        <v>31</v>
      </c>
      <c r="K524" s="128">
        <v>1139.1457647945815</v>
      </c>
      <c r="L524" s="128">
        <v>42.0</v>
      </c>
      <c r="M524" s="128">
        <v>1145.090643241668</v>
      </c>
      <c r="N524" s="44"/>
      <c r="O524" s="128"/>
      <c r="P524" s="128"/>
      <c r="Q524" s="128"/>
      <c r="V524" s="44" t="s">
        <v>110</v>
      </c>
      <c r="W524" s="128">
        <v>987.8911035442328</v>
      </c>
      <c r="X524" s="128">
        <v>26.0</v>
      </c>
      <c r="Y524" s="128">
        <v>984.8931889112089</v>
      </c>
      <c r="Z524" s="44" t="s">
        <v>47</v>
      </c>
      <c r="AA524" s="128">
        <v>1069.2142729049867</v>
      </c>
      <c r="AB524" s="128">
        <v>23.0</v>
      </c>
      <c r="AC524" s="128">
        <v>1065.2207938400782</v>
      </c>
      <c r="AD524" s="44" t="s">
        <v>23</v>
      </c>
      <c r="AE524" s="128">
        <v>1089.1765840342243</v>
      </c>
      <c r="AF524" s="128">
        <v>31.0</v>
      </c>
      <c r="AG524" s="128">
        <v>1087.167977732157</v>
      </c>
      <c r="AH524" s="44"/>
      <c r="AI524" s="128"/>
      <c r="AJ524" s="128"/>
      <c r="AK524" s="128"/>
      <c r="AP524" s="128">
        <v>23.0</v>
      </c>
      <c r="AQ524" s="128">
        <v>19.0</v>
      </c>
      <c r="AT524" s="44">
        <v>523.0</v>
      </c>
      <c r="AU524" s="44"/>
      <c r="AW524" s="93"/>
      <c r="AY524" s="93"/>
      <c r="AZ524" s="93"/>
      <c r="BA524" s="93"/>
      <c r="BB524" s="155"/>
      <c r="BC524" s="93"/>
      <c r="BE524" s="93"/>
      <c r="BG524" s="93"/>
      <c r="BH524" s="93"/>
      <c r="BI524" s="93"/>
      <c r="BJ524" s="155"/>
      <c r="BK524" s="93"/>
    </row>
    <row r="525">
      <c r="A525" s="166">
        <v>44339.986008611115</v>
      </c>
      <c r="B525" s="44" t="s">
        <v>34</v>
      </c>
      <c r="C525" s="128">
        <v>978.9239253753215</v>
      </c>
      <c r="D525" s="128">
        <v>17.0</v>
      </c>
      <c r="E525" s="128">
        <v>983.8976479829361</v>
      </c>
      <c r="F525" s="44" t="s">
        <v>61</v>
      </c>
      <c r="G525" s="128">
        <v>1059.7713250424001</v>
      </c>
      <c r="H525" s="128">
        <v>24.0</v>
      </c>
      <c r="I525" s="128">
        <v>1068.1398535168394</v>
      </c>
      <c r="J525" s="44" t="s">
        <v>23</v>
      </c>
      <c r="K525" s="128">
        <v>1087.167977732157</v>
      </c>
      <c r="L525" s="128">
        <v>21.0</v>
      </c>
      <c r="M525" s="128">
        <v>1093.8257266501032</v>
      </c>
      <c r="N525" s="44"/>
      <c r="O525" s="128"/>
      <c r="P525" s="128"/>
      <c r="Q525" s="128"/>
      <c r="V525" s="44" t="s">
        <v>88</v>
      </c>
      <c r="W525" s="128">
        <v>907.478005329596</v>
      </c>
      <c r="X525" s="128">
        <v>9.0</v>
      </c>
      <c r="Y525" s="128">
        <v>898.2956261850014</v>
      </c>
      <c r="Z525" s="44" t="s">
        <v>47</v>
      </c>
      <c r="AA525" s="128">
        <v>1065.2207938400782</v>
      </c>
      <c r="AB525" s="128">
        <v>12.0</v>
      </c>
      <c r="AC525" s="128">
        <v>1056.4990037008258</v>
      </c>
      <c r="AD525" s="44" t="s">
        <v>31</v>
      </c>
      <c r="AE525" s="128">
        <v>1145.090643241668</v>
      </c>
      <c r="AF525" s="128">
        <v>24.0</v>
      </c>
      <c r="AG525" s="128">
        <v>1142.994812525515</v>
      </c>
      <c r="AH525" s="44"/>
      <c r="AI525" s="128"/>
      <c r="AJ525" s="128"/>
      <c r="AK525" s="128"/>
      <c r="AP525" s="128">
        <v>18.0</v>
      </c>
      <c r="AQ525" s="128">
        <v>10.0</v>
      </c>
      <c r="AT525" s="44">
        <v>524.0</v>
      </c>
      <c r="AU525" s="44"/>
      <c r="AW525" s="93"/>
      <c r="AY525" s="93"/>
      <c r="AZ525" s="93"/>
      <c r="BA525" s="93"/>
      <c r="BB525" s="155"/>
      <c r="BC525" s="93"/>
      <c r="BE525" s="93"/>
      <c r="BG525" s="93"/>
      <c r="BH525" s="93"/>
      <c r="BI525" s="93"/>
      <c r="BJ525" s="155"/>
      <c r="BK525" s="93"/>
    </row>
    <row r="526">
      <c r="A526" s="166">
        <v>44340.94932895833</v>
      </c>
      <c r="B526" s="44" t="s">
        <v>88</v>
      </c>
      <c r="C526" s="128">
        <v>898.2956261850014</v>
      </c>
      <c r="D526" s="128">
        <v>21.0</v>
      </c>
      <c r="E526" s="128">
        <v>894.8594606849259</v>
      </c>
      <c r="F526" s="44" t="s">
        <v>47</v>
      </c>
      <c r="G526" s="128">
        <v>1056.4990037008258</v>
      </c>
      <c r="H526" s="128">
        <v>14.0</v>
      </c>
      <c r="I526" s="128">
        <v>1047.4514934324502</v>
      </c>
      <c r="J526" s="44" t="s">
        <v>23</v>
      </c>
      <c r="K526" s="128">
        <v>1093.8257266501032</v>
      </c>
      <c r="L526" s="128">
        <v>15.0</v>
      </c>
      <c r="M526" s="128">
        <v>1085.3094024185546</v>
      </c>
      <c r="N526" s="44"/>
      <c r="O526" s="128"/>
      <c r="P526" s="128"/>
      <c r="Q526" s="128"/>
      <c r="V526" s="44" t="s">
        <v>110</v>
      </c>
      <c r="W526" s="128">
        <v>984.8931889112089</v>
      </c>
      <c r="X526" s="128">
        <v>18.0</v>
      </c>
      <c r="Y526" s="128">
        <v>991.459589897222</v>
      </c>
      <c r="Z526" s="44" t="s">
        <v>92</v>
      </c>
      <c r="AA526" s="128">
        <v>986.4862600313497</v>
      </c>
      <c r="AB526" s="128">
        <v>16.0</v>
      </c>
      <c r="AC526" s="128">
        <v>991.8709200355971</v>
      </c>
      <c r="AD526" s="44" t="s">
        <v>61</v>
      </c>
      <c r="AE526" s="128">
        <v>1068.1398535168394</v>
      </c>
      <c r="AF526" s="128">
        <v>23.0</v>
      </c>
      <c r="AG526" s="128">
        <v>1077.188792526579</v>
      </c>
      <c r="AH526" s="44"/>
      <c r="AI526" s="128"/>
      <c r="AJ526" s="128"/>
      <c r="AK526" s="128"/>
      <c r="AP526" s="128">
        <v>12.0</v>
      </c>
      <c r="AQ526" s="128">
        <v>16.0</v>
      </c>
      <c r="AT526" s="44">
        <v>525.0</v>
      </c>
      <c r="AU526" s="44"/>
      <c r="AW526" s="93"/>
      <c r="AY526" s="93"/>
      <c r="AZ526" s="93"/>
      <c r="BA526" s="93"/>
      <c r="BB526" s="155"/>
      <c r="BC526" s="93"/>
      <c r="BE526" s="93"/>
      <c r="BG526" s="93"/>
      <c r="BH526" s="93"/>
      <c r="BI526" s="93"/>
      <c r="BJ526" s="155"/>
      <c r="BK526" s="93"/>
    </row>
    <row r="527">
      <c r="A527" s="166">
        <v>44340.98747476852</v>
      </c>
      <c r="B527" s="44" t="s">
        <v>88</v>
      </c>
      <c r="C527" s="128">
        <v>894.8594606849259</v>
      </c>
      <c r="D527" s="128">
        <v>16.0</v>
      </c>
      <c r="E527" s="128">
        <v>906.1998068739907</v>
      </c>
      <c r="F527" s="44" t="s">
        <v>61</v>
      </c>
      <c r="G527" s="128">
        <v>1077.188792526579</v>
      </c>
      <c r="H527" s="44">
        <v>22.0</v>
      </c>
      <c r="I527" s="128">
        <v>1091.5308899823917</v>
      </c>
      <c r="J527" s="44" t="s">
        <v>23</v>
      </c>
      <c r="K527" s="128">
        <v>1085.3094024185546</v>
      </c>
      <c r="L527" s="128">
        <v>26.0</v>
      </c>
      <c r="M527" s="128">
        <v>1104.626958773677</v>
      </c>
      <c r="N527" s="44"/>
      <c r="O527" s="128"/>
      <c r="P527" s="128"/>
      <c r="Q527" s="128"/>
      <c r="V527" s="44" t="s">
        <v>110</v>
      </c>
      <c r="W527" s="128">
        <v>991.459589897222</v>
      </c>
      <c r="X527" s="128">
        <v>12.0</v>
      </c>
      <c r="Y527" s="128">
        <v>974.3138834861212</v>
      </c>
      <c r="Z527" s="44" t="s">
        <v>47</v>
      </c>
      <c r="AA527" s="128">
        <v>1047.4514934324502</v>
      </c>
      <c r="AB527" s="128">
        <v>14.0</v>
      </c>
      <c r="AC527" s="128">
        <v>1032.3002992482197</v>
      </c>
      <c r="AD527" s="44" t="s">
        <v>27</v>
      </c>
      <c r="AE527" s="128">
        <v>1059.6106478585727</v>
      </c>
      <c r="AF527" s="128">
        <v>16.0</v>
      </c>
      <c r="AG527" s="128">
        <v>1046.907548453904</v>
      </c>
      <c r="AH527" s="44"/>
      <c r="AI527" s="128"/>
      <c r="AJ527" s="128"/>
      <c r="AK527" s="128"/>
      <c r="AP527" s="128">
        <v>19.0</v>
      </c>
      <c r="AQ527" s="128">
        <v>9.0</v>
      </c>
      <c r="AT527" s="44">
        <v>526.0</v>
      </c>
      <c r="AU527" s="44"/>
      <c r="AW527" s="93"/>
      <c r="AY527" s="93"/>
      <c r="AZ527" s="93"/>
      <c r="BA527" s="93"/>
      <c r="BB527" s="155"/>
      <c r="BC527" s="93"/>
      <c r="BE527" s="93"/>
      <c r="BG527" s="93"/>
      <c r="BH527" s="93"/>
      <c r="BI527" s="93"/>
      <c r="BJ527" s="155"/>
      <c r="BK527" s="93"/>
    </row>
    <row r="528">
      <c r="A528" s="166">
        <v>44341.02228859953</v>
      </c>
      <c r="B528" s="44" t="s">
        <v>88</v>
      </c>
      <c r="C528" s="128">
        <v>906.1998068739907</v>
      </c>
      <c r="D528" s="128">
        <v>16.0</v>
      </c>
      <c r="E528" s="128">
        <v>914.1889934972629</v>
      </c>
      <c r="F528" s="44" t="s">
        <v>27</v>
      </c>
      <c r="G528" s="128">
        <v>1046.907548453904</v>
      </c>
      <c r="H528" s="128">
        <v>20.0</v>
      </c>
      <c r="I528" s="128">
        <v>1055.8125549109518</v>
      </c>
      <c r="J528" s="44" t="s">
        <v>31</v>
      </c>
      <c r="K528" s="128">
        <v>1142.994812525515</v>
      </c>
      <c r="L528" s="128">
        <v>33.0</v>
      </c>
      <c r="M528" s="128">
        <v>1166.100619445195</v>
      </c>
      <c r="N528" s="44"/>
      <c r="O528" s="128"/>
      <c r="P528" s="128"/>
      <c r="Q528" s="128"/>
      <c r="V528" s="44" t="s">
        <v>110</v>
      </c>
      <c r="W528" s="128">
        <v>974.3138834861212</v>
      </c>
      <c r="X528" s="128">
        <v>13.0</v>
      </c>
      <c r="Y528" s="128">
        <v>959.9744769474929</v>
      </c>
      <c r="Z528" s="44" t="s">
        <v>47</v>
      </c>
      <c r="AA528" s="128">
        <v>1032.3002992482197</v>
      </c>
      <c r="AB528" s="128">
        <v>15.0</v>
      </c>
      <c r="AC528" s="128">
        <v>1019.5696217155311</v>
      </c>
      <c r="AD528" s="44" t="s">
        <v>61</v>
      </c>
      <c r="AE528" s="128">
        <v>1091.5308899823917</v>
      </c>
      <c r="AF528" s="128">
        <v>15.0</v>
      </c>
      <c r="AG528" s="128">
        <v>1078.6009740537086</v>
      </c>
      <c r="AH528" s="44"/>
      <c r="AI528" s="128"/>
      <c r="AJ528" s="128"/>
      <c r="AK528" s="128"/>
      <c r="AP528" s="128">
        <v>21.0</v>
      </c>
      <c r="AQ528" s="128">
        <v>7.0</v>
      </c>
      <c r="AT528" s="44">
        <v>527.0</v>
      </c>
      <c r="AU528" s="44"/>
      <c r="AW528" s="93"/>
      <c r="AY528" s="93"/>
      <c r="AZ528" s="93"/>
      <c r="BA528" s="93"/>
      <c r="BB528" s="155"/>
      <c r="BC528" s="93"/>
      <c r="BE528" s="93"/>
      <c r="BG528" s="93"/>
      <c r="BH528" s="93"/>
      <c r="BI528" s="93"/>
      <c r="BJ528" s="155"/>
      <c r="BK528" s="93"/>
    </row>
    <row r="529">
      <c r="A529" s="166">
        <v>44341.90447243056</v>
      </c>
      <c r="B529" s="44" t="s">
        <v>88</v>
      </c>
      <c r="C529" s="128">
        <v>914.1889934972629</v>
      </c>
      <c r="D529" s="128">
        <v>16.0</v>
      </c>
      <c r="E529" s="128">
        <v>903.8721768901213</v>
      </c>
      <c r="F529" s="44" t="s">
        <v>47</v>
      </c>
      <c r="G529" s="128">
        <v>1019.5696217155311</v>
      </c>
      <c r="H529" s="128">
        <v>13.0</v>
      </c>
      <c r="I529" s="128">
        <v>1004.2829337105742</v>
      </c>
      <c r="J529" s="44" t="s">
        <v>61</v>
      </c>
      <c r="K529" s="128">
        <v>1078.6009740537086</v>
      </c>
      <c r="L529" s="128">
        <v>15.0</v>
      </c>
      <c r="M529" s="128">
        <v>1065.204478665807</v>
      </c>
      <c r="N529" s="44"/>
      <c r="O529" s="128"/>
      <c r="P529" s="128"/>
      <c r="Q529" s="128"/>
      <c r="V529" s="44" t="s">
        <v>110</v>
      </c>
      <c r="W529" s="128">
        <v>959.9744769474929</v>
      </c>
      <c r="X529" s="128">
        <v>21.0</v>
      </c>
      <c r="Y529" s="128">
        <v>972.6707242582763</v>
      </c>
      <c r="Z529" s="44" t="s">
        <v>107</v>
      </c>
      <c r="AA529" s="128">
        <v>1005.865889479393</v>
      </c>
      <c r="AB529" s="128">
        <v>11.0</v>
      </c>
      <c r="AC529" s="128">
        <v>1006.8055720338241</v>
      </c>
      <c r="AD529" s="44" t="s">
        <v>27</v>
      </c>
      <c r="AE529" s="128">
        <v>1055.8125549109518</v>
      </c>
      <c r="AF529" s="128">
        <v>34.0</v>
      </c>
      <c r="AG529" s="128">
        <v>1081.1766250457372</v>
      </c>
      <c r="AH529" s="44"/>
      <c r="AI529" s="128"/>
      <c r="AJ529" s="128"/>
      <c r="AK529" s="128"/>
      <c r="AP529" s="128">
        <v>8.0</v>
      </c>
      <c r="AQ529" s="128">
        <v>20.0</v>
      </c>
      <c r="AT529" s="44">
        <v>528.0</v>
      </c>
      <c r="AU529" s="44"/>
      <c r="AW529" s="93"/>
      <c r="AY529" s="93"/>
      <c r="AZ529" s="93"/>
      <c r="BA529" s="93"/>
      <c r="BB529" s="155"/>
      <c r="BC529" s="93"/>
      <c r="BE529" s="93"/>
      <c r="BG529" s="93"/>
      <c r="BH529" s="93"/>
      <c r="BI529" s="93"/>
      <c r="BJ529" s="155"/>
      <c r="BK529" s="93"/>
    </row>
    <row r="530">
      <c r="A530" s="166">
        <v>44341.95603622685</v>
      </c>
      <c r="B530" s="44" t="s">
        <v>88</v>
      </c>
      <c r="C530" s="128">
        <v>903.8721768901213</v>
      </c>
      <c r="D530" s="128">
        <v>22.0</v>
      </c>
      <c r="E530" s="128">
        <v>912.9434031328109</v>
      </c>
      <c r="F530" s="44" t="s">
        <v>110</v>
      </c>
      <c r="G530" s="128">
        <v>972.6707242582763</v>
      </c>
      <c r="H530" s="128">
        <v>16.0</v>
      </c>
      <c r="I530" s="128">
        <v>976.4578961562715</v>
      </c>
      <c r="J530" s="44" t="s">
        <v>47</v>
      </c>
      <c r="K530" s="128">
        <v>1004.2829337105742</v>
      </c>
      <c r="L530" s="128">
        <v>21.0</v>
      </c>
      <c r="M530" s="128">
        <v>1011.0415237983478</v>
      </c>
      <c r="N530" s="44" t="s">
        <v>107</v>
      </c>
      <c r="O530" s="128">
        <v>1006.8055720338241</v>
      </c>
      <c r="P530" s="128">
        <v>15.0</v>
      </c>
      <c r="Q530" s="128">
        <v>1009.5411636874217</v>
      </c>
      <c r="R530" s="44" t="s">
        <v>31</v>
      </c>
      <c r="S530" s="128">
        <v>1166.100619445195</v>
      </c>
      <c r="T530" s="128">
        <v>38.0</v>
      </c>
      <c r="U530" s="128">
        <v>1183.748039563139</v>
      </c>
      <c r="V530" s="44" t="s">
        <v>123</v>
      </c>
      <c r="W530" s="128">
        <v>957.6694937976239</v>
      </c>
      <c r="X530" s="128">
        <v>18.0</v>
      </c>
      <c r="Y530" s="128">
        <v>949.5312516188811</v>
      </c>
      <c r="Z530" s="44" t="s">
        <v>112</v>
      </c>
      <c r="AA530" s="128">
        <v>958.6680345339931</v>
      </c>
      <c r="AB530" s="128">
        <v>13.0</v>
      </c>
      <c r="AC530" s="128">
        <v>947.1833905984738</v>
      </c>
      <c r="AD530" s="44" t="s">
        <v>92</v>
      </c>
      <c r="AE530" s="128">
        <v>991.8709200355971</v>
      </c>
      <c r="AF530" s="128">
        <v>25.0</v>
      </c>
      <c r="AG530" s="128">
        <v>988.019977355002</v>
      </c>
      <c r="AH530" s="44" t="s">
        <v>61</v>
      </c>
      <c r="AI530" s="128">
        <v>1065.204478665807</v>
      </c>
      <c r="AJ530" s="128">
        <v>19.0</v>
      </c>
      <c r="AK530" s="128">
        <v>1056.9572023455198</v>
      </c>
      <c r="AL530" s="44" t="s">
        <v>27</v>
      </c>
      <c r="AM530" s="128">
        <v>1081.1766250457372</v>
      </c>
      <c r="AN530" s="128">
        <v>19.0</v>
      </c>
      <c r="AO530" s="128">
        <v>1072.8977301608818</v>
      </c>
      <c r="AP530" s="128">
        <v>19.0</v>
      </c>
      <c r="AQ530" s="128">
        <v>9.0</v>
      </c>
      <c r="AT530" s="44">
        <v>529.0</v>
      </c>
      <c r="AU530" s="44"/>
      <c r="AW530" s="93"/>
      <c r="AY530" s="93"/>
      <c r="AZ530" s="93"/>
      <c r="BA530" s="93"/>
      <c r="BB530" s="155"/>
      <c r="BC530" s="93"/>
      <c r="BE530" s="93"/>
      <c r="BG530" s="93"/>
      <c r="BH530" s="93"/>
      <c r="BI530" s="93"/>
      <c r="BJ530" s="155"/>
      <c r="BK530" s="93"/>
    </row>
    <row r="531">
      <c r="A531" s="166">
        <v>44342.00459519676</v>
      </c>
      <c r="B531" s="44" t="s">
        <v>88</v>
      </c>
      <c r="C531" s="128">
        <v>912.9434031328109</v>
      </c>
      <c r="D531" s="128">
        <v>17.0</v>
      </c>
      <c r="E531" s="128">
        <v>910.1427426917713</v>
      </c>
      <c r="F531" s="44" t="s">
        <v>112</v>
      </c>
      <c r="G531" s="128">
        <v>947.1833905984738</v>
      </c>
      <c r="H531" s="128">
        <v>17.0</v>
      </c>
      <c r="I531" s="128">
        <v>944.2017117986716</v>
      </c>
      <c r="J531" s="44" t="s">
        <v>47</v>
      </c>
      <c r="K531" s="128">
        <v>1011.0415237983478</v>
      </c>
      <c r="L531" s="128">
        <v>21.0</v>
      </c>
      <c r="M531" s="128">
        <v>1008.6739712774004</v>
      </c>
      <c r="N531" s="44" t="s">
        <v>31</v>
      </c>
      <c r="O531" s="128">
        <v>1183.748039563139</v>
      </c>
      <c r="P531" s="128">
        <v>24.0</v>
      </c>
      <c r="Q531" s="128">
        <v>1181.8979313249283</v>
      </c>
      <c r="V531" s="44" t="s">
        <v>123</v>
      </c>
      <c r="W531" s="128">
        <v>949.5312516188811</v>
      </c>
      <c r="X531" s="128">
        <v>12.0</v>
      </c>
      <c r="Y531" s="128">
        <v>950.7340816964241</v>
      </c>
      <c r="Z531" s="44" t="s">
        <v>110</v>
      </c>
      <c r="AA531" s="128">
        <v>976.4578961562715</v>
      </c>
      <c r="AB531" s="128">
        <v>18.0</v>
      </c>
      <c r="AC531" s="128">
        <v>978.8085024329532</v>
      </c>
      <c r="AD531" s="44" t="s">
        <v>61</v>
      </c>
      <c r="AE531" s="128">
        <v>1056.9572023455198</v>
      </c>
      <c r="AF531" s="128">
        <v>26.0</v>
      </c>
      <c r="AG531" s="128">
        <v>1060.811719470063</v>
      </c>
      <c r="AH531" s="44" t="s">
        <v>27</v>
      </c>
      <c r="AI531" s="128">
        <v>1072.8977301608818</v>
      </c>
      <c r="AJ531" s="128">
        <v>20.0</v>
      </c>
      <c r="AK531" s="128">
        <v>1075.4897766821136</v>
      </c>
      <c r="AP531" s="128">
        <v>13.0</v>
      </c>
      <c r="AQ531" s="128">
        <v>15.0</v>
      </c>
      <c r="AT531" s="44">
        <v>530.0</v>
      </c>
      <c r="AU531" s="44"/>
      <c r="AW531" s="93"/>
      <c r="AY531" s="93"/>
      <c r="AZ531" s="93"/>
      <c r="BA531" s="93"/>
      <c r="BB531" s="155"/>
      <c r="BC531" s="93"/>
      <c r="BE531" s="93"/>
      <c r="BG531" s="93"/>
      <c r="BH531" s="93"/>
      <c r="BI531" s="93"/>
      <c r="BJ531" s="155"/>
      <c r="BK531" s="93"/>
    </row>
    <row r="532">
      <c r="A532" s="166">
        <v>44343.938935949074</v>
      </c>
      <c r="B532" s="44" t="s">
        <v>88</v>
      </c>
      <c r="C532" s="128">
        <v>910.1427426917713</v>
      </c>
      <c r="D532" s="128">
        <v>11.0</v>
      </c>
      <c r="E532" s="128">
        <v>905.2845066007015</v>
      </c>
      <c r="F532" s="44" t="s">
        <v>47</v>
      </c>
      <c r="G532" s="128">
        <v>1008.6739712774004</v>
      </c>
      <c r="H532" s="128">
        <v>18.0</v>
      </c>
      <c r="I532" s="128">
        <v>1005.2709669139693</v>
      </c>
      <c r="J532" s="44" t="s">
        <v>107</v>
      </c>
      <c r="K532" s="128">
        <v>1009.5411636874217</v>
      </c>
      <c r="L532" s="128">
        <v>24.0</v>
      </c>
      <c r="M532" s="128">
        <v>1007.8024041419225</v>
      </c>
      <c r="N532" s="44"/>
      <c r="O532" s="128"/>
      <c r="P532" s="128"/>
      <c r="Q532" s="128"/>
      <c r="V532" s="44" t="s">
        <v>112</v>
      </c>
      <c r="W532" s="128">
        <v>944.2017117986716</v>
      </c>
      <c r="X532" s="128">
        <v>30.0</v>
      </c>
      <c r="Y532" s="128">
        <v>950.272381355472</v>
      </c>
      <c r="Z532" s="44" t="s">
        <v>110</v>
      </c>
      <c r="AA532" s="128">
        <v>978.8085024329532</v>
      </c>
      <c r="AB532" s="128">
        <v>15.0</v>
      </c>
      <c r="AC532" s="128">
        <v>980.5162179409449</v>
      </c>
      <c r="AD532" s="44" t="s">
        <v>92</v>
      </c>
      <c r="AE532" s="128">
        <v>988.019977355002</v>
      </c>
      <c r="AF532" s="128">
        <v>17.0</v>
      </c>
      <c r="AG532" s="128">
        <v>990.2415922902098</v>
      </c>
      <c r="AH532" s="44"/>
      <c r="AI532" s="128"/>
      <c r="AJ532" s="128"/>
      <c r="AK532" s="128"/>
      <c r="AP532" s="128">
        <v>13.0</v>
      </c>
      <c r="AQ532" s="128">
        <v>15.0</v>
      </c>
      <c r="AT532" s="44">
        <v>531.0</v>
      </c>
      <c r="AU532" s="44"/>
      <c r="AW532" s="93"/>
      <c r="AY532" s="93"/>
      <c r="AZ532" s="93"/>
      <c r="BA532" s="93"/>
      <c r="BB532" s="155"/>
      <c r="BC532" s="93"/>
      <c r="BE532" s="93"/>
      <c r="BG532" s="93"/>
      <c r="BH532" s="93"/>
      <c r="BI532" s="93"/>
      <c r="BJ532" s="155"/>
      <c r="BK532" s="93"/>
    </row>
    <row r="533">
      <c r="A533" s="166">
        <v>44343.976228263884</v>
      </c>
      <c r="B533" s="44" t="s">
        <v>88</v>
      </c>
      <c r="C533" s="128">
        <v>905.2845066007015</v>
      </c>
      <c r="D533" s="128">
        <v>14.0</v>
      </c>
      <c r="E533" s="128">
        <v>897.7901777161636</v>
      </c>
      <c r="F533" s="44" t="s">
        <v>47</v>
      </c>
      <c r="G533" s="128">
        <v>1005.2709669139693</v>
      </c>
      <c r="H533" s="128">
        <v>8.0</v>
      </c>
      <c r="I533" s="128">
        <v>993.4695130326529</v>
      </c>
      <c r="J533" s="44" t="s">
        <v>107</v>
      </c>
      <c r="K533" s="128">
        <v>1007.8024041419225</v>
      </c>
      <c r="L533" s="128">
        <v>28.0</v>
      </c>
      <c r="M533" s="128">
        <v>1007.0981869077768</v>
      </c>
      <c r="N533" s="44"/>
      <c r="O533" s="128"/>
      <c r="P533" s="128"/>
      <c r="Q533" s="128"/>
      <c r="V533" s="44" t="s">
        <v>112</v>
      </c>
      <c r="W533" s="128">
        <v>950.272381355472</v>
      </c>
      <c r="X533" s="128">
        <v>23.0</v>
      </c>
      <c r="Y533" s="128">
        <v>958.8458505873691</v>
      </c>
      <c r="Z533" s="44" t="s">
        <v>110</v>
      </c>
      <c r="AA533" s="128">
        <v>980.5162179409449</v>
      </c>
      <c r="AB533" s="128">
        <v>19.0</v>
      </c>
      <c r="AC533" s="128">
        <v>986.5487195156876</v>
      </c>
      <c r="AD533" s="44" t="s">
        <v>92</v>
      </c>
      <c r="AE533" s="128">
        <v>990.2415922902098</v>
      </c>
      <c r="AF533" s="128">
        <v>18.0</v>
      </c>
      <c r="AG533" s="128">
        <v>995.63562148357</v>
      </c>
      <c r="AH533" s="44"/>
      <c r="AI533" s="128"/>
      <c r="AJ533" s="128"/>
      <c r="AK533" s="128"/>
      <c r="AP533" s="128">
        <v>12.0</v>
      </c>
      <c r="AQ533" s="128">
        <v>16.0</v>
      </c>
      <c r="AT533" s="44">
        <v>532.0</v>
      </c>
      <c r="AU533" s="44"/>
      <c r="AW533" s="93"/>
      <c r="AY533" s="93"/>
      <c r="AZ533" s="93"/>
      <c r="BA533" s="93"/>
      <c r="BB533" s="155"/>
      <c r="BC533" s="93"/>
      <c r="BE533" s="93"/>
      <c r="BG533" s="93"/>
      <c r="BH533" s="93"/>
      <c r="BI533" s="93"/>
      <c r="BJ533" s="155"/>
      <c r="BK533" s="93"/>
    </row>
    <row r="534">
      <c r="A534" s="166">
        <v>44345.002280162036</v>
      </c>
      <c r="B534" s="44" t="s">
        <v>88</v>
      </c>
      <c r="C534" s="128">
        <v>897.7901777161636</v>
      </c>
      <c r="D534" s="128">
        <v>13.0</v>
      </c>
      <c r="E534" s="128">
        <v>900.0931661412327</v>
      </c>
      <c r="F534" s="44" t="s">
        <v>112</v>
      </c>
      <c r="G534" s="128">
        <v>958.8458505873691</v>
      </c>
      <c r="H534" s="128">
        <v>19.0</v>
      </c>
      <c r="I534" s="128">
        <v>962.431188043029</v>
      </c>
      <c r="J534" s="44" t="s">
        <v>27</v>
      </c>
      <c r="K534" s="128">
        <v>1075.4897766821136</v>
      </c>
      <c r="L534" s="128">
        <v>22.0</v>
      </c>
      <c r="M534" s="128">
        <v>1079.6014508013848</v>
      </c>
      <c r="N534" s="44"/>
      <c r="O534" s="128"/>
      <c r="P534" s="128"/>
      <c r="Q534" s="128"/>
      <c r="V534" s="44" t="s">
        <v>98</v>
      </c>
      <c r="W534" s="128">
        <v>946.453653352073</v>
      </c>
      <c r="X534" s="128">
        <v>14.0</v>
      </c>
      <c r="Y534" s="128">
        <v>942.8784951915026</v>
      </c>
      <c r="Z534" s="44" t="s">
        <v>47</v>
      </c>
      <c r="AA534" s="128">
        <v>993.4695130326529</v>
      </c>
      <c r="AB534" s="128">
        <v>16.0</v>
      </c>
      <c r="AC534" s="128">
        <v>990.2750561701449</v>
      </c>
      <c r="AD534" s="44" t="s">
        <v>107</v>
      </c>
      <c r="AE534" s="128">
        <v>1007.0981869077768</v>
      </c>
      <c r="AF534" s="128">
        <v>16.0</v>
      </c>
      <c r="AG534" s="128">
        <v>1003.8678019308553</v>
      </c>
      <c r="AH534" s="44"/>
      <c r="AI534" s="128"/>
      <c r="AJ534" s="128"/>
      <c r="AK534" s="128"/>
      <c r="AP534" s="128">
        <v>15.0</v>
      </c>
      <c r="AQ534" s="128">
        <v>13.0</v>
      </c>
      <c r="AT534" s="44">
        <v>533.0</v>
      </c>
      <c r="AU534" s="44"/>
      <c r="AW534" s="93"/>
      <c r="AY534" s="93"/>
      <c r="AZ534" s="93"/>
      <c r="BA534" s="93"/>
      <c r="BB534" s="155"/>
      <c r="BC534" s="93"/>
      <c r="BE534" s="93"/>
      <c r="BG534" s="93"/>
      <c r="BH534" s="93"/>
      <c r="BI534" s="93"/>
      <c r="BJ534" s="155"/>
      <c r="BK534" s="93"/>
    </row>
    <row r="535">
      <c r="A535" s="166">
        <v>44345.03316097222</v>
      </c>
      <c r="B535" s="44" t="s">
        <v>88</v>
      </c>
      <c r="C535" s="128">
        <v>900.0931661412327</v>
      </c>
      <c r="D535" s="128">
        <v>17.0</v>
      </c>
      <c r="E535" s="128">
        <v>904.8425625350267</v>
      </c>
      <c r="F535" s="44" t="s">
        <v>112</v>
      </c>
      <c r="G535" s="128">
        <v>962.431188043029</v>
      </c>
      <c r="H535" s="128">
        <v>24.0</v>
      </c>
      <c r="I535" s="128">
        <v>970.1349118799235</v>
      </c>
      <c r="J535" s="44" t="s">
        <v>27</v>
      </c>
      <c r="K535" s="128">
        <v>1079.6014508013848</v>
      </c>
      <c r="L535" s="128">
        <v>25.0</v>
      </c>
      <c r="M535" s="128">
        <v>1087.1483305706963</v>
      </c>
      <c r="N535" s="44"/>
      <c r="O535" s="128"/>
      <c r="P535" s="128"/>
      <c r="Q535" s="128"/>
      <c r="V535" s="44" t="s">
        <v>98</v>
      </c>
      <c r="W535" s="128">
        <v>942.8784951915026</v>
      </c>
      <c r="X535" s="128">
        <v>17.0</v>
      </c>
      <c r="Y535" s="128">
        <v>936.5086958911152</v>
      </c>
      <c r="Z535" s="44" t="s">
        <v>47</v>
      </c>
      <c r="AA535" s="128">
        <v>990.2750561701449</v>
      </c>
      <c r="AB535" s="128">
        <v>23.0</v>
      </c>
      <c r="AC535" s="128">
        <v>986.8346943354136</v>
      </c>
      <c r="AD535" s="44" t="s">
        <v>107</v>
      </c>
      <c r="AE535" s="128">
        <v>1003.8678019308553</v>
      </c>
      <c r="AF535" s="128">
        <v>11.0</v>
      </c>
      <c r="AG535" s="128">
        <v>993.677963065974</v>
      </c>
      <c r="AH535" s="44"/>
      <c r="AI535" s="128"/>
      <c r="AJ535" s="128"/>
      <c r="AK535" s="128"/>
      <c r="AP535" s="128">
        <v>16.0</v>
      </c>
      <c r="AQ535" s="128">
        <v>10.0</v>
      </c>
      <c r="AT535" s="44">
        <v>534.0</v>
      </c>
      <c r="AU535" s="44"/>
      <c r="AW535" s="93"/>
      <c r="AY535" s="93"/>
      <c r="AZ535" s="93"/>
      <c r="BA535" s="93"/>
      <c r="BB535" s="155"/>
      <c r="BC535" s="93"/>
      <c r="BE535" s="93"/>
      <c r="BG535" s="93"/>
      <c r="BH535" s="93"/>
      <c r="BI535" s="93"/>
      <c r="BJ535" s="155"/>
      <c r="BK535" s="93"/>
    </row>
    <row r="536">
      <c r="A536" s="166">
        <v>44345.06957314815</v>
      </c>
      <c r="B536" s="44" t="s">
        <v>88</v>
      </c>
      <c r="C536" s="128">
        <v>904.8425625350267</v>
      </c>
      <c r="D536" s="128">
        <v>18.0</v>
      </c>
      <c r="E536" s="128">
        <v>911.884299054713</v>
      </c>
      <c r="F536" s="44" t="s">
        <v>98</v>
      </c>
      <c r="G536" s="128">
        <v>936.5086958911152</v>
      </c>
      <c r="H536" s="128">
        <v>17.0</v>
      </c>
      <c r="I536" s="128">
        <v>942.5214552140775</v>
      </c>
      <c r="J536" s="44" t="s">
        <v>31</v>
      </c>
      <c r="K536" s="128">
        <v>1181.8979313249283</v>
      </c>
      <c r="L536" s="128">
        <v>22.0</v>
      </c>
      <c r="M536" s="128">
        <v>1189.8434354822798</v>
      </c>
      <c r="N536" s="44"/>
      <c r="O536" s="128"/>
      <c r="P536" s="128"/>
      <c r="Q536" s="128"/>
      <c r="V536" s="44" t="s">
        <v>112</v>
      </c>
      <c r="W536" s="128">
        <v>970.1349118799235</v>
      </c>
      <c r="X536" s="128">
        <v>24.0</v>
      </c>
      <c r="Y536" s="128">
        <v>967.6140184062368</v>
      </c>
      <c r="Z536" s="44" t="s">
        <v>47</v>
      </c>
      <c r="AA536" s="128">
        <v>986.8346943354136</v>
      </c>
      <c r="AB536" s="128">
        <v>9.0</v>
      </c>
      <c r="AC536" s="128">
        <v>975.4404760445371</v>
      </c>
      <c r="AD536" s="44" t="s">
        <v>27</v>
      </c>
      <c r="AE536" s="128">
        <v>1087.1483305706963</v>
      </c>
      <c r="AF536" s="128">
        <v>17.0</v>
      </c>
      <c r="AG536" s="128">
        <v>1080.0634423352594</v>
      </c>
      <c r="AH536" s="44"/>
      <c r="AI536" s="128"/>
      <c r="AJ536" s="128"/>
      <c r="AK536" s="128"/>
      <c r="AP536" s="128">
        <v>17.0</v>
      </c>
      <c r="AQ536" s="128">
        <v>11.0</v>
      </c>
      <c r="AT536" s="44">
        <v>535.0</v>
      </c>
      <c r="AU536" s="44"/>
      <c r="AW536" s="93"/>
      <c r="AY536" s="93"/>
      <c r="AZ536" s="93"/>
      <c r="BA536" s="93"/>
      <c r="BB536" s="155"/>
      <c r="BC536" s="93"/>
      <c r="BE536" s="93"/>
      <c r="BG536" s="93"/>
      <c r="BH536" s="93"/>
      <c r="BI536" s="93"/>
      <c r="BJ536" s="155"/>
      <c r="BK536" s="93"/>
    </row>
    <row r="537">
      <c r="A537" s="166">
        <v>44346.05694259259</v>
      </c>
      <c r="B537" s="44" t="s">
        <v>88</v>
      </c>
      <c r="C537" s="128">
        <v>911.884299054713</v>
      </c>
      <c r="D537" s="128">
        <v>11.0</v>
      </c>
      <c r="E537" s="128">
        <v>913.4558792818764</v>
      </c>
      <c r="F537" s="44" t="s">
        <v>98</v>
      </c>
      <c r="G537" s="128">
        <v>942.5214552140775</v>
      </c>
      <c r="H537" s="128">
        <v>14.0</v>
      </c>
      <c r="I537" s="128">
        <v>944.9139712629391</v>
      </c>
      <c r="J537" s="44" t="s">
        <v>31</v>
      </c>
      <c r="K537" s="128">
        <v>1189.8434354822798</v>
      </c>
      <c r="L537" s="128">
        <v>34.0</v>
      </c>
      <c r="M537" s="128">
        <v>1198.8793392062548</v>
      </c>
      <c r="N537" s="44"/>
      <c r="O537" s="128"/>
      <c r="P537" s="128"/>
      <c r="Q537" s="128"/>
      <c r="V537" s="44" t="s">
        <v>123</v>
      </c>
      <c r="W537" s="128">
        <v>950.7340816964241</v>
      </c>
      <c r="X537" s="128">
        <v>12.0</v>
      </c>
      <c r="Y537" s="128">
        <v>944.8310333670462</v>
      </c>
      <c r="Z537" s="44" t="s">
        <v>47</v>
      </c>
      <c r="AA537" s="128">
        <v>975.4404760445371</v>
      </c>
      <c r="AB537" s="128">
        <v>18.0</v>
      </c>
      <c r="AC537" s="128">
        <v>971.5706338096826</v>
      </c>
      <c r="AD537" s="44" t="s">
        <v>107</v>
      </c>
      <c r="AE537" s="128">
        <v>993.677963065974</v>
      </c>
      <c r="AF537" s="128">
        <v>20.0</v>
      </c>
      <c r="AG537" s="128">
        <v>990.4508536302064</v>
      </c>
      <c r="AH537" s="44"/>
      <c r="AI537" s="128"/>
      <c r="AJ537" s="128"/>
      <c r="AK537" s="128"/>
      <c r="AP537" s="128">
        <v>16.0</v>
      </c>
      <c r="AQ537" s="128">
        <v>12.0</v>
      </c>
      <c r="AT537" s="44">
        <v>536.0</v>
      </c>
      <c r="AU537" s="44"/>
      <c r="AW537" s="93"/>
      <c r="AY537" s="93"/>
      <c r="AZ537" s="93"/>
      <c r="BA537" s="93"/>
      <c r="BB537" s="155"/>
      <c r="BC537" s="93"/>
      <c r="BE537" s="93"/>
      <c r="BG537" s="93"/>
      <c r="BH537" s="93"/>
      <c r="BI537" s="93"/>
      <c r="BJ537" s="155"/>
      <c r="BK537" s="93"/>
    </row>
    <row r="538">
      <c r="A538" s="166">
        <v>44347.953673807875</v>
      </c>
      <c r="B538" s="44" t="s">
        <v>123</v>
      </c>
      <c r="C538" s="128">
        <v>944.8310333670462</v>
      </c>
      <c r="D538" s="128">
        <v>3.0</v>
      </c>
      <c r="E538" s="128">
        <v>936.1846191994878</v>
      </c>
      <c r="F538" s="44" t="s">
        <v>58</v>
      </c>
      <c r="G538" s="128">
        <v>949.7442037171537</v>
      </c>
      <c r="H538" s="128">
        <v>24.0</v>
      </c>
      <c r="I538" s="128">
        <v>948.069566418146</v>
      </c>
      <c r="J538" s="44" t="s">
        <v>47</v>
      </c>
      <c r="K538" s="128">
        <v>971.5706338096826</v>
      </c>
      <c r="L538" s="128">
        <v>17.0</v>
      </c>
      <c r="M538" s="128">
        <v>967.4505019009109</v>
      </c>
      <c r="N538" s="44" t="s">
        <v>227</v>
      </c>
      <c r="O538" s="128">
        <v>974.9620611640723</v>
      </c>
      <c r="P538" s="128">
        <v>13.0</v>
      </c>
      <c r="Q538" s="128">
        <v>969.493093211151</v>
      </c>
      <c r="R538" s="44" t="s">
        <v>31</v>
      </c>
      <c r="S538" s="128">
        <v>1198.8793392062548</v>
      </c>
      <c r="T538" s="128">
        <v>30.0</v>
      </c>
      <c r="U538" s="128">
        <v>1198.789490534514</v>
      </c>
      <c r="V538" s="44" t="s">
        <v>98</v>
      </c>
      <c r="W538" s="128">
        <v>944.9139712629391</v>
      </c>
      <c r="X538" s="128">
        <v>15.0</v>
      </c>
      <c r="Y538" s="128">
        <v>946.9891374525646</v>
      </c>
      <c r="Z538" s="44" t="s">
        <v>112</v>
      </c>
      <c r="AA538" s="128">
        <v>967.6140184062368</v>
      </c>
      <c r="AB538" s="128">
        <v>23.0</v>
      </c>
      <c r="AC538" s="128">
        <v>972.2072691510729</v>
      </c>
      <c r="AD538" s="44" t="s">
        <v>34</v>
      </c>
      <c r="AE538" s="128">
        <v>983.8976479829361</v>
      </c>
      <c r="AF538" s="128">
        <v>18.0</v>
      </c>
      <c r="AG538" s="128">
        <v>986.7351487503672</v>
      </c>
      <c r="AH538" s="44" t="s">
        <v>61</v>
      </c>
      <c r="AI538" s="128">
        <v>1060.811719470063</v>
      </c>
      <c r="AJ538" s="128">
        <v>21.0</v>
      </c>
      <c r="AK538" s="128">
        <v>1064.4047926185112</v>
      </c>
      <c r="AL538" s="44" t="s">
        <v>27</v>
      </c>
      <c r="AM538" s="128">
        <v>1080.0634423352594</v>
      </c>
      <c r="AN538" s="128">
        <v>31.0</v>
      </c>
      <c r="AO538" s="128">
        <v>1086.9644514849185</v>
      </c>
      <c r="AP538" s="128">
        <v>10.0</v>
      </c>
      <c r="AQ538" s="128">
        <v>18.0</v>
      </c>
      <c r="AT538" s="44">
        <v>537.0</v>
      </c>
      <c r="AU538" s="44"/>
      <c r="AV538" s="44" t="s">
        <v>88</v>
      </c>
      <c r="AW538" s="45">
        <v>913.4558792818764</v>
      </c>
      <c r="AX538" s="44">
        <v>22.0</v>
      </c>
      <c r="AY538" s="145">
        <v>912.02</v>
      </c>
      <c r="AZ538" s="93"/>
      <c r="BA538" s="93"/>
      <c r="BB538" s="155"/>
      <c r="BC538" s="93"/>
      <c r="BD538" s="44" t="s">
        <v>121</v>
      </c>
      <c r="BE538" s="45">
        <v>968.6691512699739</v>
      </c>
      <c r="BF538" s="44">
        <v>20.0</v>
      </c>
      <c r="BG538" s="145">
        <v>972.68</v>
      </c>
      <c r="BH538" s="93"/>
      <c r="BI538" s="93"/>
      <c r="BJ538" s="155"/>
      <c r="BK538" s="93"/>
    </row>
    <row r="539">
      <c r="A539" s="166">
        <v>44348.92536966436</v>
      </c>
      <c r="B539" s="44" t="s">
        <v>47</v>
      </c>
      <c r="C539" s="128">
        <v>967.4505019009109</v>
      </c>
      <c r="D539" s="128">
        <v>23.0</v>
      </c>
      <c r="E539" s="128">
        <v>974.8903141215135</v>
      </c>
      <c r="F539" s="44" t="s">
        <v>110</v>
      </c>
      <c r="G539" s="128">
        <v>986.5487195156876</v>
      </c>
      <c r="H539" s="128">
        <v>23.0</v>
      </c>
      <c r="I539" s="128">
        <v>993.8308384284759</v>
      </c>
      <c r="J539" s="44" t="s">
        <v>61</v>
      </c>
      <c r="K539" s="128">
        <v>1064.4047926185112</v>
      </c>
      <c r="L539" s="128">
        <v>18.0</v>
      </c>
      <c r="M539" s="128">
        <v>1068.6828614851204</v>
      </c>
      <c r="N539" s="44"/>
      <c r="O539" s="128"/>
      <c r="P539" s="128"/>
      <c r="Q539" s="128"/>
      <c r="V539" s="44" t="s">
        <v>88</v>
      </c>
      <c r="W539" s="128">
        <v>912.02</v>
      </c>
      <c r="X539" s="128">
        <v>13.0</v>
      </c>
      <c r="Y539" s="128">
        <v>904.7880175219595</v>
      </c>
      <c r="Z539" s="44" t="s">
        <v>92</v>
      </c>
      <c r="AA539" s="128">
        <v>995.63562148357</v>
      </c>
      <c r="AB539" s="128">
        <v>15.0</v>
      </c>
      <c r="AC539" s="128">
        <v>988.8237409004971</v>
      </c>
      <c r="AD539" s="44" t="s">
        <v>27</v>
      </c>
      <c r="AE539" s="128">
        <v>1086.9644514849185</v>
      </c>
      <c r="AF539" s="128">
        <v>19.0</v>
      </c>
      <c r="AG539" s="128">
        <v>1082.008314546032</v>
      </c>
      <c r="AH539" s="44"/>
      <c r="AI539" s="128"/>
      <c r="AJ539" s="128"/>
      <c r="AK539" s="128"/>
      <c r="AP539" s="128">
        <v>18.0</v>
      </c>
      <c r="AQ539" s="128">
        <v>10.0</v>
      </c>
      <c r="AT539" s="44">
        <v>538.0</v>
      </c>
      <c r="AU539" s="44"/>
      <c r="AW539" s="93"/>
      <c r="AY539" s="93"/>
      <c r="AZ539" s="93"/>
      <c r="BA539" s="93"/>
      <c r="BB539" s="155"/>
      <c r="BC539" s="93"/>
      <c r="BE539" s="93"/>
      <c r="BG539" s="93"/>
      <c r="BH539" s="93"/>
      <c r="BI539" s="93"/>
      <c r="BJ539" s="155"/>
      <c r="BK539" s="93"/>
    </row>
    <row r="540">
      <c r="A540" s="166">
        <v>44348.9624171412</v>
      </c>
      <c r="B540" s="44" t="s">
        <v>47</v>
      </c>
      <c r="C540" s="128">
        <v>974.8903141215135</v>
      </c>
      <c r="D540" s="128">
        <v>20.0</v>
      </c>
      <c r="E540" s="128">
        <v>980.7173945075535</v>
      </c>
      <c r="F540" s="44" t="s">
        <v>92</v>
      </c>
      <c r="G540" s="128">
        <v>988.8237409004971</v>
      </c>
      <c r="H540" s="128">
        <v>19.0</v>
      </c>
      <c r="I540" s="128">
        <v>994.0873599794102</v>
      </c>
      <c r="J540" s="44" t="s">
        <v>61</v>
      </c>
      <c r="K540" s="128">
        <v>1068.6828614851204</v>
      </c>
      <c r="L540" s="128">
        <v>21.0</v>
      </c>
      <c r="M540" s="128">
        <v>1074.5921620201673</v>
      </c>
      <c r="N540" s="44"/>
      <c r="O540" s="128"/>
      <c r="P540" s="128"/>
      <c r="Q540" s="128"/>
      <c r="V540" s="44" t="s">
        <v>88</v>
      </c>
      <c r="W540" s="128">
        <v>904.7880175219595</v>
      </c>
      <c r="X540" s="128">
        <v>11.0</v>
      </c>
      <c r="Y540" s="128">
        <v>897.5597197165112</v>
      </c>
      <c r="Z540" s="44" t="s">
        <v>110</v>
      </c>
      <c r="AA540" s="128">
        <v>993.8308384284759</v>
      </c>
      <c r="AB540" s="128">
        <v>13.0</v>
      </c>
      <c r="AC540" s="128">
        <v>986.9335833877575</v>
      </c>
      <c r="AD540" s="44" t="s">
        <v>27</v>
      </c>
      <c r="AE540" s="128">
        <v>1082.008314546032</v>
      </c>
      <c r="AF540" s="128">
        <v>22.0</v>
      </c>
      <c r="AG540" s="128">
        <v>1079.1338673921987</v>
      </c>
      <c r="AH540" s="44"/>
      <c r="AI540" s="128"/>
      <c r="AJ540" s="128"/>
      <c r="AK540" s="128"/>
      <c r="AP540" s="128">
        <v>18.0</v>
      </c>
      <c r="AQ540" s="128">
        <v>10.0</v>
      </c>
      <c r="AT540" s="44">
        <v>539.0</v>
      </c>
      <c r="AU540" s="44"/>
      <c r="AW540" s="93"/>
      <c r="AY540" s="93"/>
      <c r="AZ540" s="93"/>
      <c r="BA540" s="93"/>
      <c r="BB540" s="155"/>
      <c r="BC540" s="93"/>
      <c r="BE540" s="93"/>
      <c r="BG540" s="93"/>
      <c r="BH540" s="93"/>
      <c r="BI540" s="93"/>
      <c r="BJ540" s="155"/>
      <c r="BK540" s="93"/>
    </row>
    <row r="541">
      <c r="A541" s="166">
        <v>44349.87677667824</v>
      </c>
      <c r="B541" s="44" t="s">
        <v>88</v>
      </c>
      <c r="C541" s="128">
        <v>897.5597197165112</v>
      </c>
      <c r="D541" s="128">
        <v>21.0</v>
      </c>
      <c r="E541" s="128">
        <v>904.6633541366184</v>
      </c>
      <c r="F541" s="44" t="s">
        <v>47</v>
      </c>
      <c r="G541" s="128">
        <v>980.7173945075535</v>
      </c>
      <c r="H541" s="128">
        <v>22.0</v>
      </c>
      <c r="I541" s="128">
        <v>987.4093339031618</v>
      </c>
      <c r="J541" s="44" t="s">
        <v>61</v>
      </c>
      <c r="K541" s="128">
        <v>1074.5921620201673</v>
      </c>
      <c r="L541" s="128">
        <v>20.0</v>
      </c>
      <c r="M541" s="128">
        <v>1079.7965882044516</v>
      </c>
      <c r="N541" s="44"/>
      <c r="O541" s="128"/>
      <c r="P541" s="128"/>
      <c r="Q541" s="128"/>
      <c r="V541" s="44" t="s">
        <v>98</v>
      </c>
      <c r="W541" s="128">
        <v>946.9891374525646</v>
      </c>
      <c r="X541" s="128">
        <v>21.0</v>
      </c>
      <c r="Y541" s="128">
        <v>942.9731550409916</v>
      </c>
      <c r="Z541" s="44" t="s">
        <v>110</v>
      </c>
      <c r="AA541" s="128">
        <v>986.9335833877575</v>
      </c>
      <c r="AB541" s="128">
        <v>11.0</v>
      </c>
      <c r="AC541" s="128">
        <v>977.3509041226424</v>
      </c>
      <c r="AD541" s="44" t="s">
        <v>92</v>
      </c>
      <c r="AE541" s="128">
        <v>994.0873599794102</v>
      </c>
      <c r="AF541" s="128">
        <v>19.0</v>
      </c>
      <c r="AG541" s="128">
        <v>988.6860216560981</v>
      </c>
      <c r="AH541" s="44"/>
      <c r="AI541" s="128"/>
      <c r="AJ541" s="128"/>
      <c r="AK541" s="128"/>
      <c r="AP541" s="128">
        <v>18.0</v>
      </c>
      <c r="AQ541" s="128">
        <v>10.0</v>
      </c>
      <c r="AT541" s="44">
        <v>540.0</v>
      </c>
      <c r="AU541" s="44"/>
      <c r="AW541" s="93"/>
      <c r="AY541" s="93"/>
      <c r="AZ541" s="93"/>
      <c r="BA541" s="93"/>
      <c r="BB541" s="155"/>
      <c r="BC541" s="93"/>
      <c r="BE541" s="93"/>
      <c r="BG541" s="93"/>
      <c r="BH541" s="93"/>
      <c r="BI541" s="93"/>
      <c r="BJ541" s="155"/>
      <c r="BK541" s="93"/>
    </row>
    <row r="542">
      <c r="A542" s="166">
        <v>44349.96522076389</v>
      </c>
      <c r="B542" s="44" t="s">
        <v>88</v>
      </c>
      <c r="C542" s="128">
        <v>904.6633541366184</v>
      </c>
      <c r="D542" s="128">
        <v>16.0</v>
      </c>
      <c r="E542" s="128">
        <v>899.9339526943753</v>
      </c>
      <c r="F542" s="44" t="s">
        <v>107</v>
      </c>
      <c r="G542" s="128">
        <v>990.4508536302064</v>
      </c>
      <c r="H542" s="128">
        <v>12.0</v>
      </c>
      <c r="I542" s="128">
        <v>983.3750028573365</v>
      </c>
      <c r="J542" s="44" t="s">
        <v>61</v>
      </c>
      <c r="K542" s="128">
        <v>1079.7965882044516</v>
      </c>
      <c r="L542" s="128">
        <v>19.0</v>
      </c>
      <c r="M542" s="128">
        <v>1075.6018404195647</v>
      </c>
      <c r="N542" s="44"/>
      <c r="O542" s="128"/>
      <c r="P542" s="128"/>
      <c r="Q542" s="128"/>
      <c r="V542" s="44" t="s">
        <v>90</v>
      </c>
      <c r="W542" s="128">
        <v>973.6865290929113</v>
      </c>
      <c r="X542" s="128">
        <v>13.0</v>
      </c>
      <c r="Y542" s="128">
        <v>975.3387837172685</v>
      </c>
      <c r="Z542" s="44" t="s">
        <v>47</v>
      </c>
      <c r="AA542" s="128">
        <v>987.4093339031618</v>
      </c>
      <c r="AB542" s="128">
        <v>21.0</v>
      </c>
      <c r="AC542" s="128">
        <v>992.5253485684599</v>
      </c>
      <c r="AD542" s="44" t="s">
        <v>27</v>
      </c>
      <c r="AE542" s="128">
        <v>1079.1338673921987</v>
      </c>
      <c r="AF542" s="128">
        <v>31.0</v>
      </c>
      <c r="AG542" s="128">
        <v>1088.3655981025433</v>
      </c>
      <c r="AH542" s="44"/>
      <c r="AI542" s="128"/>
      <c r="AJ542" s="128"/>
      <c r="AK542" s="128"/>
      <c r="AP542" s="128">
        <v>11.0</v>
      </c>
      <c r="AQ542" s="128">
        <v>17.0</v>
      </c>
      <c r="AT542" s="44">
        <v>541.0</v>
      </c>
      <c r="AU542" s="44"/>
      <c r="AW542" s="93"/>
      <c r="AY542" s="93"/>
      <c r="AZ542" s="93"/>
      <c r="BA542" s="93"/>
      <c r="BB542" s="155"/>
      <c r="BC542" s="93"/>
      <c r="BE542" s="93"/>
      <c r="BG542" s="93"/>
      <c r="BH542" s="93"/>
      <c r="BI542" s="93"/>
      <c r="BJ542" s="155"/>
      <c r="BK542" s="93"/>
    </row>
    <row r="543">
      <c r="A543" s="166">
        <v>44349.99560349537</v>
      </c>
      <c r="B543" s="44" t="s">
        <v>88</v>
      </c>
      <c r="C543" s="128">
        <v>899.9339526943753</v>
      </c>
      <c r="D543" s="128">
        <v>22.0</v>
      </c>
      <c r="E543" s="128">
        <v>908.7302615061742</v>
      </c>
      <c r="F543" s="44" t="s">
        <v>47</v>
      </c>
      <c r="G543" s="128">
        <v>992.5253485684599</v>
      </c>
      <c r="H543" s="128">
        <v>20.0</v>
      </c>
      <c r="I543" s="128">
        <v>999.1132692780225</v>
      </c>
      <c r="J543" s="44" t="s">
        <v>27</v>
      </c>
      <c r="K543" s="128">
        <v>1088.3655981025433</v>
      </c>
      <c r="L543" s="128">
        <v>19.0</v>
      </c>
      <c r="M543" s="128">
        <v>1093.9813685811819</v>
      </c>
      <c r="N543" s="44"/>
      <c r="O543" s="128"/>
      <c r="P543" s="128"/>
      <c r="Q543" s="128"/>
      <c r="V543" s="44" t="s">
        <v>98</v>
      </c>
      <c r="W543" s="128">
        <v>942.9731550409916</v>
      </c>
      <c r="X543" s="128">
        <v>22.0</v>
      </c>
      <c r="Y543" s="128">
        <v>938.1009056849605</v>
      </c>
      <c r="Z543" s="44" t="s">
        <v>107</v>
      </c>
      <c r="AA543" s="128">
        <v>983.3750028573365</v>
      </c>
      <c r="AB543" s="128">
        <v>13.0</v>
      </c>
      <c r="AC543" s="128">
        <v>972.8875597555711</v>
      </c>
      <c r="AD543" s="44" t="s">
        <v>61</v>
      </c>
      <c r="AE543" s="128">
        <v>1075.6018404195647</v>
      </c>
      <c r="AF543" s="128">
        <v>22.0</v>
      </c>
      <c r="AG543" s="128">
        <v>1069.9615328773614</v>
      </c>
      <c r="AH543" s="44"/>
      <c r="AI543" s="128"/>
      <c r="AJ543" s="128"/>
      <c r="AK543" s="128"/>
      <c r="AP543" s="128">
        <v>17.0</v>
      </c>
      <c r="AQ543" s="128">
        <v>11.0</v>
      </c>
      <c r="AT543" s="44">
        <v>542.0</v>
      </c>
      <c r="AU543" s="44"/>
      <c r="AW543" s="93"/>
      <c r="AY543" s="93"/>
      <c r="AZ543" s="93"/>
      <c r="BA543" s="93"/>
      <c r="BB543" s="155"/>
      <c r="BC543" s="93"/>
      <c r="BE543" s="93"/>
      <c r="BG543" s="93"/>
      <c r="BH543" s="93"/>
      <c r="BI543" s="93"/>
      <c r="BJ543" s="155"/>
      <c r="BK543" s="93"/>
    </row>
    <row r="544">
      <c r="A544" s="166">
        <v>44353.990216805556</v>
      </c>
      <c r="B544" s="44" t="s">
        <v>88</v>
      </c>
      <c r="C544" s="128">
        <v>908.7302615061742</v>
      </c>
      <c r="D544" s="128">
        <v>25.0</v>
      </c>
      <c r="E544" s="128">
        <v>911.629283181825</v>
      </c>
      <c r="F544" s="44" t="s">
        <v>112</v>
      </c>
      <c r="G544" s="128">
        <v>972.2072691510729</v>
      </c>
      <c r="H544" s="128">
        <v>19.0</v>
      </c>
      <c r="I544" s="128">
        <v>973.1804829891875</v>
      </c>
      <c r="J544" s="44" t="s">
        <v>31</v>
      </c>
      <c r="K544" s="128">
        <v>1198.789490534514</v>
      </c>
      <c r="L544" s="128">
        <v>37.0</v>
      </c>
      <c r="M544" s="128">
        <v>1203.9172550207486</v>
      </c>
      <c r="N544" s="44"/>
      <c r="O544" s="128"/>
      <c r="P544" s="128"/>
      <c r="Q544" s="128"/>
      <c r="V544" s="44" t="s">
        <v>110</v>
      </c>
      <c r="W544" s="128">
        <v>977.3509041226424</v>
      </c>
      <c r="X544" s="128">
        <v>31.0</v>
      </c>
      <c r="Y544" s="128">
        <v>975.3713875863072</v>
      </c>
      <c r="Z544" s="44" t="s">
        <v>34</v>
      </c>
      <c r="AA544" s="128">
        <v>986.7351487503672</v>
      </c>
      <c r="AB544" s="128">
        <v>30.0</v>
      </c>
      <c r="AC544" s="128">
        <v>984.4621608028092</v>
      </c>
      <c r="AD544" s="44" t="s">
        <v>61</v>
      </c>
      <c r="AE544" s="128">
        <v>1069.9615328773614</v>
      </c>
      <c r="AF544" s="128">
        <v>21.0</v>
      </c>
      <c r="AG544" s="128">
        <v>1065.2140373612547</v>
      </c>
      <c r="AH544" s="44"/>
      <c r="AI544" s="128"/>
      <c r="AJ544" s="128"/>
      <c r="AK544" s="128"/>
      <c r="AP544" s="128">
        <v>22.0</v>
      </c>
      <c r="AQ544" s="128">
        <v>20.0</v>
      </c>
      <c r="AT544" s="44">
        <v>543.0</v>
      </c>
      <c r="AU544" s="44"/>
      <c r="AW544" s="93"/>
      <c r="AY544" s="93"/>
      <c r="AZ544" s="93"/>
      <c r="BA544" s="93"/>
      <c r="BB544" s="155"/>
      <c r="BC544" s="93"/>
      <c r="BE544" s="93"/>
      <c r="BG544" s="93"/>
      <c r="BH544" s="93"/>
      <c r="BI544" s="93"/>
      <c r="BJ544" s="155"/>
      <c r="BK544" s="93"/>
    </row>
    <row r="545">
      <c r="A545" s="166">
        <v>44354.93597167824</v>
      </c>
      <c r="B545" s="44" t="s">
        <v>88</v>
      </c>
      <c r="C545" s="128">
        <v>911.629283181825</v>
      </c>
      <c r="D545" s="128">
        <v>13.0</v>
      </c>
      <c r="E545" s="128">
        <v>904.7525517295065</v>
      </c>
      <c r="F545" s="44" t="s">
        <v>92</v>
      </c>
      <c r="G545" s="128">
        <v>988.6860216560981</v>
      </c>
      <c r="H545" s="128">
        <v>14.0</v>
      </c>
      <c r="I545" s="128">
        <v>981.7775279068159</v>
      </c>
      <c r="J545" s="44" t="s">
        <v>31</v>
      </c>
      <c r="K545" s="128">
        <v>1203.9172550207486</v>
      </c>
      <c r="L545" s="128">
        <v>20.0</v>
      </c>
      <c r="M545" s="128">
        <v>1199.7024802223493</v>
      </c>
      <c r="N545" s="44"/>
      <c r="O545" s="128"/>
      <c r="P545" s="128"/>
      <c r="Q545" s="128"/>
      <c r="V545" s="44" t="s">
        <v>110</v>
      </c>
      <c r="W545" s="128">
        <v>975.3713875863072</v>
      </c>
      <c r="X545" s="128">
        <v>10.0</v>
      </c>
      <c r="Y545" s="128">
        <v>976.6419206740829</v>
      </c>
      <c r="Z545" s="44" t="s">
        <v>61</v>
      </c>
      <c r="AA545" s="128">
        <v>1065.2140373612547</v>
      </c>
      <c r="AB545" s="128">
        <v>22.0</v>
      </c>
      <c r="AC545" s="128">
        <v>1072.1010679281815</v>
      </c>
      <c r="AD545" s="44" t="s">
        <v>27</v>
      </c>
      <c r="AE545" s="128">
        <v>1093.9813685811819</v>
      </c>
      <c r="AF545" s="128">
        <v>28.0</v>
      </c>
      <c r="AG545" s="128">
        <v>1103.8238049264792</v>
      </c>
      <c r="AH545" s="44"/>
      <c r="AI545" s="128"/>
      <c r="AJ545" s="128"/>
      <c r="AK545" s="128"/>
      <c r="AP545" s="128">
        <v>11.0</v>
      </c>
      <c r="AQ545" s="128">
        <v>17.0</v>
      </c>
      <c r="AT545" s="44">
        <v>544.0</v>
      </c>
      <c r="AU545" s="44"/>
      <c r="AW545" s="93"/>
      <c r="AY545" s="93"/>
      <c r="AZ545" s="93"/>
      <c r="BA545" s="93"/>
      <c r="BB545" s="155"/>
      <c r="BC545" s="93"/>
      <c r="BE545" s="93"/>
      <c r="BG545" s="93"/>
      <c r="BH545" s="93"/>
      <c r="BI545" s="93"/>
      <c r="BJ545" s="155"/>
      <c r="BK545" s="93"/>
    </row>
    <row r="546">
      <c r="A546" s="166">
        <v>44354.98713214121</v>
      </c>
      <c r="B546" s="44" t="s">
        <v>88</v>
      </c>
      <c r="C546" s="128">
        <v>904.7525517295065</v>
      </c>
      <c r="D546" s="128">
        <v>10.0</v>
      </c>
      <c r="E546" s="128">
        <v>901.649746270929</v>
      </c>
      <c r="F546" s="44" t="s">
        <v>92</v>
      </c>
      <c r="G546" s="128">
        <v>981.7775279068159</v>
      </c>
      <c r="H546" s="128">
        <v>14.0</v>
      </c>
      <c r="I546" s="128">
        <v>979.1340852203294</v>
      </c>
      <c r="J546" s="44" t="s">
        <v>34</v>
      </c>
      <c r="K546" s="128">
        <v>984.4621608028092</v>
      </c>
      <c r="L546" s="128">
        <v>18.0</v>
      </c>
      <c r="M546" s="128">
        <v>982.4802370625604</v>
      </c>
      <c r="N546" s="44" t="s">
        <v>31</v>
      </c>
      <c r="O546" s="128">
        <v>1199.7024802223493</v>
      </c>
      <c r="P546" s="128">
        <v>29.0</v>
      </c>
      <c r="Q546" s="128">
        <v>1199.4306521076624</v>
      </c>
      <c r="V546" s="44" t="s">
        <v>112</v>
      </c>
      <c r="W546" s="128">
        <v>973.1804829891875</v>
      </c>
      <c r="X546" s="128">
        <v>17.0</v>
      </c>
      <c r="Y546" s="128">
        <v>974.7135553200485</v>
      </c>
      <c r="Z546" s="44" t="s">
        <v>110</v>
      </c>
      <c r="AA546" s="128">
        <v>976.6419206740829</v>
      </c>
      <c r="AB546" s="128">
        <v>21.0</v>
      </c>
      <c r="AC546" s="128">
        <v>978.8336534728887</v>
      </c>
      <c r="AD546" s="44" t="s">
        <v>61</v>
      </c>
      <c r="AE546" s="128">
        <v>1072.1010679281815</v>
      </c>
      <c r="AF546" s="128">
        <v>16.0</v>
      </c>
      <c r="AG546" s="128">
        <v>1073.3290888854156</v>
      </c>
      <c r="AH546" s="44" t="s">
        <v>27</v>
      </c>
      <c r="AI546" s="128">
        <v>1103.8238049264792</v>
      </c>
      <c r="AJ546" s="128">
        <v>27.0</v>
      </c>
      <c r="AK546" s="128">
        <v>1106.8709788395784</v>
      </c>
      <c r="AP546" s="128">
        <v>13.0</v>
      </c>
      <c r="AQ546" s="128">
        <v>15.0</v>
      </c>
      <c r="AT546" s="44">
        <v>545.0</v>
      </c>
      <c r="AU546" s="44"/>
      <c r="AW546" s="93"/>
      <c r="AY546" s="93"/>
      <c r="AZ546" s="93"/>
      <c r="BA546" s="93"/>
      <c r="BB546" s="155"/>
      <c r="BC546" s="93"/>
      <c r="BE546" s="93"/>
      <c r="BG546" s="93"/>
      <c r="BH546" s="93"/>
      <c r="BI546" s="93"/>
      <c r="BJ546" s="155"/>
      <c r="BK546" s="93"/>
    </row>
    <row r="547">
      <c r="A547" s="166">
        <v>44355.94560306713</v>
      </c>
      <c r="B547" s="44" t="s">
        <v>88</v>
      </c>
      <c r="C547" s="128">
        <v>901.649746270929</v>
      </c>
      <c r="D547" s="128">
        <v>13.0</v>
      </c>
      <c r="E547" s="128">
        <v>894.3178807752074</v>
      </c>
      <c r="F547" s="44" t="s">
        <v>123</v>
      </c>
      <c r="G547" s="128">
        <v>936.1846191994878</v>
      </c>
      <c r="H547" s="128">
        <v>6.0</v>
      </c>
      <c r="I547" s="128">
        <v>924.8503513076142</v>
      </c>
      <c r="J547" s="44" t="s">
        <v>61</v>
      </c>
      <c r="K547" s="128">
        <v>1073.3290888854156</v>
      </c>
      <c r="L547" s="128">
        <v>28.0</v>
      </c>
      <c r="M547" s="128">
        <v>1072.9952222730108</v>
      </c>
      <c r="N547" s="44"/>
      <c r="O547" s="128"/>
      <c r="P547" s="128"/>
      <c r="Q547" s="128"/>
      <c r="V547" s="44" t="s">
        <v>112</v>
      </c>
      <c r="W547" s="128">
        <v>974.7135553200485</v>
      </c>
      <c r="X547" s="128">
        <v>21.0</v>
      </c>
      <c r="Y547" s="128">
        <v>981.068353347161</v>
      </c>
      <c r="Z547" s="44" t="s">
        <v>110</v>
      </c>
      <c r="AA547" s="128">
        <v>978.8336534728887</v>
      </c>
      <c r="AB547" s="128">
        <v>22.0</v>
      </c>
      <c r="AC547" s="128">
        <v>985.6851422692987</v>
      </c>
      <c r="AD547" s="44" t="s">
        <v>92</v>
      </c>
      <c r="AE547" s="128">
        <v>979.1340852203294</v>
      </c>
      <c r="AF547" s="128">
        <v>20.0</v>
      </c>
      <c r="AG547" s="128">
        <v>984.9277983968071</v>
      </c>
      <c r="AH547" s="44"/>
      <c r="AI547" s="128"/>
      <c r="AJ547" s="128"/>
      <c r="AK547" s="128"/>
      <c r="AP547" s="128">
        <v>10.0</v>
      </c>
      <c r="AQ547" s="128">
        <v>17.0</v>
      </c>
      <c r="AT547" s="44">
        <v>546.0</v>
      </c>
      <c r="AU547" s="44"/>
      <c r="AW547" s="93"/>
      <c r="AY547" s="93"/>
      <c r="AZ547" s="93"/>
      <c r="BA547" s="93"/>
      <c r="BB547" s="155"/>
      <c r="BC547" s="93"/>
      <c r="BE547" s="93"/>
      <c r="BG547" s="93"/>
      <c r="BH547" s="93"/>
      <c r="BI547" s="93"/>
      <c r="BJ547" s="155"/>
      <c r="BK547" s="93"/>
    </row>
    <row r="548">
      <c r="A548" s="166">
        <v>44356.004908483796</v>
      </c>
      <c r="B548" s="44" t="s">
        <v>88</v>
      </c>
      <c r="C548" s="128">
        <v>894.3178807752074</v>
      </c>
      <c r="D548" s="128">
        <v>12.0</v>
      </c>
      <c r="E548" s="128">
        <v>895.9834716661578</v>
      </c>
      <c r="F548" s="44" t="s">
        <v>123</v>
      </c>
      <c r="G548" s="128">
        <v>924.8503513076142</v>
      </c>
      <c r="H548" s="128">
        <v>15.0</v>
      </c>
      <c r="I548" s="128">
        <v>927.5086172344688</v>
      </c>
      <c r="J548" s="44" t="s">
        <v>110</v>
      </c>
      <c r="K548" s="128">
        <v>985.6851422692987</v>
      </c>
      <c r="L548" s="128">
        <v>22.0</v>
      </c>
      <c r="M548" s="128">
        <v>990.9360495257687</v>
      </c>
      <c r="N548" s="44" t="s">
        <v>31</v>
      </c>
      <c r="O548" s="128">
        <v>1199.4306521076624</v>
      </c>
      <c r="P548" s="128">
        <v>37.0</v>
      </c>
      <c r="Q548" s="128">
        <v>1210.8558880333874</v>
      </c>
      <c r="V548" s="44" t="s">
        <v>112</v>
      </c>
      <c r="W548" s="128">
        <v>981.068353347161</v>
      </c>
      <c r="X548" s="128">
        <v>28.0</v>
      </c>
      <c r="Y548" s="128">
        <v>979.2952240955899</v>
      </c>
      <c r="Z548" s="44" t="s">
        <v>34</v>
      </c>
      <c r="AA548" s="128">
        <v>982.4802370625604</v>
      </c>
      <c r="AB548" s="128">
        <v>17.0</v>
      </c>
      <c r="AC548" s="128">
        <v>975.8867006448368</v>
      </c>
      <c r="AD548" s="44" t="s">
        <v>92</v>
      </c>
      <c r="AE548" s="128">
        <v>984.9277983968071</v>
      </c>
      <c r="AF548" s="128">
        <v>21.0</v>
      </c>
      <c r="AG548" s="128">
        <v>980.0708079648418</v>
      </c>
      <c r="AH548" s="44" t="s">
        <v>61</v>
      </c>
      <c r="AI548" s="128">
        <v>1072.9952222730108</v>
      </c>
      <c r="AJ548" s="128">
        <v>15.0</v>
      </c>
      <c r="AK548" s="128">
        <v>1065.2188783742708</v>
      </c>
      <c r="AP548" s="128">
        <v>17.0</v>
      </c>
      <c r="AQ548" s="128">
        <v>11.0</v>
      </c>
      <c r="AT548" s="44">
        <v>547.0</v>
      </c>
      <c r="AU548" s="44"/>
      <c r="AW548" s="93"/>
      <c r="AY548" s="93"/>
      <c r="AZ548" s="93"/>
      <c r="BA548" s="93"/>
      <c r="BB548" s="155"/>
      <c r="BC548" s="93"/>
      <c r="BE548" s="93"/>
      <c r="BG548" s="93"/>
      <c r="BH548" s="93"/>
      <c r="BI548" s="93"/>
      <c r="BJ548" s="155"/>
      <c r="BK548" s="93"/>
    </row>
    <row r="549">
      <c r="A549" s="166">
        <v>44356.03375461805</v>
      </c>
      <c r="B549" s="44" t="s">
        <v>88</v>
      </c>
      <c r="C549" s="128">
        <v>895.9834716661578</v>
      </c>
      <c r="D549" s="128">
        <v>8.0</v>
      </c>
      <c r="E549" s="128">
        <v>885.1584234752839</v>
      </c>
      <c r="F549" s="44" t="s">
        <v>123</v>
      </c>
      <c r="G549" s="128">
        <v>927.5086172344688</v>
      </c>
      <c r="H549" s="128">
        <v>10.0</v>
      </c>
      <c r="I549" s="128">
        <v>917.486226348305</v>
      </c>
      <c r="J549" s="44" t="s">
        <v>31</v>
      </c>
      <c r="K549" s="128">
        <v>1210.8558880333874</v>
      </c>
      <c r="L549" s="128">
        <v>31.0</v>
      </c>
      <c r="M549" s="128">
        <v>1210.8458880333874</v>
      </c>
      <c r="N549" s="44"/>
      <c r="O549" s="128"/>
      <c r="P549" s="128"/>
      <c r="Q549" s="128"/>
      <c r="V549" s="44" t="s">
        <v>112</v>
      </c>
      <c r="W549" s="128">
        <v>979.2952240955899</v>
      </c>
      <c r="X549" s="128">
        <v>15.0</v>
      </c>
      <c r="Y549" s="128">
        <v>982.7905991885768</v>
      </c>
      <c r="Z549" s="44" t="s">
        <v>110</v>
      </c>
      <c r="AA549" s="128">
        <v>990.9360495257687</v>
      </c>
      <c r="AB549" s="128">
        <v>25.0</v>
      </c>
      <c r="AC549" s="128">
        <v>999.9057046026093</v>
      </c>
      <c r="AD549" s="44" t="s">
        <v>61</v>
      </c>
      <c r="AE549" s="128">
        <v>1065.2188783742708</v>
      </c>
      <c r="AF549" s="128">
        <v>23.0</v>
      </c>
      <c r="AG549" s="128">
        <v>1072.7538482044433</v>
      </c>
      <c r="AH549" s="44"/>
      <c r="AI549" s="128"/>
      <c r="AJ549" s="128"/>
      <c r="AK549" s="128"/>
      <c r="AP549" s="128">
        <v>12.0</v>
      </c>
      <c r="AQ549" s="128">
        <v>16.0</v>
      </c>
      <c r="AT549" s="44">
        <v>548.0</v>
      </c>
      <c r="AU549" s="44"/>
      <c r="AW549" s="93"/>
      <c r="AY549" s="93"/>
      <c r="AZ549" s="93"/>
      <c r="BA549" s="93"/>
      <c r="BB549" s="155"/>
      <c r="BC549" s="93"/>
      <c r="BE549" s="93"/>
      <c r="BG549" s="93"/>
      <c r="BH549" s="93"/>
      <c r="BI549" s="93"/>
      <c r="BJ549" s="155"/>
      <c r="BK549" s="93"/>
    </row>
    <row r="550">
      <c r="A550" s="166">
        <v>44356.97570002315</v>
      </c>
      <c r="B550" s="44" t="s">
        <v>123</v>
      </c>
      <c r="C550" s="128">
        <v>917.486226348305</v>
      </c>
      <c r="D550" s="128">
        <v>8.0</v>
      </c>
      <c r="E550" s="128">
        <v>908.9716352362422</v>
      </c>
      <c r="F550" s="44" t="s">
        <v>107</v>
      </c>
      <c r="G550" s="128">
        <v>972.8875597555711</v>
      </c>
      <c r="H550" s="128">
        <v>18.0</v>
      </c>
      <c r="I550" s="128">
        <v>968.0115503373169</v>
      </c>
      <c r="J550" s="44" t="s">
        <v>61</v>
      </c>
      <c r="K550" s="128">
        <v>1072.7538482044433</v>
      </c>
      <c r="L550" s="128">
        <v>22.0</v>
      </c>
      <c r="M550" s="128">
        <v>1069.1747179475853</v>
      </c>
      <c r="N550" s="44" t="s">
        <v>27</v>
      </c>
      <c r="O550" s="128">
        <v>1106.8709788395784</v>
      </c>
      <c r="P550" s="128">
        <v>26.0</v>
      </c>
      <c r="Q550" s="128">
        <v>1104.8407096267533</v>
      </c>
      <c r="V550" s="44" t="s">
        <v>88</v>
      </c>
      <c r="W550" s="128">
        <v>885.1584234752839</v>
      </c>
      <c r="X550" s="128">
        <v>12.0</v>
      </c>
      <c r="Y550" s="128">
        <v>886.9753686237035</v>
      </c>
      <c r="Z550" s="44" t="s">
        <v>112</v>
      </c>
      <c r="AA550" s="128">
        <v>982.7905991885768</v>
      </c>
      <c r="AB550" s="128">
        <v>17.0</v>
      </c>
      <c r="AC550" s="128">
        <v>985.8891353813028</v>
      </c>
      <c r="AD550" s="44" t="s">
        <v>110</v>
      </c>
      <c r="AE550" s="128">
        <v>999.9057046026093</v>
      </c>
      <c r="AF550" s="128">
        <v>23.0</v>
      </c>
      <c r="AG550" s="128">
        <v>1005.3018448459005</v>
      </c>
      <c r="AH550" s="44" t="s">
        <v>31</v>
      </c>
      <c r="AI550" s="128">
        <v>1210.8458880333874</v>
      </c>
      <c r="AJ550" s="128">
        <v>32.0</v>
      </c>
      <c r="AK550" s="128">
        <v>1219.5342664489506</v>
      </c>
      <c r="AP550" s="128">
        <v>11.0</v>
      </c>
      <c r="AQ550" s="128">
        <v>17.0</v>
      </c>
      <c r="AT550" s="44">
        <v>549.0</v>
      </c>
      <c r="AU550" s="44"/>
      <c r="AW550" s="93"/>
      <c r="AY550" s="93"/>
      <c r="AZ550" s="93"/>
      <c r="BA550" s="93"/>
      <c r="BB550" s="155"/>
      <c r="BC550" s="93"/>
      <c r="BE550" s="93"/>
      <c r="BG550" s="93"/>
      <c r="BH550" s="93"/>
      <c r="BI550" s="93"/>
      <c r="BJ550" s="155"/>
      <c r="BK550" s="93"/>
    </row>
    <row r="551">
      <c r="A551" s="166">
        <v>44357.018662256945</v>
      </c>
      <c r="B551" s="44" t="s">
        <v>123</v>
      </c>
      <c r="C551" s="128">
        <v>908.9716352362422</v>
      </c>
      <c r="D551" s="128">
        <v>15.0</v>
      </c>
      <c r="E551" s="128">
        <v>905.582102200665</v>
      </c>
      <c r="F551" s="44" t="s">
        <v>112</v>
      </c>
      <c r="G551" s="128">
        <v>985.8891353813028</v>
      </c>
      <c r="H551" s="128">
        <v>23.0</v>
      </c>
      <c r="I551" s="128">
        <v>983.9180128378855</v>
      </c>
      <c r="J551" s="44" t="s">
        <v>61</v>
      </c>
      <c r="K551" s="128">
        <v>1069.1747179475853</v>
      </c>
      <c r="L551" s="128">
        <v>18.0</v>
      </c>
      <c r="M551" s="128">
        <v>1066.0329239701032</v>
      </c>
      <c r="N551" s="44" t="s">
        <v>27</v>
      </c>
      <c r="O551" s="128">
        <v>1104.8407096267533</v>
      </c>
      <c r="P551" s="128">
        <v>26.0</v>
      </c>
      <c r="Q551" s="128">
        <v>1103.34315918323</v>
      </c>
      <c r="V551" s="44" t="s">
        <v>88</v>
      </c>
      <c r="W551" s="128">
        <v>886.9753686237035</v>
      </c>
      <c r="X551" s="128">
        <v>15.0</v>
      </c>
      <c r="Y551" s="128">
        <v>888.4869637807685</v>
      </c>
      <c r="Z551" s="44" t="s">
        <v>107</v>
      </c>
      <c r="AA551" s="128">
        <v>968.0115503373169</v>
      </c>
      <c r="AB551" s="128">
        <v>19.0</v>
      </c>
      <c r="AC551" s="128">
        <v>970.0438307535496</v>
      </c>
      <c r="AD551" s="44" t="s">
        <v>110</v>
      </c>
      <c r="AE551" s="128">
        <v>1005.3018448459005</v>
      </c>
      <c r="AF551" s="128">
        <v>19.0</v>
      </c>
      <c r="AG551" s="128">
        <v>1007.2420867609303</v>
      </c>
      <c r="AH551" s="44" t="s">
        <v>31</v>
      </c>
      <c r="AI551" s="128">
        <v>1219.5342664489506</v>
      </c>
      <c r="AJ551" s="128">
        <v>32.0</v>
      </c>
      <c r="AK551" s="128">
        <v>1224.0501489606231</v>
      </c>
      <c r="AP551" s="128">
        <v>13.0</v>
      </c>
      <c r="AQ551" s="128">
        <v>15.0</v>
      </c>
      <c r="AT551" s="44">
        <v>550.0</v>
      </c>
      <c r="AU551" s="44"/>
      <c r="AW551" s="93"/>
      <c r="AY551" s="93"/>
      <c r="AZ551" s="93"/>
      <c r="BA551" s="93"/>
      <c r="BB551" s="155"/>
      <c r="BC551" s="93"/>
      <c r="BE551" s="93"/>
      <c r="BG551" s="93"/>
      <c r="BH551" s="93"/>
      <c r="BI551" s="93"/>
      <c r="BJ551" s="155"/>
      <c r="BK551" s="93"/>
    </row>
    <row r="552">
      <c r="A552" s="166">
        <v>44357.05596034722</v>
      </c>
      <c r="B552" s="44" t="s">
        <v>88</v>
      </c>
      <c r="C552" s="128">
        <v>888.4869637807685</v>
      </c>
      <c r="D552" s="128">
        <v>11.0</v>
      </c>
      <c r="E552" s="128">
        <v>879.4561793028206</v>
      </c>
      <c r="F552" s="44" t="s">
        <v>123</v>
      </c>
      <c r="G552" s="128">
        <v>905.582102200665</v>
      </c>
      <c r="H552" s="128">
        <v>8.0</v>
      </c>
      <c r="I552" s="128">
        <v>894.725622064946</v>
      </c>
      <c r="J552" s="44" t="s">
        <v>31</v>
      </c>
      <c r="K552" s="128">
        <v>1224.0501489606231</v>
      </c>
      <c r="L552" s="128">
        <v>29.0</v>
      </c>
      <c r="M552" s="128">
        <v>1223.9374135742898</v>
      </c>
      <c r="N552" s="44"/>
      <c r="O552" s="128"/>
      <c r="P552" s="128"/>
      <c r="Q552" s="128"/>
      <c r="V552" s="44" t="s">
        <v>107</v>
      </c>
      <c r="W552" s="128">
        <v>970.0438307535496</v>
      </c>
      <c r="X552" s="128">
        <v>14.0</v>
      </c>
      <c r="Y552" s="128">
        <v>973.1859043063866</v>
      </c>
      <c r="Z552" s="44" t="s">
        <v>112</v>
      </c>
      <c r="AA552" s="128">
        <v>983.9180128378855</v>
      </c>
      <c r="AB552" s="128">
        <v>21.0</v>
      </c>
      <c r="AC552" s="128">
        <v>990.8546833257686</v>
      </c>
      <c r="AD552" s="44" t="s">
        <v>61</v>
      </c>
      <c r="AE552" s="128">
        <v>1066.0329239701032</v>
      </c>
      <c r="AF552" s="128">
        <v>27.0</v>
      </c>
      <c r="AG552" s="128">
        <v>1075.9541799293831</v>
      </c>
      <c r="AH552" s="44"/>
      <c r="AI552" s="128"/>
      <c r="AJ552" s="128"/>
      <c r="AK552" s="128"/>
      <c r="AP552" s="128">
        <v>10.0</v>
      </c>
      <c r="AQ552" s="128">
        <v>17.0</v>
      </c>
      <c r="AT552" s="44">
        <v>551.0</v>
      </c>
      <c r="AU552" s="44"/>
      <c r="AW552" s="93"/>
      <c r="AY552" s="93"/>
      <c r="AZ552" s="93"/>
      <c r="BA552" s="93"/>
      <c r="BB552" s="155"/>
      <c r="BC552" s="93"/>
      <c r="BE552" s="93"/>
      <c r="BG552" s="93"/>
      <c r="BH552" s="93"/>
      <c r="BI552" s="93"/>
      <c r="BJ552" s="155"/>
      <c r="BK552" s="93"/>
    </row>
    <row r="553">
      <c r="A553" s="166">
        <v>44359.93677721065</v>
      </c>
      <c r="B553" s="44" t="s">
        <v>107</v>
      </c>
      <c r="C553" s="128">
        <v>973.1859043063866</v>
      </c>
      <c r="D553" s="128">
        <v>19.0</v>
      </c>
      <c r="E553" s="128">
        <v>979.2292563253621</v>
      </c>
      <c r="F553" s="44" t="s">
        <v>47</v>
      </c>
      <c r="G553" s="128">
        <v>999.1132692780225</v>
      </c>
      <c r="H553" s="128">
        <v>23.0</v>
      </c>
      <c r="I553" s="128">
        <v>1007.3217125072459</v>
      </c>
      <c r="J553" s="44" t="s">
        <v>61</v>
      </c>
      <c r="K553" s="128">
        <v>1075.9541799293831</v>
      </c>
      <c r="L553" s="128">
        <v>21.0</v>
      </c>
      <c r="M553" s="128">
        <v>1082.7023846811842</v>
      </c>
      <c r="N553" s="44"/>
      <c r="O553" s="128"/>
      <c r="P553" s="128"/>
      <c r="Q553" s="128"/>
      <c r="V553" s="44" t="s">
        <v>98</v>
      </c>
      <c r="W553" s="128">
        <v>938.1009056849605</v>
      </c>
      <c r="X553" s="128">
        <v>8.0</v>
      </c>
      <c r="Y553" s="128">
        <v>926.6008909551047</v>
      </c>
      <c r="Z553" s="44" t="s">
        <v>245</v>
      </c>
      <c r="AA553" s="128">
        <v>1024.4923895403235</v>
      </c>
      <c r="AB553" s="128">
        <v>19.0</v>
      </c>
      <c r="AC553" s="128">
        <v>1018.9503145010482</v>
      </c>
      <c r="AD553" s="44" t="s">
        <v>27</v>
      </c>
      <c r="AE553" s="128">
        <v>1103.34315918323</v>
      </c>
      <c r="AF553" s="128">
        <v>22.0</v>
      </c>
      <c r="AG553" s="128">
        <v>1099.385248952361</v>
      </c>
      <c r="AH553" s="44"/>
      <c r="AI553" s="128"/>
      <c r="AJ553" s="128"/>
      <c r="AK553" s="128"/>
      <c r="AP553" s="128">
        <v>17.0</v>
      </c>
      <c r="AQ553" s="128">
        <v>11.0</v>
      </c>
      <c r="AT553" s="44">
        <v>552.0</v>
      </c>
      <c r="AU553" s="44"/>
      <c r="AW553" s="93"/>
      <c r="AY553" s="93"/>
      <c r="AZ553" s="93"/>
      <c r="BA553" s="93"/>
      <c r="BB553" s="155"/>
      <c r="BC553" s="93"/>
      <c r="BE553" s="93"/>
      <c r="BG553" s="93"/>
      <c r="BH553" s="93"/>
      <c r="BI553" s="93"/>
      <c r="BJ553" s="155"/>
      <c r="BK553" s="93"/>
    </row>
    <row r="554">
      <c r="A554" s="166">
        <v>44359.983160358795</v>
      </c>
      <c r="B554" s="44" t="s">
        <v>107</v>
      </c>
      <c r="C554" s="128">
        <v>979.2292563253621</v>
      </c>
      <c r="D554" s="128">
        <v>11.0</v>
      </c>
      <c r="E554" s="128">
        <v>981.0737494150526</v>
      </c>
      <c r="F554" s="44" t="s">
        <v>47</v>
      </c>
      <c r="G554" s="128">
        <v>1007.3217125072459</v>
      </c>
      <c r="H554" s="128">
        <v>25.0</v>
      </c>
      <c r="I554" s="128">
        <v>1017.9301115212895</v>
      </c>
      <c r="J554" s="44" t="s">
        <v>245</v>
      </c>
      <c r="K554" s="128">
        <v>1018.9503145010482</v>
      </c>
      <c r="L554" s="128">
        <v>25.0</v>
      </c>
      <c r="M554" s="128">
        <v>1029.497422397314</v>
      </c>
      <c r="N554" s="44"/>
      <c r="O554" s="128"/>
      <c r="P554" s="128"/>
      <c r="Q554" s="128"/>
      <c r="V554" s="44" t="s">
        <v>88</v>
      </c>
      <c r="W554" s="128">
        <v>879.4561793028206</v>
      </c>
      <c r="X554" s="128">
        <v>12.0</v>
      </c>
      <c r="Y554" s="128">
        <v>869.2543215374134</v>
      </c>
      <c r="Z554" s="44" t="s">
        <v>61</v>
      </c>
      <c r="AA554" s="128">
        <v>1082.7023846811842</v>
      </c>
      <c r="AB554" s="128">
        <v>19.0</v>
      </c>
      <c r="AC554" s="128">
        <v>1075.677334798334</v>
      </c>
      <c r="AD554" s="44" t="s">
        <v>27</v>
      </c>
      <c r="AE554" s="128">
        <v>1099.385248952361</v>
      </c>
      <c r="AF554" s="128">
        <v>21.0</v>
      </c>
      <c r="AG554" s="128">
        <v>1093.6121566006184</v>
      </c>
      <c r="AH554" s="44"/>
      <c r="AI554" s="128"/>
      <c r="AJ554" s="128"/>
      <c r="AK554" s="128"/>
      <c r="AP554" s="128">
        <v>17.0</v>
      </c>
      <c r="AQ554" s="128">
        <v>11.0</v>
      </c>
      <c r="AR554" s="44" t="s">
        <v>505</v>
      </c>
      <c r="AT554" s="44">
        <v>553.0</v>
      </c>
      <c r="AU554" s="44"/>
      <c r="AW554" s="93"/>
      <c r="AY554" s="93"/>
      <c r="AZ554" s="93"/>
      <c r="BA554" s="93"/>
      <c r="BB554" s="155"/>
      <c r="BC554" s="93"/>
      <c r="BE554" s="93"/>
      <c r="BG554" s="93"/>
      <c r="BH554" s="93"/>
      <c r="BI554" s="93"/>
      <c r="BJ554" s="155"/>
      <c r="BK554" s="93"/>
    </row>
    <row r="555">
      <c r="A555" s="166">
        <v>44360.02050932871</v>
      </c>
      <c r="B555" s="44" t="s">
        <v>98</v>
      </c>
      <c r="C555" s="128">
        <v>926.6008909551047</v>
      </c>
      <c r="D555" s="128">
        <v>19.0</v>
      </c>
      <c r="E555" s="128">
        <v>920.1364963268218</v>
      </c>
      <c r="F555" s="44" t="s">
        <v>107</v>
      </c>
      <c r="G555" s="128">
        <v>981.0737494150526</v>
      </c>
      <c r="H555" s="128">
        <v>14.0</v>
      </c>
      <c r="I555" s="128">
        <v>971.4294963338824</v>
      </c>
      <c r="J555" s="44" t="s">
        <v>61</v>
      </c>
      <c r="K555" s="128">
        <v>1075.677334798334</v>
      </c>
      <c r="L555" s="128">
        <v>25.0</v>
      </c>
      <c r="M555" s="128">
        <v>1071.7859825077871</v>
      </c>
      <c r="N555" s="44"/>
      <c r="O555" s="128"/>
      <c r="P555" s="128"/>
      <c r="Q555" s="128"/>
      <c r="V555" s="44" t="s">
        <v>88</v>
      </c>
      <c r="W555" s="128">
        <v>869.2543215374134</v>
      </c>
      <c r="X555" s="128">
        <v>15.0</v>
      </c>
      <c r="Y555" s="128">
        <v>873.525724865458</v>
      </c>
      <c r="Z555" s="44" t="s">
        <v>47</v>
      </c>
      <c r="AA555" s="128">
        <v>1017.9301115212895</v>
      </c>
      <c r="AB555" s="128">
        <v>19.0</v>
      </c>
      <c r="AC555" s="128">
        <v>1023.1278025678478</v>
      </c>
      <c r="AD555" s="44" t="s">
        <v>27</v>
      </c>
      <c r="AE555" s="128">
        <v>1093.6121566006184</v>
      </c>
      <c r="AF555" s="128">
        <v>29.0</v>
      </c>
      <c r="AG555" s="128">
        <v>1104.1430622260157</v>
      </c>
      <c r="AH555" s="44"/>
      <c r="AI555" s="128"/>
      <c r="AJ555" s="128"/>
      <c r="AK555" s="128"/>
      <c r="AP555" s="128">
        <v>12.0</v>
      </c>
      <c r="AQ555" s="128">
        <v>16.0</v>
      </c>
      <c r="AT555" s="44">
        <v>554.0</v>
      </c>
      <c r="AU555" s="44"/>
      <c r="AW555" s="93"/>
      <c r="AY555" s="93"/>
      <c r="AZ555" s="93"/>
      <c r="BA555" s="93"/>
      <c r="BB555" s="155"/>
      <c r="BC555" s="93"/>
      <c r="BE555" s="93"/>
      <c r="BG555" s="93"/>
      <c r="BH555" s="93"/>
      <c r="BI555" s="93"/>
      <c r="BJ555" s="155"/>
      <c r="BK555" s="93"/>
    </row>
    <row r="556">
      <c r="A556" s="166">
        <v>44360.06044292824</v>
      </c>
      <c r="B556" s="44" t="s">
        <v>98</v>
      </c>
      <c r="C556" s="128">
        <v>920.1364963268218</v>
      </c>
      <c r="D556" s="128">
        <v>11.0</v>
      </c>
      <c r="E556" s="128">
        <v>921.1060994715386</v>
      </c>
      <c r="F556" s="44" t="s">
        <v>34</v>
      </c>
      <c r="G556" s="128">
        <v>975.8867006448368</v>
      </c>
      <c r="H556" s="128">
        <v>23.0</v>
      </c>
      <c r="I556" s="128">
        <v>983.0374558061717</v>
      </c>
      <c r="J556" s="44" t="s">
        <v>47</v>
      </c>
      <c r="K556" s="128">
        <v>1023.1278025678478</v>
      </c>
      <c r="L556" s="128">
        <v>32.0</v>
      </c>
      <c r="M556" s="128">
        <v>1035.007444261796</v>
      </c>
      <c r="N556" s="44"/>
      <c r="O556" s="128"/>
      <c r="P556" s="128"/>
      <c r="Q556" s="128"/>
      <c r="V556" s="44" t="s">
        <v>88</v>
      </c>
      <c r="W556" s="128">
        <v>873.525724865458</v>
      </c>
      <c r="X556" s="128">
        <v>16.0</v>
      </c>
      <c r="Y556" s="128">
        <v>866.9462921337441</v>
      </c>
      <c r="Z556" s="44" t="s">
        <v>107</v>
      </c>
      <c r="AA556" s="128">
        <v>971.4294963338824</v>
      </c>
      <c r="AB556" s="128">
        <v>10.0</v>
      </c>
      <c r="AC556" s="128">
        <v>960.7350246863294</v>
      </c>
      <c r="AD556" s="44" t="s">
        <v>61</v>
      </c>
      <c r="AE556" s="128">
        <v>1071.7859825077871</v>
      </c>
      <c r="AF556" s="128">
        <v>25.0</v>
      </c>
      <c r="AG556" s="128">
        <v>1069.059886887054</v>
      </c>
      <c r="AH556" s="44"/>
      <c r="AI556" s="128"/>
      <c r="AJ556" s="128"/>
      <c r="AK556" s="128"/>
      <c r="AP556" s="128">
        <v>18.0</v>
      </c>
      <c r="AQ556" s="128">
        <v>10.0</v>
      </c>
      <c r="AT556" s="44">
        <v>555.0</v>
      </c>
      <c r="AU556" s="44"/>
      <c r="AW556" s="93"/>
      <c r="AY556" s="93"/>
      <c r="AZ556" s="93"/>
      <c r="BA556" s="93"/>
      <c r="BB556" s="155"/>
      <c r="BC556" s="93"/>
      <c r="BE556" s="93"/>
      <c r="BG556" s="93"/>
      <c r="BH556" s="93"/>
      <c r="BI556" s="93"/>
      <c r="BJ556" s="155"/>
      <c r="BK556" s="93"/>
    </row>
    <row r="557">
      <c r="A557" s="166">
        <v>44360.95242782407</v>
      </c>
      <c r="B557" s="44" t="s">
        <v>123</v>
      </c>
      <c r="C557" s="128">
        <v>894.725622064946</v>
      </c>
      <c r="D557" s="128">
        <v>16.0</v>
      </c>
      <c r="E557" s="128">
        <v>898.648369039105</v>
      </c>
      <c r="F557" s="44" t="s">
        <v>92</v>
      </c>
      <c r="G557" s="128">
        <v>980.0708079648418</v>
      </c>
      <c r="H557" s="128">
        <v>18.0</v>
      </c>
      <c r="I557" s="128">
        <v>984.2989294025475</v>
      </c>
      <c r="J557" s="44" t="s">
        <v>112</v>
      </c>
      <c r="K557" s="128">
        <v>990.8546833257686</v>
      </c>
      <c r="L557" s="128">
        <v>28.0</v>
      </c>
      <c r="M557" s="128">
        <v>999.2028590969866</v>
      </c>
      <c r="N557" s="44" t="s">
        <v>27</v>
      </c>
      <c r="O557" s="128">
        <v>1104.1430622260157</v>
      </c>
      <c r="P557" s="128">
        <v>17.0</v>
      </c>
      <c r="Q557" s="128">
        <v>1107.644018042933</v>
      </c>
      <c r="V557" s="44" t="s">
        <v>88</v>
      </c>
      <c r="W557" s="128">
        <v>866.9462921337441</v>
      </c>
      <c r="X557" s="128">
        <v>15.0</v>
      </c>
      <c r="Y557" s="128">
        <v>861.3461314646612</v>
      </c>
      <c r="Z557" s="44" t="s">
        <v>110</v>
      </c>
      <c r="AA557" s="128">
        <v>1007.2420867609303</v>
      </c>
      <c r="AB557" s="128">
        <v>17.0</v>
      </c>
      <c r="AC557" s="128">
        <v>1001.6822825446835</v>
      </c>
      <c r="AD557" s="44" t="s">
        <v>47</v>
      </c>
      <c r="AE557" s="128">
        <v>1035.007444261796</v>
      </c>
      <c r="AF557" s="128">
        <v>22.0</v>
      </c>
      <c r="AG557" s="128">
        <v>1031.453545069378</v>
      </c>
      <c r="AH557" s="44" t="s">
        <v>61</v>
      </c>
      <c r="AI557" s="128">
        <v>1069.059886887054</v>
      </c>
      <c r="AJ557" s="128">
        <v>18.0</v>
      </c>
      <c r="AK557" s="128">
        <v>1063.773750964802</v>
      </c>
      <c r="AP557" s="128">
        <v>16.0</v>
      </c>
      <c r="AQ557" s="128">
        <v>12.0</v>
      </c>
      <c r="AT557" s="44">
        <v>556.0</v>
      </c>
      <c r="AU557" s="44"/>
      <c r="AW557" s="93"/>
      <c r="AY557" s="93"/>
      <c r="AZ557" s="93"/>
      <c r="BA557" s="93"/>
      <c r="BB557" s="155"/>
      <c r="BC557" s="93"/>
      <c r="BE557" s="93"/>
      <c r="BG557" s="93"/>
      <c r="BH557" s="93"/>
      <c r="BI557" s="93"/>
      <c r="BJ557" s="155"/>
      <c r="BK557" s="93"/>
    </row>
    <row r="558">
      <c r="A558" s="166">
        <v>44360.98384483796</v>
      </c>
      <c r="B558" s="44" t="s">
        <v>88</v>
      </c>
      <c r="C558" s="128">
        <v>861.3461314646612</v>
      </c>
      <c r="D558" s="128">
        <v>13.0</v>
      </c>
      <c r="E558" s="128">
        <v>864.4444326197463</v>
      </c>
      <c r="F558" s="44" t="s">
        <v>61</v>
      </c>
      <c r="G558" s="128">
        <v>1063.773750964802</v>
      </c>
      <c r="H558" s="128">
        <v>22.0</v>
      </c>
      <c r="I558" s="128">
        <v>1070.1796063409192</v>
      </c>
      <c r="J558" s="44" t="s">
        <v>27</v>
      </c>
      <c r="K558" s="128">
        <v>1107.644018042933</v>
      </c>
      <c r="L558" s="128">
        <v>28.0</v>
      </c>
      <c r="M558" s="128">
        <v>1117.139861511731</v>
      </c>
      <c r="N558" s="44"/>
      <c r="O558" s="128"/>
      <c r="P558" s="128"/>
      <c r="Q558" s="128"/>
      <c r="V558" s="44" t="s">
        <v>92</v>
      </c>
      <c r="W558" s="128">
        <v>984.2989294025475</v>
      </c>
      <c r="X558" s="128">
        <v>20.0</v>
      </c>
      <c r="Y558" s="128">
        <v>979.281273543111</v>
      </c>
      <c r="Z558" s="44" t="s">
        <v>112</v>
      </c>
      <c r="AA558" s="128">
        <v>999.2028590969866</v>
      </c>
      <c r="AB558" s="128">
        <v>16.0</v>
      </c>
      <c r="AC558" s="128">
        <v>992.0062422209816</v>
      </c>
      <c r="AD558" s="44" t="s">
        <v>47</v>
      </c>
      <c r="AE558" s="128">
        <v>1031.453545069378</v>
      </c>
      <c r="AF558" s="128">
        <v>17.0</v>
      </c>
      <c r="AG558" s="128">
        <v>1024.6678178048194</v>
      </c>
      <c r="AH558" s="44"/>
      <c r="AI558" s="128"/>
      <c r="AJ558" s="128"/>
      <c r="AK558" s="128"/>
      <c r="AP558" s="128">
        <v>17.0</v>
      </c>
      <c r="AQ558" s="128">
        <v>11.0</v>
      </c>
      <c r="AT558" s="44">
        <v>557.0</v>
      </c>
      <c r="AU558" s="44"/>
      <c r="AW558" s="93"/>
      <c r="AY558" s="93"/>
      <c r="AZ558" s="93"/>
      <c r="BA558" s="93"/>
      <c r="BB558" s="155"/>
      <c r="BC558" s="93"/>
      <c r="BE558" s="93"/>
      <c r="BG558" s="93"/>
      <c r="BH558" s="93"/>
      <c r="BI558" s="93"/>
      <c r="BJ558" s="155"/>
      <c r="BK558" s="93"/>
    </row>
    <row r="559">
      <c r="A559" s="166">
        <v>44361.990441180555</v>
      </c>
      <c r="B559" s="44" t="s">
        <v>88</v>
      </c>
      <c r="C559" s="128">
        <v>864.4444326197463</v>
      </c>
      <c r="D559" s="128">
        <v>28.0</v>
      </c>
      <c r="E559" s="128">
        <v>867.1260110144856</v>
      </c>
      <c r="F559" s="44" t="s">
        <v>107</v>
      </c>
      <c r="G559" s="128">
        <v>960.7350246863294</v>
      </c>
      <c r="H559" s="128">
        <v>19.0</v>
      </c>
      <c r="I559" s="128">
        <v>961.0300981868028</v>
      </c>
      <c r="J559" s="44" t="s">
        <v>112</v>
      </c>
      <c r="K559" s="128">
        <v>992.0062422209816</v>
      </c>
      <c r="L559" s="128">
        <v>23.0</v>
      </c>
      <c r="M559" s="128">
        <v>993.0258264410414</v>
      </c>
      <c r="N559" s="44" t="s">
        <v>31</v>
      </c>
      <c r="O559" s="128">
        <v>1223.9374135742898</v>
      </c>
      <c r="P559" s="128">
        <v>48.0</v>
      </c>
      <c r="Q559" s="128">
        <v>1229.9411774590174</v>
      </c>
      <c r="V559" s="44" t="s">
        <v>123</v>
      </c>
      <c r="W559" s="128">
        <v>898.648369039105</v>
      </c>
      <c r="X559" s="128">
        <v>10.0</v>
      </c>
      <c r="Y559" s="128">
        <v>892.6114582568952</v>
      </c>
      <c r="Z559" s="44" t="s">
        <v>110</v>
      </c>
      <c r="AA559" s="128">
        <v>1001.6822825446835</v>
      </c>
      <c r="AB559" s="128">
        <v>39.0</v>
      </c>
      <c r="AC559" s="128">
        <v>1001.2685354242159</v>
      </c>
      <c r="AD559" s="44" t="s">
        <v>47</v>
      </c>
      <c r="AE559" s="128">
        <v>1024.6678178048194</v>
      </c>
      <c r="AF559" s="128">
        <v>22.0</v>
      </c>
      <c r="AG559" s="128">
        <v>1020.6576308800982</v>
      </c>
      <c r="AH559" s="44" t="s">
        <v>27</v>
      </c>
      <c r="AI559" s="128">
        <v>1117.139861511731</v>
      </c>
      <c r="AJ559" s="128">
        <v>44.0</v>
      </c>
      <c r="AK559" s="128">
        <v>1117.6007063391296</v>
      </c>
      <c r="AP559" s="128">
        <v>23.0</v>
      </c>
      <c r="AQ559" s="128">
        <v>19.0</v>
      </c>
      <c r="AT559" s="44">
        <v>558.0</v>
      </c>
      <c r="AU559" s="44"/>
      <c r="AW559" s="93"/>
      <c r="AY559" s="93"/>
      <c r="AZ559" s="93"/>
      <c r="BA559" s="93"/>
      <c r="BB559" s="155"/>
      <c r="BC559" s="93"/>
      <c r="BE559" s="93"/>
      <c r="BG559" s="93"/>
      <c r="BH559" s="93"/>
      <c r="BI559" s="93"/>
      <c r="BJ559" s="155"/>
      <c r="BK559" s="93"/>
    </row>
    <row r="560">
      <c r="A560" s="166">
        <v>44362.043201423614</v>
      </c>
      <c r="B560" s="44" t="s">
        <v>88</v>
      </c>
      <c r="C560" s="128">
        <v>867.1260110144856</v>
      </c>
      <c r="D560" s="128">
        <v>29.0</v>
      </c>
      <c r="E560" s="128">
        <v>865.0736220995376</v>
      </c>
      <c r="F560" s="44" t="s">
        <v>112</v>
      </c>
      <c r="G560" s="128">
        <v>993.0258264410414</v>
      </c>
      <c r="H560" s="128">
        <v>24.0</v>
      </c>
      <c r="I560" s="128">
        <v>989.3457822936488</v>
      </c>
      <c r="J560" s="44" t="s">
        <v>110</v>
      </c>
      <c r="K560" s="128">
        <v>1001.2685354242159</v>
      </c>
      <c r="L560" s="128">
        <v>30.0</v>
      </c>
      <c r="M560" s="128">
        <v>998.8152165269653</v>
      </c>
      <c r="N560" s="44" t="s">
        <v>31</v>
      </c>
      <c r="O560" s="128">
        <v>1229.9411774590174</v>
      </c>
      <c r="P560" s="128">
        <v>34.0</v>
      </c>
      <c r="Q560" s="128">
        <v>1228.1269294186086</v>
      </c>
      <c r="V560" s="44" t="s">
        <v>107</v>
      </c>
      <c r="W560" s="128">
        <v>961.0300981868028</v>
      </c>
      <c r="X560" s="128">
        <v>17.0</v>
      </c>
      <c r="Y560" s="128">
        <v>960.8095323914903</v>
      </c>
      <c r="Z560" s="44" t="s">
        <v>34</v>
      </c>
      <c r="AA560" s="128">
        <v>983.0374558061717</v>
      </c>
      <c r="AB560" s="128">
        <v>33.0</v>
      </c>
      <c r="AC560" s="128">
        <v>986.0709514487672</v>
      </c>
      <c r="AD560" s="44" t="s">
        <v>47</v>
      </c>
      <c r="AE560" s="128">
        <v>1020.6576308800982</v>
      </c>
      <c r="AF560" s="128">
        <v>36.0</v>
      </c>
      <c r="AG560" s="128">
        <v>1024.2110862620568</v>
      </c>
      <c r="AH560" s="44" t="s">
        <v>27</v>
      </c>
      <c r="AI560" s="128">
        <v>1117.6007063391296</v>
      </c>
      <c r="AJ560" s="128">
        <v>37.0</v>
      </c>
      <c r="AK560" s="128">
        <v>1121.234321109888</v>
      </c>
      <c r="AP560" s="128">
        <v>20.0</v>
      </c>
      <c r="AQ560" s="128">
        <v>22.0</v>
      </c>
      <c r="AT560" s="44">
        <v>559.0</v>
      </c>
      <c r="AU560" s="44"/>
      <c r="AW560" s="93"/>
      <c r="AY560" s="93"/>
      <c r="AZ560" s="93"/>
      <c r="BA560" s="93"/>
      <c r="BB560" s="155"/>
      <c r="BC560" s="93"/>
      <c r="BE560" s="93"/>
      <c r="BG560" s="93"/>
      <c r="BH560" s="93"/>
      <c r="BI560" s="93"/>
      <c r="BJ560" s="155"/>
      <c r="BK560" s="93"/>
    </row>
    <row r="561">
      <c r="A561" s="166">
        <v>44363.94000894676</v>
      </c>
      <c r="B561" s="44" t="s">
        <v>123</v>
      </c>
      <c r="C561" s="128">
        <v>892.6114582568952</v>
      </c>
      <c r="D561" s="128">
        <v>11.0</v>
      </c>
      <c r="E561" s="128">
        <v>893.3901442547584</v>
      </c>
      <c r="F561" s="44" t="s">
        <v>107</v>
      </c>
      <c r="G561" s="128">
        <v>960.8095323914903</v>
      </c>
      <c r="H561" s="128">
        <v>18.0</v>
      </c>
      <c r="I561" s="128">
        <v>963.2178036500243</v>
      </c>
      <c r="J561" s="44" t="s">
        <v>31</v>
      </c>
      <c r="K561" s="128">
        <v>1228.1269294186086</v>
      </c>
      <c r="L561" s="128">
        <v>35.0</v>
      </c>
      <c r="M561" s="128">
        <v>1234.9399721622115</v>
      </c>
      <c r="N561" s="44"/>
      <c r="O561" s="128"/>
      <c r="P561" s="128"/>
      <c r="Q561" s="128"/>
      <c r="V561" s="44" t="s">
        <v>34</v>
      </c>
      <c r="W561" s="128">
        <v>986.0709514487672</v>
      </c>
      <c r="X561" s="128">
        <v>18.0</v>
      </c>
      <c r="Y561" s="128">
        <v>982.7199273680791</v>
      </c>
      <c r="Z561" s="44" t="s">
        <v>47</v>
      </c>
      <c r="AA561" s="128">
        <v>1024.2110862620568</v>
      </c>
      <c r="AB561" s="128">
        <v>14.0</v>
      </c>
      <c r="AC561" s="128">
        <v>1019.6676276455556</v>
      </c>
      <c r="AD561" s="44" t="s">
        <v>61</v>
      </c>
      <c r="AE561" s="128">
        <v>1070.1796063409192</v>
      </c>
      <c r="AF561" s="128">
        <v>23.0</v>
      </c>
      <c r="AG561" s="128">
        <v>1068.0740890381087</v>
      </c>
      <c r="AH561" s="44"/>
      <c r="AI561" s="128"/>
      <c r="AJ561" s="128"/>
      <c r="AK561" s="128"/>
      <c r="AP561" s="128">
        <v>15.0</v>
      </c>
      <c r="AQ561" s="128">
        <v>13.0</v>
      </c>
      <c r="AT561" s="44">
        <v>560.0</v>
      </c>
      <c r="AU561" s="44"/>
      <c r="AW561" s="93"/>
      <c r="AY561" s="93"/>
      <c r="AZ561" s="93"/>
      <c r="BA561" s="93"/>
      <c r="BB561" s="155"/>
      <c r="BC561" s="93"/>
      <c r="BE561" s="93"/>
      <c r="BG561" s="93"/>
      <c r="BH561" s="93"/>
      <c r="BI561" s="93"/>
      <c r="BJ561" s="155"/>
      <c r="BK561" s="93"/>
    </row>
    <row r="562">
      <c r="A562" s="166">
        <v>44363.977858425926</v>
      </c>
      <c r="B562" s="44" t="s">
        <v>34</v>
      </c>
      <c r="C562" s="128">
        <v>982.7199273680791</v>
      </c>
      <c r="D562" s="128">
        <v>15.0</v>
      </c>
      <c r="E562" s="128">
        <v>976.8643445808389</v>
      </c>
      <c r="F562" s="44" t="s">
        <v>47</v>
      </c>
      <c r="G562" s="128">
        <v>1019.6676276455556</v>
      </c>
      <c r="H562" s="128">
        <v>24.0</v>
      </c>
      <c r="I562" s="128">
        <v>1017.1984970368865</v>
      </c>
      <c r="J562" s="44" t="s">
        <v>61</v>
      </c>
      <c r="K562" s="128">
        <v>1068.0740890381087</v>
      </c>
      <c r="L562" s="128">
        <v>16.0</v>
      </c>
      <c r="M562" s="128">
        <v>1062.398802434018</v>
      </c>
      <c r="N562" s="44"/>
      <c r="O562" s="128"/>
      <c r="P562" s="128"/>
      <c r="Q562" s="128"/>
      <c r="V562" s="44" t="s">
        <v>107</v>
      </c>
      <c r="W562" s="128">
        <v>963.2178036500243</v>
      </c>
      <c r="X562" s="128">
        <v>14.0</v>
      </c>
      <c r="Y562" s="128">
        <v>965.5789698886023</v>
      </c>
      <c r="Z562" s="44" t="s">
        <v>92</v>
      </c>
      <c r="AA562" s="128">
        <v>979.281273543111</v>
      </c>
      <c r="AB562" s="128">
        <v>12.0</v>
      </c>
      <c r="AC562" s="128">
        <v>980.7938110846101</v>
      </c>
      <c r="AD562" s="44" t="s">
        <v>31</v>
      </c>
      <c r="AE562" s="128">
        <v>1234.9399721622115</v>
      </c>
      <c r="AF562" s="128">
        <v>35.0</v>
      </c>
      <c r="AG562" s="128">
        <v>1245.0662683821345</v>
      </c>
      <c r="AH562" s="44"/>
      <c r="AI562" s="128"/>
      <c r="AJ562" s="128"/>
      <c r="AK562" s="128"/>
      <c r="AP562" s="128">
        <v>11.0</v>
      </c>
      <c r="AQ562" s="128">
        <v>17.0</v>
      </c>
      <c r="AT562" s="44">
        <v>561.0</v>
      </c>
      <c r="AU562" s="44"/>
      <c r="AW562" s="93"/>
      <c r="AY562" s="93"/>
      <c r="AZ562" s="93"/>
      <c r="BA562" s="93"/>
      <c r="BB562" s="155"/>
      <c r="BC562" s="93"/>
      <c r="BE562" s="93"/>
      <c r="BG562" s="93"/>
      <c r="BH562" s="93"/>
      <c r="BI562" s="93"/>
      <c r="BJ562" s="155"/>
      <c r="BK562" s="93"/>
    </row>
    <row r="563">
      <c r="A563" s="166">
        <v>44364.0105994676</v>
      </c>
      <c r="B563" s="44" t="s">
        <v>107</v>
      </c>
      <c r="C563" s="128">
        <v>965.5789698886023</v>
      </c>
      <c r="D563" s="128">
        <v>14.0</v>
      </c>
      <c r="E563" s="128">
        <v>960.0391206446103</v>
      </c>
      <c r="F563" s="44" t="s">
        <v>34</v>
      </c>
      <c r="G563" s="128">
        <v>976.8643445808389</v>
      </c>
      <c r="H563" s="128">
        <v>14.0</v>
      </c>
      <c r="I563" s="128">
        <v>971.2850799065079</v>
      </c>
      <c r="J563" s="44" t="s">
        <v>31</v>
      </c>
      <c r="K563" s="128">
        <v>1245.0662683821345</v>
      </c>
      <c r="L563" s="128">
        <v>25.0</v>
      </c>
      <c r="M563" s="128">
        <v>1243.1853823004574</v>
      </c>
      <c r="N563" s="44"/>
      <c r="O563" s="128"/>
      <c r="P563" s="128"/>
      <c r="Q563" s="128"/>
      <c r="V563" s="44" t="s">
        <v>112</v>
      </c>
      <c r="W563" s="128">
        <v>989.3457822936488</v>
      </c>
      <c r="X563" s="128">
        <v>9.0</v>
      </c>
      <c r="Y563" s="128">
        <v>990.1506103798159</v>
      </c>
      <c r="Z563" s="44" t="s">
        <v>47</v>
      </c>
      <c r="AA563" s="128">
        <v>1017.1984970368865</v>
      </c>
      <c r="AB563" s="128">
        <v>25.0</v>
      </c>
      <c r="AC563" s="128">
        <v>1023.7015781482672</v>
      </c>
      <c r="AD563" s="44" t="s">
        <v>61</v>
      </c>
      <c r="AE563" s="128">
        <v>1062.398802434018</v>
      </c>
      <c r="AF563" s="128">
        <v>23.0</v>
      </c>
      <c r="AG563" s="128">
        <v>1068.0908932364703</v>
      </c>
      <c r="AH563" s="44"/>
      <c r="AI563" s="128"/>
      <c r="AJ563" s="128"/>
      <c r="AK563" s="128"/>
      <c r="AP563" s="128">
        <v>13.0</v>
      </c>
      <c r="AQ563" s="128">
        <v>15.0</v>
      </c>
      <c r="AS563" s="44" t="s">
        <v>506</v>
      </c>
      <c r="AT563" s="44">
        <v>562.0</v>
      </c>
      <c r="AU563" s="44"/>
      <c r="AW563" s="93"/>
      <c r="AY563" s="93"/>
      <c r="AZ563" s="93"/>
      <c r="BA563" s="93"/>
      <c r="BB563" s="155"/>
      <c r="BC563" s="93"/>
      <c r="BE563" s="93"/>
      <c r="BG563" s="93"/>
      <c r="BH563" s="93"/>
      <c r="BI563" s="93"/>
      <c r="BJ563" s="155"/>
      <c r="BK563" s="93"/>
    </row>
    <row r="564">
      <c r="A564" s="166">
        <v>44366.269045775465</v>
      </c>
      <c r="B564" s="44" t="s">
        <v>88</v>
      </c>
      <c r="C564" s="128">
        <v>865.0736220995376</v>
      </c>
      <c r="D564" s="128">
        <v>14.0</v>
      </c>
      <c r="E564" s="128">
        <v>855.4319063556187</v>
      </c>
      <c r="F564" s="44" t="s">
        <v>98</v>
      </c>
      <c r="G564" s="128">
        <v>921.1060994715386</v>
      </c>
      <c r="H564" s="128">
        <v>17.0</v>
      </c>
      <c r="I564" s="128">
        <v>912.6542180925462</v>
      </c>
      <c r="J564" s="44" t="s">
        <v>27</v>
      </c>
      <c r="K564" s="128">
        <v>1121.234321109888</v>
      </c>
      <c r="L564" s="128">
        <v>28.0</v>
      </c>
      <c r="M564" s="128">
        <v>1118.3279182327994</v>
      </c>
      <c r="N564" s="44"/>
      <c r="O564" s="128"/>
      <c r="P564" s="128"/>
      <c r="Q564" s="128"/>
      <c r="V564" s="44" t="s">
        <v>123</v>
      </c>
      <c r="W564" s="128">
        <v>893.3901442547584</v>
      </c>
      <c r="X564" s="128">
        <v>22.0</v>
      </c>
      <c r="Y564" s="128">
        <v>901.532569917783</v>
      </c>
      <c r="Z564" s="44" t="s">
        <v>92</v>
      </c>
      <c r="AA564" s="128">
        <v>980.7938110846101</v>
      </c>
      <c r="AB564" s="128">
        <v>17.0</v>
      </c>
      <c r="AC564" s="128">
        <v>985.2915131309205</v>
      </c>
      <c r="AD564" s="44" t="s">
        <v>47</v>
      </c>
      <c r="AE564" s="128">
        <v>1023.7015781482672</v>
      </c>
      <c r="AF564" s="128">
        <v>24.0</v>
      </c>
      <c r="AG564" s="128">
        <v>1032.061450438932</v>
      </c>
      <c r="AH564" s="44"/>
      <c r="AI564" s="128"/>
      <c r="AJ564" s="128"/>
      <c r="AK564" s="128"/>
      <c r="AP564" s="128">
        <v>12.0</v>
      </c>
      <c r="AQ564" s="128">
        <v>16.0</v>
      </c>
      <c r="AT564" s="44">
        <v>563.0</v>
      </c>
      <c r="AU564" s="44"/>
      <c r="AW564" s="93"/>
      <c r="AY564" s="93"/>
      <c r="AZ564" s="93"/>
      <c r="BA564" s="93"/>
      <c r="BB564" s="155"/>
      <c r="BC564" s="93"/>
      <c r="BE564" s="93"/>
      <c r="BG564" s="93"/>
      <c r="BH564" s="93"/>
      <c r="BI564" s="93"/>
      <c r="BJ564" s="155"/>
      <c r="BK564" s="93"/>
    </row>
    <row r="565">
      <c r="A565" s="166">
        <v>44366.27089155093</v>
      </c>
      <c r="B565" s="44" t="s">
        <v>88</v>
      </c>
      <c r="C565" s="128">
        <v>855.4319063556187</v>
      </c>
      <c r="D565" s="128">
        <v>35.0</v>
      </c>
      <c r="E565" s="128">
        <v>861.4790635110732</v>
      </c>
      <c r="F565" s="44" t="s">
        <v>98</v>
      </c>
      <c r="G565" s="128">
        <v>912.6542180925462</v>
      </c>
      <c r="H565" s="128">
        <v>26.0</v>
      </c>
      <c r="I565" s="128">
        <v>915.4940104117845</v>
      </c>
      <c r="J565" s="44" t="s">
        <v>27</v>
      </c>
      <c r="K565" s="128">
        <v>1118.3279182327994</v>
      </c>
      <c r="L565" s="128">
        <v>26.0</v>
      </c>
      <c r="M565" s="128">
        <v>1120.4409687581067</v>
      </c>
      <c r="N565" s="44"/>
      <c r="O565" s="128"/>
      <c r="P565" s="128"/>
      <c r="Q565" s="128"/>
      <c r="V565" s="44" t="s">
        <v>123</v>
      </c>
      <c r="W565" s="128">
        <v>901.532569917783</v>
      </c>
      <c r="X565" s="128">
        <v>19.0</v>
      </c>
      <c r="Y565" s="128">
        <v>896.3544498816057</v>
      </c>
      <c r="Z565" s="44" t="s">
        <v>92</v>
      </c>
      <c r="AA565" s="128">
        <v>985.2915131309205</v>
      </c>
      <c r="AB565" s="128">
        <v>20.0</v>
      </c>
      <c r="AC565" s="128">
        <v>980.0062981138148</v>
      </c>
      <c r="AD565" s="44" t="s">
        <v>47</v>
      </c>
      <c r="AE565" s="128">
        <v>1032.061450438932</v>
      </c>
      <c r="AF565" s="128">
        <v>36.0</v>
      </c>
      <c r="AG565" s="128">
        <v>1031.5247854922152</v>
      </c>
      <c r="AH565" s="44"/>
      <c r="AI565" s="128"/>
      <c r="AJ565" s="128"/>
      <c r="AK565" s="128"/>
      <c r="AP565" s="128">
        <v>22.0</v>
      </c>
      <c r="AQ565" s="128">
        <v>20.0</v>
      </c>
      <c r="AT565" s="44">
        <v>564.0</v>
      </c>
      <c r="AU565" s="44"/>
      <c r="AW565" s="93"/>
      <c r="AY565" s="93"/>
      <c r="AZ565" s="93"/>
      <c r="BA565" s="93"/>
      <c r="BB565" s="155"/>
      <c r="BC565" s="93"/>
      <c r="BE565" s="93"/>
      <c r="BG565" s="93"/>
      <c r="BH565" s="93"/>
      <c r="BI565" s="93"/>
      <c r="BJ565" s="155"/>
      <c r="BK565" s="93"/>
    </row>
    <row r="566">
      <c r="A566" s="166">
        <v>44375.97489871528</v>
      </c>
      <c r="B566" s="44" t="s">
        <v>123</v>
      </c>
      <c r="C566" s="128">
        <v>896.3544498816057</v>
      </c>
      <c r="D566" s="128">
        <v>6.0</v>
      </c>
      <c r="E566" s="128">
        <v>890.2759893860666</v>
      </c>
      <c r="F566" s="44" t="s">
        <v>110</v>
      </c>
      <c r="G566" s="128">
        <v>998.8152165269653</v>
      </c>
      <c r="H566" s="128">
        <v>18.0</v>
      </c>
      <c r="I566" s="128">
        <v>995.7713184968306</v>
      </c>
      <c r="J566" s="44" t="s">
        <v>47</v>
      </c>
      <c r="K566" s="128">
        <v>1031.5247854922152</v>
      </c>
      <c r="L566" s="128">
        <v>26.0</v>
      </c>
      <c r="M566" s="128">
        <v>1030.6471440178889</v>
      </c>
      <c r="N566" s="44"/>
      <c r="O566" s="128"/>
      <c r="P566" s="128"/>
      <c r="Q566" s="128"/>
      <c r="V566" s="44" t="s">
        <v>107</v>
      </c>
      <c r="W566" s="128">
        <v>960.0391206446103</v>
      </c>
      <c r="X566" s="128">
        <v>8.0</v>
      </c>
      <c r="Y566" s="128">
        <v>960.271255631721</v>
      </c>
      <c r="Z566" s="44" t="s">
        <v>92</v>
      </c>
      <c r="AA566" s="128">
        <v>980.0062981138148</v>
      </c>
      <c r="AB566" s="128">
        <v>22.0</v>
      </c>
      <c r="AC566" s="128">
        <v>984.0698944360365</v>
      </c>
      <c r="AD566" s="44" t="s">
        <v>112</v>
      </c>
      <c r="AE566" s="128">
        <v>990.1506103798159</v>
      </c>
      <c r="AF566" s="128">
        <v>28.0</v>
      </c>
      <c r="AG566" s="128">
        <v>995.8548790704833</v>
      </c>
      <c r="AH566" s="44"/>
      <c r="AI566" s="128"/>
      <c r="AJ566" s="128"/>
      <c r="AK566" s="128"/>
      <c r="AP566" s="128">
        <v>13.0</v>
      </c>
      <c r="AQ566" s="128">
        <v>15.0</v>
      </c>
      <c r="AS566" s="44" t="s">
        <v>229</v>
      </c>
      <c r="AT566" s="44">
        <v>565.0</v>
      </c>
      <c r="AU566" s="44"/>
      <c r="AW566" s="93"/>
      <c r="AY566" s="93"/>
      <c r="AZ566" s="93"/>
      <c r="BA566" s="93"/>
      <c r="BB566" s="155"/>
      <c r="BC566" s="93"/>
      <c r="BE566" s="93"/>
      <c r="BG566" s="93"/>
      <c r="BH566" s="93"/>
      <c r="BI566" s="93"/>
      <c r="BJ566" s="155"/>
      <c r="BK566" s="93"/>
    </row>
    <row r="567">
      <c r="A567" s="166">
        <v>44376.02490431713</v>
      </c>
      <c r="B567" s="44" t="s">
        <v>123</v>
      </c>
      <c r="C567" s="128">
        <v>890.2759893860666</v>
      </c>
      <c r="D567" s="128">
        <v>14.0</v>
      </c>
      <c r="E567" s="128">
        <v>878.9283358300858</v>
      </c>
      <c r="F567" s="44" t="s">
        <v>107</v>
      </c>
      <c r="G567" s="128">
        <v>960.271255631721</v>
      </c>
      <c r="H567" s="128">
        <v>20.0</v>
      </c>
      <c r="I567" s="128">
        <v>953.1136106786456</v>
      </c>
      <c r="J567" s="44" t="s">
        <v>110</v>
      </c>
      <c r="K567" s="128">
        <v>995.7713184968306</v>
      </c>
      <c r="L567" s="128">
        <v>14.0</v>
      </c>
      <c r="M567" s="128">
        <v>983.4929680622695</v>
      </c>
      <c r="N567" s="44" t="s">
        <v>112</v>
      </c>
      <c r="O567" s="128">
        <v>995.8548790704833</v>
      </c>
      <c r="P567" s="128">
        <v>19.0</v>
      </c>
      <c r="Q567" s="128">
        <v>987.6385280141008</v>
      </c>
      <c r="V567" s="44" t="s">
        <v>88</v>
      </c>
      <c r="W567" s="128">
        <v>861.4790635110732</v>
      </c>
      <c r="X567" s="128">
        <v>13.0</v>
      </c>
      <c r="Y567" s="128">
        <v>864.7940400127028</v>
      </c>
      <c r="Z567" s="44" t="s">
        <v>34</v>
      </c>
      <c r="AA567" s="128">
        <v>971.2850799065079</v>
      </c>
      <c r="AB567" s="128">
        <v>23.0</v>
      </c>
      <c r="AC567" s="128">
        <v>981.2066035880349</v>
      </c>
      <c r="AD567" s="44" t="s">
        <v>92</v>
      </c>
      <c r="AE567" s="128">
        <v>984.0698944360365</v>
      </c>
      <c r="AF567" s="128">
        <v>26.0</v>
      </c>
      <c r="AG567" s="128">
        <v>996.3094429495821</v>
      </c>
      <c r="AH567" s="44" t="s">
        <v>47</v>
      </c>
      <c r="AI567" s="128">
        <v>1030.6471440178889</v>
      </c>
      <c r="AJ567" s="128">
        <v>28.0</v>
      </c>
      <c r="AK567" s="128">
        <v>1044.1710953211866</v>
      </c>
      <c r="AP567" s="128">
        <v>9.0</v>
      </c>
      <c r="AQ567" s="128">
        <v>19.0</v>
      </c>
      <c r="AT567" s="44">
        <v>566.0</v>
      </c>
      <c r="AU567" s="44"/>
      <c r="AW567" s="93"/>
      <c r="AY567" s="93"/>
      <c r="AZ567" s="93"/>
      <c r="BA567" s="93"/>
      <c r="BB567" s="155"/>
      <c r="BC567" s="93"/>
      <c r="BE567" s="93"/>
      <c r="BG567" s="93"/>
      <c r="BH567" s="93"/>
      <c r="BI567" s="93"/>
      <c r="BJ567" s="155"/>
      <c r="BK567" s="93"/>
    </row>
    <row r="568">
      <c r="A568" s="166">
        <v>44377.02872381944</v>
      </c>
      <c r="B568" s="44" t="s">
        <v>88</v>
      </c>
      <c r="C568" s="128">
        <v>864.7940400127028</v>
      </c>
      <c r="D568" s="128">
        <v>24.0</v>
      </c>
      <c r="E568" s="128">
        <v>859.0412508118245</v>
      </c>
      <c r="F568" s="44" t="s">
        <v>34</v>
      </c>
      <c r="G568" s="128">
        <v>981.2066035880349</v>
      </c>
      <c r="H568" s="128">
        <v>30.0</v>
      </c>
      <c r="I568" s="128">
        <v>976.9907511615958</v>
      </c>
      <c r="J568" s="44" t="s">
        <v>61</v>
      </c>
      <c r="K568" s="128">
        <v>1068.0908932364703</v>
      </c>
      <c r="L568" s="128">
        <v>29.0</v>
      </c>
      <c r="M568" s="128">
        <v>1063.1188448507</v>
      </c>
      <c r="N568" s="44" t="s">
        <v>27</v>
      </c>
      <c r="O568" s="128">
        <v>1120.4409687581067</v>
      </c>
      <c r="P568" s="128">
        <v>29.0</v>
      </c>
      <c r="Q568" s="128">
        <v>1115.3816587711945</v>
      </c>
      <c r="V568" s="44" t="s">
        <v>107</v>
      </c>
      <c r="W568" s="128">
        <v>953.1136106786456</v>
      </c>
      <c r="X568" s="128">
        <v>26.0</v>
      </c>
      <c r="Y568" s="128">
        <v>956.6059930730811</v>
      </c>
      <c r="Z568" s="44" t="s">
        <v>110</v>
      </c>
      <c r="AA568" s="128">
        <v>983.4929680622695</v>
      </c>
      <c r="AB568" s="128">
        <v>29.0</v>
      </c>
      <c r="AC568" s="128">
        <v>988.0330912990038</v>
      </c>
      <c r="AD568" s="44" t="s">
        <v>112</v>
      </c>
      <c r="AE568" s="128">
        <v>987.6385280141008</v>
      </c>
      <c r="AF568" s="128">
        <v>27.0</v>
      </c>
      <c r="AG568" s="128">
        <v>991.3210949674032</v>
      </c>
      <c r="AH568" s="44" t="s">
        <v>23</v>
      </c>
      <c r="AI568" s="128">
        <v>1104.626958773677</v>
      </c>
      <c r="AJ568" s="128">
        <v>39.0</v>
      </c>
      <c r="AK568" s="128">
        <v>1112.9118861892048</v>
      </c>
      <c r="AP568" s="128">
        <v>18.0</v>
      </c>
      <c r="AQ568" s="128">
        <v>24.0</v>
      </c>
      <c r="AT568" s="44">
        <v>567.0</v>
      </c>
      <c r="AU568" s="44"/>
      <c r="AW568" s="93"/>
      <c r="AY568" s="93"/>
      <c r="AZ568" s="93"/>
      <c r="BA568" s="93"/>
      <c r="BB568" s="155"/>
      <c r="BC568" s="93"/>
      <c r="BE568" s="93"/>
      <c r="BG568" s="93"/>
      <c r="BH568" s="93"/>
      <c r="BI568" s="93"/>
      <c r="BJ568" s="155"/>
      <c r="BK568" s="93"/>
    </row>
    <row r="569">
      <c r="A569" s="166">
        <v>44377.951700868056</v>
      </c>
      <c r="B569" s="44" t="s">
        <v>88</v>
      </c>
      <c r="C569" s="128">
        <v>859.0412508118245</v>
      </c>
      <c r="D569" s="128">
        <v>16.0</v>
      </c>
      <c r="E569" s="128">
        <v>864.5946129911788</v>
      </c>
      <c r="F569" s="44" t="s">
        <v>47</v>
      </c>
      <c r="G569" s="128">
        <v>1044.1710953211866</v>
      </c>
      <c r="H569" s="128">
        <v>21.0</v>
      </c>
      <c r="I569" s="128">
        <v>1051.3379655453484</v>
      </c>
      <c r="J569" s="44" t="s">
        <v>61</v>
      </c>
      <c r="K569" s="128">
        <v>1063.1188448507</v>
      </c>
      <c r="L569" s="128">
        <v>23.0</v>
      </c>
      <c r="M569" s="128">
        <v>1071.398612447184</v>
      </c>
      <c r="N569" s="44"/>
      <c r="O569" s="128"/>
      <c r="P569" s="128"/>
      <c r="Q569" s="128"/>
      <c r="V569" s="44" t="s">
        <v>110</v>
      </c>
      <c r="W569" s="128">
        <v>988.0330912990038</v>
      </c>
      <c r="X569" s="128">
        <v>15.0</v>
      </c>
      <c r="Y569" s="128">
        <v>978.9126931396537</v>
      </c>
      <c r="Z569" s="44" t="s">
        <v>112</v>
      </c>
      <c r="AA569" s="128">
        <v>991.3210949674032</v>
      </c>
      <c r="AB569" s="128">
        <v>27.0</v>
      </c>
      <c r="AC569" s="128">
        <v>989.184695136303</v>
      </c>
      <c r="AD569" s="44" t="s">
        <v>92</v>
      </c>
      <c r="AE569" s="128">
        <v>996.3094429495821</v>
      </c>
      <c r="AF569" s="128">
        <v>14.0</v>
      </c>
      <c r="AG569" s="128">
        <v>986.5662409400323</v>
      </c>
      <c r="AH569" s="44"/>
      <c r="AI569" s="128"/>
      <c r="AJ569" s="128"/>
      <c r="AK569" s="128"/>
      <c r="AP569" s="128">
        <v>16.0</v>
      </c>
      <c r="AQ569" s="128">
        <v>11.0</v>
      </c>
      <c r="AT569" s="44">
        <v>568.0</v>
      </c>
      <c r="AU569" s="44"/>
      <c r="AW569" s="93"/>
      <c r="AY569" s="93"/>
      <c r="AZ569" s="93"/>
      <c r="BA569" s="93"/>
      <c r="BB569" s="155"/>
      <c r="BC569" s="93"/>
      <c r="BE569" s="93"/>
      <c r="BG569" s="93"/>
      <c r="BH569" s="93"/>
      <c r="BI569" s="93"/>
      <c r="BJ569" s="155"/>
      <c r="BK569" s="93"/>
    </row>
    <row r="570">
      <c r="A570" s="166">
        <v>44377.99255217593</v>
      </c>
      <c r="B570" s="44" t="s">
        <v>88</v>
      </c>
      <c r="C570" s="128">
        <v>864.5946129911788</v>
      </c>
      <c r="D570" s="128">
        <v>12.0</v>
      </c>
      <c r="E570" s="128">
        <v>856.2936062636743</v>
      </c>
      <c r="F570" s="44" t="s">
        <v>92</v>
      </c>
      <c r="G570" s="128">
        <v>986.5662409400323</v>
      </c>
      <c r="H570" s="128">
        <v>18.0</v>
      </c>
      <c r="I570" s="128">
        <v>980.8385739248656</v>
      </c>
      <c r="J570" s="44" t="s">
        <v>61</v>
      </c>
      <c r="K570" s="128">
        <v>1071.398612447184</v>
      </c>
      <c r="L570" s="128">
        <v>18.0</v>
      </c>
      <c r="M570" s="128">
        <v>1065.427286189855</v>
      </c>
      <c r="N570" s="44"/>
      <c r="O570" s="128"/>
      <c r="P570" s="128"/>
      <c r="Q570" s="128"/>
      <c r="V570" s="44" t="s">
        <v>107</v>
      </c>
      <c r="W570" s="128">
        <v>956.6059930730811</v>
      </c>
      <c r="X570" s="128">
        <v>19.0</v>
      </c>
      <c r="Y570" s="128">
        <v>962.2723733874129</v>
      </c>
      <c r="Z570" s="44" t="s">
        <v>110</v>
      </c>
      <c r="AA570" s="128">
        <v>978.9126931396537</v>
      </c>
      <c r="AB570" s="128">
        <v>26.0</v>
      </c>
      <c r="AC570" s="128">
        <v>988.3298809262382</v>
      </c>
      <c r="AD570" s="44" t="s">
        <v>112</v>
      </c>
      <c r="AE570" s="128">
        <v>989.184695136303</v>
      </c>
      <c r="AF570" s="128">
        <v>18.0</v>
      </c>
      <c r="AG570" s="128">
        <v>994.1011270353868</v>
      </c>
      <c r="AH570" s="44"/>
      <c r="AI570" s="128"/>
      <c r="AJ570" s="128"/>
      <c r="AK570" s="128"/>
      <c r="AP570" s="128">
        <v>11.0</v>
      </c>
      <c r="AQ570" s="128">
        <v>17.0</v>
      </c>
      <c r="AT570" s="44">
        <v>569.0</v>
      </c>
      <c r="AU570" s="44"/>
      <c r="AW570" s="93"/>
      <c r="AY570" s="93"/>
      <c r="AZ570" s="93"/>
      <c r="BA570" s="93"/>
      <c r="BB570" s="155"/>
      <c r="BC570" s="93"/>
      <c r="BE570" s="93"/>
      <c r="BG570" s="93"/>
      <c r="BH570" s="93"/>
      <c r="BI570" s="93"/>
      <c r="BJ570" s="155"/>
      <c r="BK570" s="93"/>
    </row>
    <row r="571">
      <c r="A571" s="166">
        <v>44382.9566012963</v>
      </c>
      <c r="B571" s="44" t="s">
        <v>107</v>
      </c>
      <c r="C571" s="128">
        <v>962.2723733874129</v>
      </c>
      <c r="D571" s="128">
        <v>26.0</v>
      </c>
      <c r="E571" s="128">
        <v>974.2263050893384</v>
      </c>
      <c r="F571" s="44" t="s">
        <v>112</v>
      </c>
      <c r="G571" s="128">
        <v>994.1011270353868</v>
      </c>
      <c r="H571" s="128">
        <v>12.0</v>
      </c>
      <c r="I571" s="128">
        <v>997.1471953334612</v>
      </c>
      <c r="J571" s="44"/>
      <c r="K571" s="128"/>
      <c r="L571" s="128"/>
      <c r="M571" s="128"/>
      <c r="N571" s="44"/>
      <c r="O571" s="128"/>
      <c r="P571" s="128"/>
      <c r="Q571" s="128"/>
      <c r="V571" s="44" t="s">
        <v>123</v>
      </c>
      <c r="W571" s="128">
        <v>878.9283358300858</v>
      </c>
      <c r="X571" s="128">
        <v>12.0</v>
      </c>
      <c r="Y571" s="128">
        <v>868.9161875978298</v>
      </c>
      <c r="Z571" s="44" t="s">
        <v>92</v>
      </c>
      <c r="AA571" s="128">
        <v>980.8385739248656</v>
      </c>
      <c r="AB571" s="128">
        <v>21.0</v>
      </c>
      <c r="AC571" s="128">
        <v>975.8507221571216</v>
      </c>
      <c r="AD571" s="44"/>
      <c r="AE571" s="128"/>
      <c r="AF571" s="128"/>
      <c r="AG571" s="128"/>
      <c r="AH571" s="44"/>
      <c r="AI571" s="128"/>
      <c r="AJ571" s="128"/>
      <c r="AK571" s="128"/>
      <c r="AP571" s="128">
        <v>16.0</v>
      </c>
      <c r="AQ571" s="128">
        <v>12.0</v>
      </c>
      <c r="AT571" s="44">
        <v>570.0</v>
      </c>
      <c r="AU571" s="44"/>
      <c r="AW571" s="93"/>
      <c r="AY571" s="93"/>
      <c r="AZ571" s="93"/>
      <c r="BA571" s="93"/>
      <c r="BB571" s="155"/>
      <c r="BC571" s="93"/>
      <c r="BE571" s="93"/>
      <c r="BG571" s="93"/>
      <c r="BH571" s="93"/>
      <c r="BI571" s="93"/>
      <c r="BJ571" s="155"/>
      <c r="BK571" s="93"/>
    </row>
    <row r="572">
      <c r="A572" s="166">
        <v>44382.99231741898</v>
      </c>
      <c r="B572" s="44" t="s">
        <v>107</v>
      </c>
      <c r="C572" s="128">
        <v>974.2263050893384</v>
      </c>
      <c r="D572" s="128">
        <v>30.0</v>
      </c>
      <c r="E572" s="128">
        <v>982.6699265695233</v>
      </c>
      <c r="F572" s="44" t="s">
        <v>92</v>
      </c>
      <c r="G572" s="128">
        <v>975.8507221571216</v>
      </c>
      <c r="H572" s="128">
        <v>27.0</v>
      </c>
      <c r="I572" s="128">
        <v>982.4071006769367</v>
      </c>
      <c r="J572" s="44"/>
      <c r="K572" s="128"/>
      <c r="L572" s="128"/>
      <c r="M572" s="128"/>
      <c r="N572" s="44"/>
      <c r="O572" s="128"/>
      <c r="P572" s="128"/>
      <c r="Q572" s="128"/>
      <c r="V572" s="44" t="s">
        <v>123</v>
      </c>
      <c r="W572" s="128">
        <v>868.9161875978298</v>
      </c>
      <c r="X572" s="128">
        <v>20.0</v>
      </c>
      <c r="Y572" s="128">
        <v>859.7533702594018</v>
      </c>
      <c r="Z572" s="44" t="s">
        <v>112</v>
      </c>
      <c r="AA572" s="128">
        <v>997.1471953334612</v>
      </c>
      <c r="AB572" s="128">
        <v>27.0</v>
      </c>
      <c r="AC572" s="128">
        <v>991.3100126718892</v>
      </c>
      <c r="AD572" s="44"/>
      <c r="AE572" s="128"/>
      <c r="AF572" s="128"/>
      <c r="AG572" s="128"/>
      <c r="AH572" s="44"/>
      <c r="AI572" s="128"/>
      <c r="AJ572" s="128"/>
      <c r="AK572" s="128"/>
      <c r="AP572" s="128">
        <v>23.0</v>
      </c>
      <c r="AQ572" s="128">
        <v>18.0</v>
      </c>
      <c r="AT572" s="44">
        <v>571.0</v>
      </c>
      <c r="AU572" s="44"/>
      <c r="AW572" s="93"/>
      <c r="AY572" s="93"/>
      <c r="AZ572" s="93"/>
      <c r="BA572" s="93"/>
      <c r="BB572" s="155"/>
      <c r="BC572" s="93"/>
      <c r="BE572" s="93"/>
      <c r="BG572" s="93"/>
      <c r="BH572" s="93"/>
      <c r="BI572" s="93"/>
      <c r="BJ572" s="155"/>
      <c r="BK572" s="93"/>
    </row>
    <row r="573">
      <c r="A573" s="166">
        <v>44383.0240643287</v>
      </c>
      <c r="B573" s="44" t="s">
        <v>92</v>
      </c>
      <c r="C573" s="128">
        <v>982.4071006769367</v>
      </c>
      <c r="D573" s="128">
        <v>13.0</v>
      </c>
      <c r="E573" s="128">
        <v>966.6860966750239</v>
      </c>
      <c r="F573" s="44" t="s">
        <v>112</v>
      </c>
      <c r="G573" s="128">
        <v>991.3100126718892</v>
      </c>
      <c r="H573" s="128">
        <v>17.0</v>
      </c>
      <c r="I573" s="128">
        <v>980.031016673802</v>
      </c>
      <c r="J573" s="44"/>
      <c r="K573" s="128"/>
      <c r="L573" s="128"/>
      <c r="M573" s="128"/>
      <c r="N573" s="44"/>
      <c r="O573" s="128"/>
      <c r="P573" s="128"/>
      <c r="Q573" s="128"/>
      <c r="V573" s="44" t="s">
        <v>123</v>
      </c>
      <c r="W573" s="128">
        <v>859.7533702594018</v>
      </c>
      <c r="X573" s="128">
        <v>13.0</v>
      </c>
      <c r="Y573" s="128">
        <v>866.7353712290248</v>
      </c>
      <c r="Z573" s="44" t="s">
        <v>107</v>
      </c>
      <c r="AA573" s="128">
        <v>982.6699265695233</v>
      </c>
      <c r="AB573" s="128">
        <v>26.0</v>
      </c>
      <c r="AC573" s="128">
        <v>1002.6879255999003</v>
      </c>
      <c r="AD573" s="44"/>
      <c r="AE573" s="128"/>
      <c r="AF573" s="128"/>
      <c r="AG573" s="128"/>
      <c r="AH573" s="44"/>
      <c r="AI573" s="128"/>
      <c r="AJ573" s="128"/>
      <c r="AK573" s="128"/>
      <c r="AP573" s="128">
        <v>11.0</v>
      </c>
      <c r="AQ573" s="128">
        <v>17.0</v>
      </c>
      <c r="AT573" s="44">
        <v>572.0</v>
      </c>
      <c r="AU573" s="44"/>
      <c r="AW573" s="93"/>
      <c r="AY573" s="93"/>
      <c r="AZ573" s="93"/>
      <c r="BA573" s="93"/>
      <c r="BB573" s="155"/>
      <c r="BC573" s="93"/>
      <c r="BE573" s="93"/>
      <c r="BG573" s="93"/>
      <c r="BH573" s="93"/>
      <c r="BI573" s="93"/>
      <c r="BJ573" s="155"/>
      <c r="BK573" s="93"/>
    </row>
    <row r="574">
      <c r="A574" s="166">
        <v>44385.99989115741</v>
      </c>
      <c r="B574" s="44" t="s">
        <v>112</v>
      </c>
      <c r="C574" s="128">
        <v>980.031016673802</v>
      </c>
      <c r="D574" s="128">
        <v>14.0</v>
      </c>
      <c r="E574" s="128">
        <v>972.322703503124</v>
      </c>
      <c r="F574" s="44" t="s">
        <v>27</v>
      </c>
      <c r="G574" s="128">
        <v>1115.3816587711945</v>
      </c>
      <c r="H574" s="128">
        <v>19.0</v>
      </c>
      <c r="I574" s="128">
        <v>1110.0899719418724</v>
      </c>
      <c r="J574" s="44"/>
      <c r="K574" s="128"/>
      <c r="L574" s="128"/>
      <c r="M574" s="128"/>
      <c r="N574" s="44"/>
      <c r="O574" s="128"/>
      <c r="P574" s="128"/>
      <c r="Q574" s="128"/>
      <c r="V574" s="44" t="s">
        <v>110</v>
      </c>
      <c r="W574" s="128">
        <v>988.3298809262382</v>
      </c>
      <c r="X574" s="128">
        <v>19.0</v>
      </c>
      <c r="Y574" s="128">
        <v>996.2073740452604</v>
      </c>
      <c r="Z574" s="44" t="s">
        <v>107</v>
      </c>
      <c r="AA574" s="128">
        <v>1002.6879255999003</v>
      </c>
      <c r="AB574" s="128">
        <v>14.0</v>
      </c>
      <c r="AC574" s="128">
        <v>1007.810432480878</v>
      </c>
      <c r="AD574" s="44"/>
      <c r="AE574" s="128"/>
      <c r="AF574" s="128"/>
      <c r="AG574" s="128"/>
      <c r="AH574" s="44"/>
      <c r="AI574" s="128"/>
      <c r="AJ574" s="128"/>
      <c r="AK574" s="128"/>
      <c r="AP574" s="128">
        <v>13.0</v>
      </c>
      <c r="AQ574" s="128">
        <v>15.0</v>
      </c>
      <c r="AT574" s="44">
        <v>573.0</v>
      </c>
      <c r="AU574" s="44"/>
      <c r="AW574" s="93"/>
      <c r="AY574" s="93"/>
      <c r="AZ574" s="93"/>
      <c r="BA574" s="93"/>
      <c r="BB574" s="155"/>
      <c r="BC574" s="93"/>
      <c r="BE574" s="93"/>
      <c r="BG574" s="93"/>
      <c r="BH574" s="93"/>
      <c r="BI574" s="93"/>
      <c r="BJ574" s="155"/>
      <c r="BK574" s="93"/>
    </row>
    <row r="575">
      <c r="A575" s="166">
        <v>44389.96702203703</v>
      </c>
      <c r="B575" s="44" t="s">
        <v>123</v>
      </c>
      <c r="C575" s="128">
        <v>866.7353712290248</v>
      </c>
      <c r="D575" s="128">
        <v>15.0</v>
      </c>
      <c r="E575" s="128">
        <v>870.5064115360049</v>
      </c>
      <c r="F575" s="44" t="s">
        <v>107</v>
      </c>
      <c r="G575" s="128">
        <v>1007.810432480878</v>
      </c>
      <c r="H575" s="128">
        <v>18.0</v>
      </c>
      <c r="I575" s="128">
        <v>1012.2040396311868</v>
      </c>
      <c r="J575" s="44" t="s">
        <v>47</v>
      </c>
      <c r="K575" s="128">
        <v>1051.3379655453484</v>
      </c>
      <c r="L575" s="128">
        <v>19.0</v>
      </c>
      <c r="M575" s="128">
        <v>1056.0475709233954</v>
      </c>
      <c r="N575" s="44" t="s">
        <v>23</v>
      </c>
      <c r="O575" s="128">
        <v>1112.9118861892048</v>
      </c>
      <c r="P575" s="128">
        <v>25.0</v>
      </c>
      <c r="Q575" s="128">
        <v>1120.037633353869</v>
      </c>
      <c r="V575" s="44" t="s">
        <v>112</v>
      </c>
      <c r="W575" s="128">
        <v>972.322703503124</v>
      </c>
      <c r="X575" s="128">
        <v>26.0</v>
      </c>
      <c r="Y575" s="128">
        <v>970.6318297773046</v>
      </c>
      <c r="Z575" s="44" t="s">
        <v>34</v>
      </c>
      <c r="AA575" s="128">
        <v>976.9907511615958</v>
      </c>
      <c r="AB575" s="128">
        <v>18.0</v>
      </c>
      <c r="AC575" s="128">
        <v>971.951019983984</v>
      </c>
      <c r="AD575" s="44" t="s">
        <v>108</v>
      </c>
      <c r="AE575" s="128">
        <v>980.5506011187</v>
      </c>
      <c r="AF575" s="128">
        <v>10.0</v>
      </c>
      <c r="AG575" s="128">
        <v>972.1660238590822</v>
      </c>
      <c r="AH575" s="44" t="s">
        <v>27</v>
      </c>
      <c r="AI575" s="128">
        <v>1110.0899719418724</v>
      </c>
      <c r="AJ575" s="128">
        <v>19.0</v>
      </c>
      <c r="AK575" s="128">
        <v>1105.2051541049213</v>
      </c>
      <c r="AP575" s="128">
        <v>16.0</v>
      </c>
      <c r="AQ575" s="128">
        <v>12.0</v>
      </c>
      <c r="AT575" s="44">
        <v>574.0</v>
      </c>
      <c r="AU575" s="44"/>
      <c r="AW575" s="93"/>
      <c r="AY575" s="93"/>
      <c r="AZ575" s="93"/>
      <c r="BA575" s="93"/>
      <c r="BB575" s="155"/>
      <c r="BC575" s="93"/>
      <c r="BE575" s="93"/>
      <c r="BG575" s="93"/>
      <c r="BH575" s="93"/>
      <c r="BI575" s="93"/>
      <c r="BJ575" s="155"/>
      <c r="BK575" s="93"/>
    </row>
    <row r="576">
      <c r="A576" s="166">
        <v>44390.01307210648</v>
      </c>
      <c r="B576" s="44" t="s">
        <v>123</v>
      </c>
      <c r="C576" s="128">
        <v>870.5064115360049</v>
      </c>
      <c r="D576" s="128">
        <v>18.0</v>
      </c>
      <c r="E576" s="128">
        <v>867.6677880272314</v>
      </c>
      <c r="F576" s="44" t="s">
        <v>107</v>
      </c>
      <c r="G576" s="128">
        <v>1012.2040396311868</v>
      </c>
      <c r="H576" s="128">
        <v>20.0</v>
      </c>
      <c r="I576" s="128">
        <v>1009.4478308189139</v>
      </c>
      <c r="J576" s="44" t="s">
        <v>47</v>
      </c>
      <c r="K576" s="128">
        <v>1056.0475709233954</v>
      </c>
      <c r="L576" s="128">
        <v>23.0</v>
      </c>
      <c r="M576" s="128">
        <v>1053.8634567500214</v>
      </c>
      <c r="N576" s="44" t="s">
        <v>27</v>
      </c>
      <c r="O576" s="128">
        <v>1105.2051541049213</v>
      </c>
      <c r="P576" s="128">
        <v>23.0</v>
      </c>
      <c r="Q576" s="128">
        <v>1102.9841005993414</v>
      </c>
      <c r="V576" s="44" t="s">
        <v>112</v>
      </c>
      <c r="W576" s="128">
        <v>970.6318297773046</v>
      </c>
      <c r="X576" s="128">
        <v>20.0</v>
      </c>
      <c r="Y576" s="128">
        <v>973.0698848375456</v>
      </c>
      <c r="Z576" s="44" t="s">
        <v>34</v>
      </c>
      <c r="AA576" s="128">
        <v>971.951019983984</v>
      </c>
      <c r="AB576" s="128">
        <v>16.0</v>
      </c>
      <c r="AC576" s="128">
        <v>973.5532288553236</v>
      </c>
      <c r="AD576" s="44" t="s">
        <v>108</v>
      </c>
      <c r="AE576" s="128">
        <v>972.1660238590822</v>
      </c>
      <c r="AF576" s="128">
        <v>15.0</v>
      </c>
      <c r="AG576" s="128">
        <v>973.5594919134846</v>
      </c>
      <c r="AH576" s="44" t="s">
        <v>23</v>
      </c>
      <c r="AI576" s="128">
        <v>1120.037633353869</v>
      </c>
      <c r="AJ576" s="128">
        <v>31.0</v>
      </c>
      <c r="AK576" s="128">
        <v>1124.603901367886</v>
      </c>
      <c r="AP576" s="128">
        <v>13.0</v>
      </c>
      <c r="AQ576" s="128">
        <v>15.0</v>
      </c>
      <c r="AT576" s="44">
        <v>575.0</v>
      </c>
      <c r="AU576" s="44"/>
      <c r="AW576" s="93"/>
      <c r="AY576" s="93"/>
      <c r="AZ576" s="93"/>
      <c r="BA576" s="93"/>
      <c r="BB576" s="155"/>
      <c r="BC576" s="93"/>
      <c r="BE576" s="93"/>
      <c r="BG576" s="93"/>
      <c r="BH576" s="93"/>
      <c r="BI576" s="93"/>
      <c r="BJ576" s="155"/>
      <c r="BK576" s="93"/>
    </row>
    <row r="577">
      <c r="A577" s="166">
        <v>44390.963521666665</v>
      </c>
      <c r="B577" s="44" t="s">
        <v>112</v>
      </c>
      <c r="C577" s="128">
        <v>973.0698848375456</v>
      </c>
      <c r="D577" s="128">
        <v>19.0</v>
      </c>
      <c r="E577" s="128">
        <v>978.7509096515305</v>
      </c>
      <c r="F577" s="44" t="s">
        <v>34</v>
      </c>
      <c r="G577" s="128">
        <v>973.5532288553236</v>
      </c>
      <c r="H577" s="128">
        <v>13.0</v>
      </c>
      <c r="I577" s="128">
        <v>976.0653027451543</v>
      </c>
      <c r="J577" s="44" t="s">
        <v>107</v>
      </c>
      <c r="K577" s="128">
        <v>1009.4478308189139</v>
      </c>
      <c r="L577" s="128">
        <v>29.0</v>
      </c>
      <c r="M577" s="128">
        <v>1020.2547321150982</v>
      </c>
      <c r="N577" s="44"/>
      <c r="O577" s="128"/>
      <c r="P577" s="128"/>
      <c r="Q577" s="128"/>
      <c r="V577" s="44" t="s">
        <v>123</v>
      </c>
      <c r="W577" s="128">
        <v>867.6677880272314</v>
      </c>
      <c r="X577" s="128">
        <v>13.0</v>
      </c>
      <c r="Y577" s="128">
        <v>860.8781013202906</v>
      </c>
      <c r="Z577" s="44" t="s">
        <v>108</v>
      </c>
      <c r="AA577" s="128">
        <v>973.5594919134846</v>
      </c>
      <c r="AB577" s="128">
        <v>10.0</v>
      </c>
      <c r="AC577" s="128">
        <v>964.6892354098321</v>
      </c>
      <c r="AD577" s="44" t="s">
        <v>27</v>
      </c>
      <c r="AE577" s="128">
        <v>1102.9841005993414</v>
      </c>
      <c r="AF577" s="128">
        <v>21.0</v>
      </c>
      <c r="AG577" s="128">
        <v>1099.6440438099348</v>
      </c>
      <c r="AH577" s="44"/>
      <c r="AI577" s="128"/>
      <c r="AJ577" s="128"/>
      <c r="AK577" s="128"/>
      <c r="AP577" s="128">
        <v>17.0</v>
      </c>
      <c r="AQ577" s="128">
        <v>11.0</v>
      </c>
      <c r="AT577" s="44">
        <v>576.0</v>
      </c>
      <c r="AU577" s="44"/>
      <c r="AW577" s="93"/>
      <c r="AY577" s="93"/>
      <c r="AZ577" s="93"/>
      <c r="BA577" s="93"/>
      <c r="BB577" s="155"/>
      <c r="BC577" s="93"/>
      <c r="BE577" s="93"/>
      <c r="BG577" s="93"/>
      <c r="BH577" s="93"/>
      <c r="BI577" s="93"/>
      <c r="BJ577" s="155"/>
      <c r="BK577" s="93"/>
    </row>
    <row r="578">
      <c r="A578" s="166">
        <v>44390.991517268514</v>
      </c>
      <c r="B578" s="44" t="s">
        <v>123</v>
      </c>
      <c r="C578" s="128">
        <v>860.8781013202906</v>
      </c>
      <c r="D578" s="128">
        <v>7.0</v>
      </c>
      <c r="E578" s="128">
        <v>850.1225647055336</v>
      </c>
      <c r="F578" s="44" t="s">
        <v>112</v>
      </c>
      <c r="G578" s="128">
        <v>978.7509096515305</v>
      </c>
      <c r="H578" s="128">
        <v>18.0</v>
      </c>
      <c r="I578" s="128">
        <v>973.186492485309</v>
      </c>
      <c r="J578" s="44" t="s">
        <v>27</v>
      </c>
      <c r="K578" s="128">
        <v>1099.6440438099348</v>
      </c>
      <c r="L578" s="128">
        <v>24.0</v>
      </c>
      <c r="M578" s="128">
        <v>1096.9639975909133</v>
      </c>
      <c r="N578" s="44"/>
      <c r="O578" s="128"/>
      <c r="P578" s="128"/>
      <c r="Q578" s="128"/>
      <c r="V578" s="44" t="s">
        <v>108</v>
      </c>
      <c r="W578" s="128">
        <v>964.6892354098321</v>
      </c>
      <c r="X578" s="128">
        <v>12.0</v>
      </c>
      <c r="Y578" s="128">
        <v>967.4163329393016</v>
      </c>
      <c r="Z578" s="44" t="s">
        <v>34</v>
      </c>
      <c r="AA578" s="128">
        <v>976.0653027451543</v>
      </c>
      <c r="AB578" s="128">
        <v>24.0</v>
      </c>
      <c r="AC578" s="128">
        <v>985.074882151416</v>
      </c>
      <c r="AD578" s="44" t="s">
        <v>107</v>
      </c>
      <c r="AE578" s="128">
        <v>1020.2547321150982</v>
      </c>
      <c r="AF578" s="128">
        <v>21.0</v>
      </c>
      <c r="AG578" s="128">
        <v>1027.5180551793671</v>
      </c>
      <c r="AH578" s="44"/>
      <c r="AI578" s="128"/>
      <c r="AJ578" s="128"/>
      <c r="AK578" s="128"/>
      <c r="AP578" s="128">
        <v>10.0</v>
      </c>
      <c r="AQ578" s="128">
        <v>18.0</v>
      </c>
      <c r="AT578" s="44">
        <v>577.0</v>
      </c>
      <c r="AU578" s="44"/>
      <c r="AW578" s="93"/>
      <c r="AY578" s="93"/>
      <c r="AZ578" s="93"/>
      <c r="BA578" s="93"/>
      <c r="BB578" s="155"/>
      <c r="BC578" s="93"/>
      <c r="BE578" s="93"/>
      <c r="BG578" s="93"/>
      <c r="BH578" s="93"/>
      <c r="BI578" s="93"/>
      <c r="BJ578" s="155"/>
      <c r="BK578" s="93"/>
    </row>
    <row r="579">
      <c r="A579" s="166">
        <v>44391.028332974536</v>
      </c>
      <c r="B579" s="44" t="s">
        <v>123</v>
      </c>
      <c r="C579" s="128">
        <v>850.1225647055336</v>
      </c>
      <c r="D579" s="128">
        <v>11.0</v>
      </c>
      <c r="E579" s="128">
        <v>852.5504859425401</v>
      </c>
      <c r="F579" s="44" t="s">
        <v>34</v>
      </c>
      <c r="G579" s="128">
        <v>985.074882151416</v>
      </c>
      <c r="H579" s="128">
        <v>22.0</v>
      </c>
      <c r="I579" s="128">
        <v>993.2114289376412</v>
      </c>
      <c r="J579" s="44" t="s">
        <v>27</v>
      </c>
      <c r="K579" s="128">
        <v>1096.9639975909133</v>
      </c>
      <c r="L579" s="128">
        <v>28.0</v>
      </c>
      <c r="M579" s="128">
        <v>1108.3995295676814</v>
      </c>
      <c r="N579" s="44"/>
      <c r="O579" s="128"/>
      <c r="P579" s="128"/>
      <c r="Q579" s="128"/>
      <c r="V579" s="44" t="s">
        <v>108</v>
      </c>
      <c r="W579" s="128">
        <v>967.4163329393016</v>
      </c>
      <c r="X579" s="128">
        <v>16.0</v>
      </c>
      <c r="Y579" s="128">
        <v>959.3548831149062</v>
      </c>
      <c r="Z579" s="44" t="s">
        <v>112</v>
      </c>
      <c r="AA579" s="128">
        <v>973.186492485309</v>
      </c>
      <c r="AB579" s="128">
        <v>16.0</v>
      </c>
      <c r="AC579" s="128">
        <v>965.0981054781491</v>
      </c>
      <c r="AD579" s="44" t="s">
        <v>107</v>
      </c>
      <c r="AE579" s="128">
        <v>1027.5180551793671</v>
      </c>
      <c r="AF579" s="128">
        <v>20.0</v>
      </c>
      <c r="AG579" s="128">
        <v>1021.6678920109224</v>
      </c>
      <c r="AH579" s="44"/>
      <c r="AI579" s="128"/>
      <c r="AJ579" s="128"/>
      <c r="AK579" s="128"/>
      <c r="AP579" s="128">
        <v>16.0</v>
      </c>
      <c r="AQ579" s="128">
        <v>12.0</v>
      </c>
      <c r="AT579" s="44">
        <v>578.0</v>
      </c>
      <c r="AU579" s="44"/>
      <c r="AW579" s="93"/>
      <c r="AY579" s="93"/>
      <c r="AZ579" s="93"/>
      <c r="BA579" s="93"/>
      <c r="BB579" s="155"/>
      <c r="BC579" s="93"/>
      <c r="BE579" s="93"/>
      <c r="BG579" s="93"/>
      <c r="BH579" s="93"/>
      <c r="BI579" s="93"/>
      <c r="BJ579" s="155"/>
      <c r="BK579" s="93"/>
    </row>
    <row r="580">
      <c r="A580" s="166">
        <v>44391.06057032407</v>
      </c>
      <c r="B580" s="44" t="s">
        <v>123</v>
      </c>
      <c r="C580" s="128">
        <v>852.5504859425401</v>
      </c>
      <c r="D580" s="128">
        <v>12.0</v>
      </c>
      <c r="E580" s="128">
        <v>848.8099537061759</v>
      </c>
      <c r="F580" s="44" t="s">
        <v>108</v>
      </c>
      <c r="G580" s="128">
        <v>959.3548831149062</v>
      </c>
      <c r="H580" s="128">
        <v>19.0</v>
      </c>
      <c r="I580" s="128">
        <v>957.0954153512705</v>
      </c>
      <c r="J580" s="44"/>
      <c r="K580" s="128"/>
      <c r="L580" s="128"/>
      <c r="M580" s="128"/>
      <c r="N580" s="44"/>
      <c r="O580" s="128"/>
      <c r="P580" s="128"/>
      <c r="Q580" s="128"/>
      <c r="V580" s="44" t="s">
        <v>107</v>
      </c>
      <c r="W580" s="128">
        <v>1021.6678920109224</v>
      </c>
      <c r="X580" s="128">
        <v>12.0</v>
      </c>
      <c r="Y580" s="128">
        <v>1023.2069180263094</v>
      </c>
      <c r="Z580" s="44" t="s">
        <v>27</v>
      </c>
      <c r="AA580" s="128">
        <v>1108.3995295676814</v>
      </c>
      <c r="AB580" s="128">
        <v>24.0</v>
      </c>
      <c r="AC580" s="128">
        <v>1112.8605035522944</v>
      </c>
      <c r="AD580" s="44"/>
      <c r="AE580" s="128"/>
      <c r="AF580" s="128"/>
      <c r="AG580" s="128"/>
      <c r="AH580" s="44"/>
      <c r="AI580" s="128"/>
      <c r="AJ580" s="128"/>
      <c r="AK580" s="128"/>
      <c r="AP580" s="128">
        <v>12.0</v>
      </c>
      <c r="AQ580" s="128">
        <v>15.0</v>
      </c>
      <c r="AT580" s="44">
        <v>579.0</v>
      </c>
      <c r="AU580" s="44"/>
      <c r="AW580" s="93"/>
      <c r="AY580" s="93"/>
      <c r="AZ580" s="93"/>
      <c r="BA580" s="93"/>
      <c r="BB580" s="155"/>
      <c r="BC580" s="93"/>
      <c r="BE580" s="93"/>
      <c r="BG580" s="93"/>
      <c r="BH580" s="93"/>
      <c r="BI580" s="93"/>
      <c r="BJ580" s="155"/>
      <c r="BK580" s="93"/>
    </row>
    <row r="581">
      <c r="A581" s="166">
        <v>44391.98662877315</v>
      </c>
      <c r="B581" s="44" t="s">
        <v>123</v>
      </c>
      <c r="C581" s="128">
        <v>848.8099537061759</v>
      </c>
      <c r="D581" s="128">
        <v>11.0</v>
      </c>
      <c r="E581" s="128">
        <v>839.0801073744647</v>
      </c>
      <c r="F581" s="44" t="s">
        <v>34</v>
      </c>
      <c r="G581" s="128">
        <v>993.2114289376412</v>
      </c>
      <c r="H581" s="128">
        <v>18.0</v>
      </c>
      <c r="I581" s="128">
        <v>986.5477302160407</v>
      </c>
      <c r="J581" s="44" t="s">
        <v>27</v>
      </c>
      <c r="K581" s="128">
        <v>1112.8605035522944</v>
      </c>
      <c r="L581" s="128">
        <v>24.0</v>
      </c>
      <c r="M581" s="128">
        <v>1109.2540486056062</v>
      </c>
      <c r="N581" s="44"/>
      <c r="O581" s="128"/>
      <c r="P581" s="128"/>
      <c r="Q581" s="128"/>
      <c r="V581" s="44" t="s">
        <v>108</v>
      </c>
      <c r="W581" s="128">
        <v>957.0954153512705</v>
      </c>
      <c r="X581" s="128">
        <v>15.0</v>
      </c>
      <c r="Y581" s="128">
        <v>961.4605209437472</v>
      </c>
      <c r="Z581" s="44" t="s">
        <v>92</v>
      </c>
      <c r="AA581" s="128">
        <v>966.6860966750239</v>
      </c>
      <c r="AB581" s="128">
        <v>25.0</v>
      </c>
      <c r="AC581" s="128">
        <v>976.5596680293193</v>
      </c>
      <c r="AD581" s="44" t="s">
        <v>107</v>
      </c>
      <c r="AE581" s="128">
        <v>1023.2069180263094</v>
      </c>
      <c r="AF581" s="128">
        <v>18.0</v>
      </c>
      <c r="AG581" s="128">
        <v>1028.9682410795374</v>
      </c>
      <c r="AH581" s="44"/>
      <c r="AI581" s="128"/>
      <c r="AJ581" s="128"/>
      <c r="AK581" s="128"/>
      <c r="AP581" s="128">
        <v>12.0</v>
      </c>
      <c r="AQ581" s="128">
        <v>16.0</v>
      </c>
      <c r="AT581" s="44">
        <v>580.0</v>
      </c>
      <c r="AU581" s="44"/>
      <c r="AW581" s="93"/>
      <c r="AY581" s="93"/>
      <c r="AZ581" s="93"/>
      <c r="BA581" s="93"/>
      <c r="BB581" s="155"/>
      <c r="BC581" s="93"/>
      <c r="BE581" s="93"/>
      <c r="BG581" s="93"/>
      <c r="BH581" s="93"/>
      <c r="BI581" s="93"/>
      <c r="BJ581" s="155"/>
      <c r="BK581" s="93"/>
    </row>
    <row r="582">
      <c r="A582" s="166">
        <v>44395.995799375</v>
      </c>
      <c r="B582" s="44" t="s">
        <v>123</v>
      </c>
      <c r="C582" s="128">
        <v>839.0801073744647</v>
      </c>
      <c r="D582" s="128">
        <v>18.0</v>
      </c>
      <c r="E582" s="128">
        <v>844.5742098476123</v>
      </c>
      <c r="F582" s="44" t="s">
        <v>107</v>
      </c>
      <c r="G582" s="128">
        <v>1028.9682410795374</v>
      </c>
      <c r="H582" s="128">
        <v>21.0</v>
      </c>
      <c r="I582" s="128">
        <v>1035.3885066895084</v>
      </c>
      <c r="J582" s="44" t="s">
        <v>245</v>
      </c>
      <c r="K582" s="128">
        <v>1029.497422397314</v>
      </c>
      <c r="L582" s="128">
        <v>24.0</v>
      </c>
      <c r="M582" s="128">
        <v>1037.5830543141954</v>
      </c>
      <c r="N582" s="44"/>
      <c r="O582" s="128"/>
      <c r="P582" s="128"/>
      <c r="Q582" s="128"/>
      <c r="V582" s="44" t="s">
        <v>108</v>
      </c>
      <c r="W582" s="128">
        <v>961.4605209437472</v>
      </c>
      <c r="X582" s="128">
        <v>15.0</v>
      </c>
      <c r="Y582" s="128">
        <v>954.0693253511333</v>
      </c>
      <c r="Z582" s="44" t="s">
        <v>112</v>
      </c>
      <c r="AA582" s="128">
        <v>965.0981054781491</v>
      </c>
      <c r="AB582" s="128">
        <v>19.0</v>
      </c>
      <c r="AC582" s="128">
        <v>959.9194907795013</v>
      </c>
      <c r="AD582" s="44" t="s">
        <v>92</v>
      </c>
      <c r="AE582" s="128">
        <v>976.5596680293193</v>
      </c>
      <c r="AF582" s="128">
        <v>15.0</v>
      </c>
      <c r="AG582" s="128">
        <v>969.1294783205809</v>
      </c>
      <c r="AH582" s="44"/>
      <c r="AI582" s="128"/>
      <c r="AJ582" s="128"/>
      <c r="AK582" s="128"/>
      <c r="AP582" s="128">
        <v>16.0</v>
      </c>
      <c r="AQ582" s="128">
        <v>12.0</v>
      </c>
      <c r="AR582" s="44" t="s">
        <v>507</v>
      </c>
      <c r="AT582" s="44">
        <v>581.0</v>
      </c>
      <c r="AU582" s="44"/>
      <c r="AW582" s="93"/>
      <c r="AY582" s="93"/>
      <c r="AZ582" s="93"/>
      <c r="BA582" s="93"/>
      <c r="BB582" s="155"/>
      <c r="BC582" s="93"/>
      <c r="BE582" s="93"/>
      <c r="BG582" s="93"/>
      <c r="BH582" s="93"/>
      <c r="BI582" s="93"/>
      <c r="BJ582" s="155"/>
      <c r="BK582" s="93"/>
    </row>
    <row r="583">
      <c r="A583" s="166">
        <v>44396.02948435185</v>
      </c>
      <c r="B583" s="44" t="s">
        <v>123</v>
      </c>
      <c r="C583" s="128">
        <v>844.5742098476123</v>
      </c>
      <c r="D583" s="128">
        <v>10.0</v>
      </c>
      <c r="E583" s="128">
        <v>845.6701331540697</v>
      </c>
      <c r="F583" s="44" t="s">
        <v>107</v>
      </c>
      <c r="G583" s="128">
        <v>1035.3885066895084</v>
      </c>
      <c r="H583" s="128">
        <v>33.0</v>
      </c>
      <c r="I583" s="128">
        <v>1047.3428303247824</v>
      </c>
      <c r="J583" s="44" t="s">
        <v>245</v>
      </c>
      <c r="K583" s="128">
        <v>1037.5830543141954</v>
      </c>
      <c r="L583" s="128">
        <v>19.0</v>
      </c>
      <c r="M583" s="128">
        <v>1042.5328073724638</v>
      </c>
      <c r="N583" s="44"/>
      <c r="O583" s="128"/>
      <c r="P583" s="128"/>
      <c r="Q583" s="128"/>
      <c r="V583" s="44" t="s">
        <v>108</v>
      </c>
      <c r="W583" s="128">
        <v>954.0693253511333</v>
      </c>
      <c r="X583" s="128">
        <v>16.0</v>
      </c>
      <c r="Y583" s="128">
        <v>947.9195219210287</v>
      </c>
      <c r="Z583" s="44" t="s">
        <v>112</v>
      </c>
      <c r="AA583" s="128">
        <v>959.9194907795013</v>
      </c>
      <c r="AB583" s="128">
        <v>20.0</v>
      </c>
      <c r="AC583" s="128">
        <v>955.7553251536397</v>
      </c>
      <c r="AD583" s="44" t="s">
        <v>92</v>
      </c>
      <c r="AE583" s="128">
        <v>969.1294783205809</v>
      </c>
      <c r="AF583" s="128">
        <v>13.0</v>
      </c>
      <c r="AG583" s="128">
        <v>961.443447376547</v>
      </c>
      <c r="AH583" s="44"/>
      <c r="AI583" s="128"/>
      <c r="AJ583" s="128"/>
      <c r="AK583" s="128"/>
      <c r="AP583" s="128">
        <v>18.0</v>
      </c>
      <c r="AQ583" s="128">
        <v>10.0</v>
      </c>
      <c r="AR583" s="167" t="s">
        <v>508</v>
      </c>
      <c r="AT583" s="44">
        <v>582.0</v>
      </c>
      <c r="AU583" s="44"/>
      <c r="AW583" s="93"/>
      <c r="AY583" s="93"/>
      <c r="AZ583" s="93"/>
      <c r="BA583" s="93"/>
      <c r="BB583" s="155"/>
      <c r="BC583" s="93"/>
      <c r="BE583" s="93"/>
      <c r="BG583" s="93"/>
      <c r="BH583" s="93"/>
      <c r="BI583" s="93"/>
      <c r="BJ583" s="155"/>
      <c r="BK583" s="93"/>
    </row>
    <row r="584">
      <c r="A584" s="166">
        <v>44400.02280821759</v>
      </c>
      <c r="B584" s="44" t="s">
        <v>112</v>
      </c>
      <c r="C584" s="128">
        <v>955.7553251536397</v>
      </c>
      <c r="D584" s="128">
        <v>16.0</v>
      </c>
      <c r="E584" s="128">
        <v>961.2968580931556</v>
      </c>
      <c r="F584" s="44" t="s">
        <v>107</v>
      </c>
      <c r="G584" s="128">
        <v>1047.3428303247824</v>
      </c>
      <c r="H584" s="128">
        <v>25.0</v>
      </c>
      <c r="I584" s="128">
        <v>1058.8012973852665</v>
      </c>
      <c r="J584" s="44"/>
      <c r="K584" s="128"/>
      <c r="L584" s="128"/>
      <c r="M584" s="128"/>
      <c r="N584" s="44"/>
      <c r="O584" s="128"/>
      <c r="P584" s="128"/>
      <c r="Q584" s="128"/>
      <c r="V584" s="44" t="s">
        <v>92</v>
      </c>
      <c r="W584" s="128">
        <v>961.443447376547</v>
      </c>
      <c r="X584" s="128">
        <v>15.0</v>
      </c>
      <c r="Y584" s="128">
        <v>953.3513422589253</v>
      </c>
      <c r="Z584" s="44" t="s">
        <v>34</v>
      </c>
      <c r="AA584" s="128">
        <v>986.5477302160407</v>
      </c>
      <c r="AB584" s="128">
        <v>14.0</v>
      </c>
      <c r="AC584" s="128">
        <v>977.6398353336624</v>
      </c>
      <c r="AD584" s="44"/>
      <c r="AE584" s="128"/>
      <c r="AF584" s="128"/>
      <c r="AG584" s="128"/>
      <c r="AH584" s="44"/>
      <c r="AI584" s="128"/>
      <c r="AJ584" s="128"/>
      <c r="AK584" s="128"/>
      <c r="AP584" s="128">
        <v>17.0</v>
      </c>
      <c r="AQ584" s="128">
        <v>11.0</v>
      </c>
      <c r="AT584" s="44">
        <v>583.0</v>
      </c>
      <c r="AU584" s="44"/>
      <c r="AW584" s="93"/>
      <c r="AY584" s="93"/>
      <c r="AZ584" s="93"/>
      <c r="BA584" s="93"/>
      <c r="BB584" s="155"/>
      <c r="BC584" s="93"/>
      <c r="BE584" s="93"/>
      <c r="BG584" s="93"/>
      <c r="BH584" s="93"/>
      <c r="BI584" s="93"/>
      <c r="BJ584" s="155"/>
      <c r="BK584" s="93"/>
    </row>
    <row r="585">
      <c r="A585" s="166">
        <v>44400.0501994213</v>
      </c>
      <c r="B585" s="44" t="s">
        <v>92</v>
      </c>
      <c r="C585" s="128">
        <v>953.3513422589253</v>
      </c>
      <c r="D585" s="128">
        <v>26.0</v>
      </c>
      <c r="E585" s="128">
        <v>975.1979960599455</v>
      </c>
      <c r="F585" s="44" t="s">
        <v>107</v>
      </c>
      <c r="G585" s="128">
        <v>1058.8012973852665</v>
      </c>
      <c r="H585" s="128">
        <v>18.0</v>
      </c>
      <c r="I585" s="128">
        <v>1068.9546435842465</v>
      </c>
      <c r="J585" s="44"/>
      <c r="K585" s="128"/>
      <c r="L585" s="128"/>
      <c r="M585" s="128"/>
      <c r="N585" s="44"/>
      <c r="O585" s="128"/>
      <c r="P585" s="128"/>
      <c r="Q585" s="128"/>
      <c r="V585" s="44" t="s">
        <v>112</v>
      </c>
      <c r="W585" s="128">
        <v>961.2968580931556</v>
      </c>
      <c r="X585" s="128">
        <v>12.0</v>
      </c>
      <c r="Y585" s="128">
        <v>945.3526356476677</v>
      </c>
      <c r="Z585" s="44" t="s">
        <v>34</v>
      </c>
      <c r="AA585" s="128">
        <v>977.6398353336624</v>
      </c>
      <c r="AB585" s="128">
        <v>12.0</v>
      </c>
      <c r="AC585" s="128">
        <v>961.5840577791503</v>
      </c>
      <c r="AD585" s="44"/>
      <c r="AE585" s="128"/>
      <c r="AF585" s="128"/>
      <c r="AG585" s="128"/>
      <c r="AH585" s="44"/>
      <c r="AI585" s="128"/>
      <c r="AJ585" s="128"/>
      <c r="AK585" s="128"/>
      <c r="AP585" s="128">
        <v>20.0</v>
      </c>
      <c r="AQ585" s="128">
        <v>8.0</v>
      </c>
      <c r="AT585" s="44">
        <v>584.0</v>
      </c>
      <c r="AU585" s="44"/>
      <c r="AW585" s="93"/>
      <c r="AY585" s="93"/>
      <c r="AZ585" s="93"/>
      <c r="BA585" s="93"/>
      <c r="BB585" s="155"/>
      <c r="BC585" s="93"/>
      <c r="BE585" s="93"/>
      <c r="BG585" s="93"/>
      <c r="BH585" s="93"/>
      <c r="BI585" s="93"/>
      <c r="BJ585" s="155"/>
      <c r="BK585" s="93"/>
    </row>
    <row r="586">
      <c r="A586" s="166">
        <v>44402.02811950231</v>
      </c>
      <c r="B586" s="44" t="s">
        <v>98</v>
      </c>
      <c r="C586" s="128">
        <v>915.4940104117845</v>
      </c>
      <c r="D586" s="128">
        <v>15.0</v>
      </c>
      <c r="E586" s="128">
        <v>920.4206387092778</v>
      </c>
      <c r="F586" s="44" t="s">
        <v>23</v>
      </c>
      <c r="G586" s="128">
        <v>1124.603901367886</v>
      </c>
      <c r="H586" s="128">
        <v>22.0</v>
      </c>
      <c r="I586" s="128">
        <v>1132.6772730703929</v>
      </c>
      <c r="J586" s="44"/>
      <c r="K586" s="128"/>
      <c r="L586" s="128"/>
      <c r="M586" s="128"/>
      <c r="N586" s="44"/>
      <c r="O586" s="128"/>
      <c r="P586" s="128"/>
      <c r="Q586" s="128"/>
      <c r="V586" s="44" t="s">
        <v>112</v>
      </c>
      <c r="W586" s="128">
        <v>945.3526356476677</v>
      </c>
      <c r="X586" s="128">
        <v>18.0</v>
      </c>
      <c r="Y586" s="128">
        <v>941.5877482295091</v>
      </c>
      <c r="Z586" s="44" t="s">
        <v>34</v>
      </c>
      <c r="AA586" s="128">
        <v>961.5840577791503</v>
      </c>
      <c r="AB586" s="128">
        <v>8.0</v>
      </c>
      <c r="AC586" s="128">
        <v>952.3489451973089</v>
      </c>
      <c r="AD586" s="44"/>
      <c r="AE586" s="128"/>
      <c r="AF586" s="128"/>
      <c r="AG586" s="128"/>
      <c r="AH586" s="44"/>
      <c r="AI586" s="128"/>
      <c r="AJ586" s="128"/>
      <c r="AK586" s="128"/>
      <c r="AP586" s="128">
        <v>17.0</v>
      </c>
      <c r="AQ586" s="128">
        <v>10.0</v>
      </c>
      <c r="AT586" s="44">
        <v>585.0</v>
      </c>
      <c r="AU586" s="44"/>
      <c r="AW586" s="93"/>
      <c r="AY586" s="93"/>
      <c r="AZ586" s="93"/>
      <c r="BA586" s="93"/>
      <c r="BB586" s="155"/>
      <c r="BC586" s="93"/>
      <c r="BE586" s="93"/>
      <c r="BG586" s="93"/>
      <c r="BH586" s="93"/>
      <c r="BI586" s="93"/>
      <c r="BJ586" s="155"/>
      <c r="BK586" s="93"/>
    </row>
    <row r="587">
      <c r="A587" s="166">
        <v>44402.075559097226</v>
      </c>
      <c r="B587" s="44" t="s">
        <v>306</v>
      </c>
      <c r="C587" s="128">
        <v>950.87</v>
      </c>
      <c r="D587" s="128">
        <v>0.0</v>
      </c>
      <c r="E587" s="128">
        <v>950.88</v>
      </c>
      <c r="F587" s="44" t="s">
        <v>23</v>
      </c>
      <c r="G587" s="128">
        <v>1132.6772730703929</v>
      </c>
      <c r="H587" s="128">
        <v>34.0</v>
      </c>
      <c r="I587" s="128">
        <v>1134.1812601360548</v>
      </c>
      <c r="J587" s="44" t="s">
        <v>31</v>
      </c>
      <c r="K587" s="128">
        <v>1243.1853823004574</v>
      </c>
      <c r="L587" s="128">
        <v>22.0</v>
      </c>
      <c r="M587" s="128">
        <v>1244.0180178991873</v>
      </c>
      <c r="N587" s="44"/>
      <c r="O587" s="128"/>
      <c r="P587" s="128"/>
      <c r="Q587" s="128"/>
      <c r="V587" s="44" t="s">
        <v>98</v>
      </c>
      <c r="W587" s="128">
        <v>920.4206387092778</v>
      </c>
      <c r="X587" s="128">
        <v>9.0</v>
      </c>
      <c r="Y587" s="128">
        <v>919.6853504507749</v>
      </c>
      <c r="Z587" s="44" t="s">
        <v>112</v>
      </c>
      <c r="AA587" s="128">
        <v>941.5877482295091</v>
      </c>
      <c r="AB587" s="128">
        <v>11.0</v>
      </c>
      <c r="AC587" s="128">
        <v>940.9569389538531</v>
      </c>
      <c r="AD587" s="44" t="s">
        <v>34</v>
      </c>
      <c r="AE587" s="128">
        <v>952.3489451973089</v>
      </c>
      <c r="AF587" s="128">
        <v>11.0</v>
      </c>
      <c r="AG587" s="128">
        <v>951.7150427314679</v>
      </c>
      <c r="AH587" s="44"/>
      <c r="AI587" s="128"/>
      <c r="AJ587" s="128"/>
      <c r="AK587" s="128"/>
      <c r="AP587" s="128">
        <v>17.0</v>
      </c>
      <c r="AQ587" s="128">
        <v>11.0</v>
      </c>
      <c r="AR587" s="44" t="s">
        <v>509</v>
      </c>
      <c r="AT587" s="44">
        <v>586.0</v>
      </c>
      <c r="AU587" s="44"/>
      <c r="AW587" s="93"/>
      <c r="AY587" s="93"/>
      <c r="AZ587" s="93"/>
      <c r="BA587" s="93"/>
      <c r="BB587" s="155"/>
      <c r="BC587" s="93"/>
      <c r="BE587" s="93"/>
      <c r="BG587" s="93"/>
      <c r="BH587" s="93"/>
      <c r="BI587" s="93"/>
      <c r="BJ587" s="155"/>
      <c r="BK587" s="93"/>
    </row>
    <row r="588">
      <c r="A588" s="166">
        <v>44404.94323160879</v>
      </c>
      <c r="B588" s="44" t="s">
        <v>112</v>
      </c>
      <c r="C588" s="128">
        <v>940.9569389538531</v>
      </c>
      <c r="D588" s="128">
        <v>20.0</v>
      </c>
      <c r="E588" s="128">
        <v>932.1268027414341</v>
      </c>
      <c r="F588" s="44" t="s">
        <v>107</v>
      </c>
      <c r="G588" s="128">
        <v>1068.9546435842465</v>
      </c>
      <c r="H588" s="128">
        <v>13.0</v>
      </c>
      <c r="I588" s="128">
        <v>1051.7847797966656</v>
      </c>
      <c r="J588" s="44"/>
      <c r="K588" s="128"/>
      <c r="L588" s="128"/>
      <c r="M588" s="128"/>
      <c r="N588" s="44"/>
      <c r="O588" s="128"/>
      <c r="P588" s="128"/>
      <c r="Q588" s="128"/>
      <c r="V588" s="44" t="s">
        <v>123</v>
      </c>
      <c r="W588" s="128">
        <v>845.6701331540697</v>
      </c>
      <c r="X588" s="128">
        <v>15.0</v>
      </c>
      <c r="Y588" s="128">
        <v>854.3430826222601</v>
      </c>
      <c r="Z588" s="44" t="s">
        <v>47</v>
      </c>
      <c r="AA588" s="128">
        <v>1053.8634567500214</v>
      </c>
      <c r="AB588" s="128">
        <v>25.0</v>
      </c>
      <c r="AC588" s="128">
        <v>1071.190507281831</v>
      </c>
      <c r="AD588" s="44"/>
      <c r="AE588" s="128"/>
      <c r="AF588" s="128"/>
      <c r="AG588" s="128"/>
      <c r="AH588" s="44"/>
      <c r="AI588" s="128"/>
      <c r="AJ588" s="128"/>
      <c r="AK588" s="128"/>
      <c r="AP588" s="128">
        <v>11.0</v>
      </c>
      <c r="AQ588" s="128">
        <v>15.0</v>
      </c>
      <c r="AT588" s="44">
        <v>587.0</v>
      </c>
      <c r="AU588" s="44"/>
      <c r="AW588" s="93"/>
      <c r="AY588" s="93"/>
      <c r="AZ588" s="93"/>
      <c r="BA588" s="93"/>
      <c r="BB588" s="155"/>
      <c r="BC588" s="93"/>
      <c r="BE588" s="93"/>
      <c r="BG588" s="93"/>
      <c r="BH588" s="93"/>
      <c r="BI588" s="93"/>
      <c r="BJ588" s="155"/>
      <c r="BK588" s="93"/>
    </row>
    <row r="589">
      <c r="A589" s="166">
        <v>44404.97799431713</v>
      </c>
      <c r="B589" s="44" t="s">
        <v>112</v>
      </c>
      <c r="C589" s="128">
        <v>932.1268027414341</v>
      </c>
      <c r="D589" s="128">
        <v>21.0</v>
      </c>
      <c r="E589" s="128">
        <v>928.450981031965</v>
      </c>
      <c r="F589" s="44" t="s">
        <v>92</v>
      </c>
      <c r="G589" s="128">
        <v>975.1979960599455</v>
      </c>
      <c r="H589" s="128">
        <v>13.0</v>
      </c>
      <c r="I589" s="128">
        <v>967.8115404511534</v>
      </c>
      <c r="J589" s="44" t="s">
        <v>47</v>
      </c>
      <c r="K589" s="128">
        <v>1071.190507281831</v>
      </c>
      <c r="L589" s="128">
        <v>19.0</v>
      </c>
      <c r="M589" s="128">
        <v>1066.2527846000921</v>
      </c>
      <c r="N589" s="44"/>
      <c r="O589" s="128"/>
      <c r="P589" s="128"/>
      <c r="Q589" s="128"/>
      <c r="V589" s="44" t="s">
        <v>123</v>
      </c>
      <c r="W589" s="128">
        <v>854.3430826222601</v>
      </c>
      <c r="X589" s="128">
        <v>8.0</v>
      </c>
      <c r="Y589" s="128">
        <v>855.6178583414749</v>
      </c>
      <c r="Z589" s="44" t="s">
        <v>107</v>
      </c>
      <c r="AA589" s="128">
        <v>1051.7847797966656</v>
      </c>
      <c r="AB589" s="128">
        <v>12.0</v>
      </c>
      <c r="AC589" s="128">
        <v>1054.087217981472</v>
      </c>
      <c r="AD589" s="44" t="s">
        <v>23</v>
      </c>
      <c r="AE589" s="128">
        <v>1134.1812601360548</v>
      </c>
      <c r="AF589" s="128">
        <v>35.0</v>
      </c>
      <c r="AG589" s="128">
        <v>1146.6040462320339</v>
      </c>
      <c r="AH589" s="44"/>
      <c r="AI589" s="128"/>
      <c r="AJ589" s="128"/>
      <c r="AK589" s="128"/>
      <c r="AP589" s="128">
        <v>12.0</v>
      </c>
      <c r="AQ589" s="128">
        <v>16.0</v>
      </c>
      <c r="AT589" s="44">
        <v>588.0</v>
      </c>
      <c r="AU589" s="44"/>
      <c r="AW589" s="93"/>
      <c r="AY589" s="93"/>
      <c r="AZ589" s="93"/>
      <c r="BA589" s="93"/>
      <c r="BB589" s="155"/>
      <c r="BC589" s="93"/>
      <c r="BE589" s="93"/>
      <c r="BG589" s="93"/>
      <c r="BH589" s="93"/>
      <c r="BI589" s="93"/>
      <c r="BJ589" s="155"/>
      <c r="BK589" s="93"/>
    </row>
    <row r="590">
      <c r="A590" s="166">
        <v>44405.01950155092</v>
      </c>
      <c r="B590" s="44" t="s">
        <v>112</v>
      </c>
      <c r="C590" s="128">
        <v>928.450981031965</v>
      </c>
      <c r="D590" s="128">
        <v>14.0</v>
      </c>
      <c r="E590" s="128">
        <v>930.1143135849144</v>
      </c>
      <c r="F590" s="44" t="s">
        <v>92</v>
      </c>
      <c r="G590" s="128">
        <v>967.8115404511534</v>
      </c>
      <c r="H590" s="128">
        <v>18.0</v>
      </c>
      <c r="I590" s="128">
        <v>970.2864053393548</v>
      </c>
      <c r="J590" s="44" t="s">
        <v>23</v>
      </c>
      <c r="K590" s="128">
        <v>1146.6040462320339</v>
      </c>
      <c r="L590" s="128">
        <v>25.0</v>
      </c>
      <c r="M590" s="128">
        <v>1150.465848790883</v>
      </c>
      <c r="N590" s="44"/>
      <c r="O590" s="128"/>
      <c r="P590" s="128"/>
      <c r="Q590" s="128"/>
      <c r="V590" s="44" t="s">
        <v>123</v>
      </c>
      <c r="W590" s="128">
        <v>855.6178583414749</v>
      </c>
      <c r="X590" s="128">
        <v>11.0</v>
      </c>
      <c r="Y590" s="128">
        <v>851.7764258831752</v>
      </c>
      <c r="Z590" s="44" t="s">
        <v>245</v>
      </c>
      <c r="AA590" s="128">
        <v>1042.5328073724638</v>
      </c>
      <c r="AB590" s="128">
        <v>29.0</v>
      </c>
      <c r="AC590" s="128">
        <v>1042.3524607223403</v>
      </c>
      <c r="AD590" s="44" t="s">
        <v>47</v>
      </c>
      <c r="AE590" s="128">
        <v>1066.2527846000921</v>
      </c>
      <c r="AF590" s="128">
        <v>12.0</v>
      </c>
      <c r="AG590" s="128">
        <v>1062.2745637085154</v>
      </c>
      <c r="AH590" s="44"/>
      <c r="AI590" s="128"/>
      <c r="AJ590" s="128"/>
      <c r="AK590" s="128"/>
      <c r="AP590" s="128">
        <v>15.0</v>
      </c>
      <c r="AQ590" s="128">
        <v>13.0</v>
      </c>
      <c r="AT590" s="44">
        <v>589.0</v>
      </c>
      <c r="AU590" s="44"/>
      <c r="AW590" s="93"/>
      <c r="AY590" s="93"/>
      <c r="AZ590" s="93"/>
      <c r="BA590" s="93"/>
      <c r="BB590" s="155"/>
      <c r="BC590" s="93"/>
      <c r="BE590" s="93"/>
      <c r="BG590" s="93"/>
      <c r="BH590" s="93"/>
      <c r="BI590" s="93"/>
      <c r="BJ590" s="155"/>
      <c r="BK590" s="93"/>
    </row>
    <row r="591">
      <c r="A591" s="166">
        <v>44406.749711192126</v>
      </c>
      <c r="B591" s="44" t="s">
        <v>92</v>
      </c>
      <c r="C591" s="128">
        <v>970.2864053393548</v>
      </c>
      <c r="D591" s="128">
        <v>17.0</v>
      </c>
      <c r="E591" s="128">
        <v>962.8353757591099</v>
      </c>
      <c r="F591" s="44" t="s">
        <v>107</v>
      </c>
      <c r="G591" s="128">
        <v>1054.087217981472</v>
      </c>
      <c r="H591" s="128">
        <v>21.0</v>
      </c>
      <c r="I591" s="128">
        <v>1048.5382475617168</v>
      </c>
      <c r="J591" s="44"/>
      <c r="K591" s="128"/>
      <c r="L591" s="128"/>
      <c r="M591" s="128"/>
      <c r="N591" s="44"/>
      <c r="O591" s="128"/>
      <c r="P591" s="128"/>
      <c r="Q591" s="128"/>
      <c r="V591" s="44" t="s">
        <v>123</v>
      </c>
      <c r="W591" s="128">
        <v>851.7764258831752</v>
      </c>
      <c r="X591" s="128">
        <v>10.0</v>
      </c>
      <c r="Y591" s="128">
        <v>854.4117772039262</v>
      </c>
      <c r="Z591" s="44" t="s">
        <v>47</v>
      </c>
      <c r="AA591" s="128">
        <v>1062.2745637085154</v>
      </c>
      <c r="AB591" s="128">
        <v>26.0</v>
      </c>
      <c r="AC591" s="128">
        <v>1072.6392123877642</v>
      </c>
      <c r="AD591" s="44"/>
      <c r="AE591" s="128"/>
      <c r="AF591" s="128"/>
      <c r="AG591" s="128"/>
      <c r="AH591" s="44"/>
      <c r="AI591" s="128"/>
      <c r="AJ591" s="128"/>
      <c r="AK591" s="128"/>
      <c r="AP591" s="128">
        <v>13.0</v>
      </c>
      <c r="AQ591" s="128">
        <v>15.0</v>
      </c>
      <c r="AT591" s="44">
        <v>590.0</v>
      </c>
      <c r="AU591" s="44"/>
      <c r="AW591" s="93"/>
      <c r="AY591" s="93"/>
      <c r="AZ591" s="93"/>
      <c r="BA591" s="93"/>
      <c r="BB591" s="155"/>
      <c r="BC591" s="93"/>
      <c r="BE591" s="93"/>
      <c r="BG591" s="93"/>
      <c r="BH591" s="93"/>
      <c r="BI591" s="93"/>
      <c r="BJ591" s="155"/>
      <c r="BK591" s="93"/>
    </row>
    <row r="592">
      <c r="A592" s="166">
        <v>44406.75047936343</v>
      </c>
      <c r="B592" s="44" t="s">
        <v>92</v>
      </c>
      <c r="C592" s="128">
        <v>962.8353757591099</v>
      </c>
      <c r="D592" s="128">
        <v>17.0</v>
      </c>
      <c r="E592" s="128">
        <v>954.1751165229715</v>
      </c>
      <c r="F592" s="44" t="s">
        <v>107</v>
      </c>
      <c r="G592" s="128">
        <v>1048.5382475617168</v>
      </c>
      <c r="H592" s="128">
        <v>10.0</v>
      </c>
      <c r="I592" s="128">
        <v>1032.1985067978553</v>
      </c>
      <c r="J592" s="44"/>
      <c r="K592" s="128"/>
      <c r="L592" s="128"/>
      <c r="M592" s="128"/>
      <c r="N592" s="44"/>
      <c r="O592" s="128"/>
      <c r="P592" s="128"/>
      <c r="Q592" s="128"/>
      <c r="V592" s="44" t="s">
        <v>123</v>
      </c>
      <c r="W592" s="128">
        <v>854.4117772039262</v>
      </c>
      <c r="X592" s="128">
        <v>12.0</v>
      </c>
      <c r="Y592" s="128">
        <v>859.5772455324748</v>
      </c>
      <c r="Z592" s="44" t="s">
        <v>47</v>
      </c>
      <c r="AA592" s="128">
        <v>1072.6392123877642</v>
      </c>
      <c r="AB592" s="128">
        <v>28.0</v>
      </c>
      <c r="AC592" s="128">
        <v>1092.4737440592157</v>
      </c>
      <c r="AD592" s="44"/>
      <c r="AE592" s="128"/>
      <c r="AF592" s="128"/>
      <c r="AG592" s="128"/>
      <c r="AH592" s="44"/>
      <c r="AI592" s="128"/>
      <c r="AJ592" s="128"/>
      <c r="AK592" s="128"/>
      <c r="AP592" s="128">
        <v>10.0</v>
      </c>
      <c r="AQ592" s="128">
        <v>18.0</v>
      </c>
      <c r="AT592" s="44">
        <v>591.0</v>
      </c>
      <c r="AU592" s="44"/>
      <c r="AW592" s="93"/>
      <c r="AY592" s="93"/>
      <c r="AZ592" s="93"/>
      <c r="BA592" s="93"/>
      <c r="BB592" s="155"/>
      <c r="BC592" s="93"/>
      <c r="BE592" s="93"/>
      <c r="BG592" s="93"/>
      <c r="BH592" s="93"/>
      <c r="BI592" s="93"/>
      <c r="BJ592" s="155"/>
      <c r="BK592" s="93"/>
    </row>
    <row r="593">
      <c r="A593" s="166">
        <v>44406.75086369213</v>
      </c>
      <c r="B593" s="44" t="s">
        <v>92</v>
      </c>
      <c r="C593" s="128">
        <v>954.1751165229715</v>
      </c>
      <c r="D593" s="128">
        <v>15.0</v>
      </c>
      <c r="E593" s="128">
        <v>937.9759281860557</v>
      </c>
      <c r="F593" s="44" t="s">
        <v>107</v>
      </c>
      <c r="G593" s="128">
        <v>1032.1985067978553</v>
      </c>
      <c r="H593" s="128">
        <v>9.0</v>
      </c>
      <c r="I593" s="128">
        <v>1004.3976951347711</v>
      </c>
      <c r="J593" s="44"/>
      <c r="K593" s="128"/>
      <c r="L593" s="128"/>
      <c r="M593" s="128"/>
      <c r="N593" s="44"/>
      <c r="O593" s="128"/>
      <c r="P593" s="128"/>
      <c r="Q593" s="128"/>
      <c r="V593" s="44" t="s">
        <v>123</v>
      </c>
      <c r="W593" s="128">
        <v>859.5772455324748</v>
      </c>
      <c r="X593" s="128">
        <v>17.0</v>
      </c>
      <c r="Y593" s="128">
        <v>874.3228554538609</v>
      </c>
      <c r="Z593" s="44" t="s">
        <v>47</v>
      </c>
      <c r="AA593" s="128">
        <v>1092.4737440592157</v>
      </c>
      <c r="AB593" s="128">
        <v>27.0</v>
      </c>
      <c r="AC593" s="128">
        <v>1121.7281341378296</v>
      </c>
      <c r="AD593" s="44"/>
      <c r="AE593" s="128"/>
      <c r="AF593" s="128"/>
      <c r="AG593" s="128"/>
      <c r="AH593" s="44"/>
      <c r="AI593" s="128"/>
      <c r="AJ593" s="128"/>
      <c r="AK593" s="128"/>
      <c r="AP593" s="128">
        <v>8.0</v>
      </c>
      <c r="AQ593" s="128">
        <v>20.0</v>
      </c>
      <c r="AT593" s="44">
        <v>592.0</v>
      </c>
      <c r="AU593" s="44"/>
      <c r="AW593" s="93"/>
      <c r="AY593" s="93"/>
      <c r="AZ593" s="93"/>
      <c r="BA593" s="93"/>
      <c r="BB593" s="155"/>
      <c r="BC593" s="93"/>
      <c r="BE593" s="93"/>
      <c r="BG593" s="93"/>
      <c r="BH593" s="93"/>
      <c r="BI593" s="93"/>
      <c r="BJ593" s="155"/>
      <c r="BK593" s="93"/>
    </row>
    <row r="594">
      <c r="A594" s="166">
        <v>44411.9919978588</v>
      </c>
      <c r="B594" s="44" t="s">
        <v>92</v>
      </c>
      <c r="C594" s="128">
        <v>937.9759281860557</v>
      </c>
      <c r="D594" s="128">
        <v>9.0</v>
      </c>
      <c r="E594" s="128">
        <v>939.1225973748853</v>
      </c>
      <c r="F594" s="44" t="s">
        <v>110</v>
      </c>
      <c r="G594" s="128">
        <v>996.2073740452604</v>
      </c>
      <c r="H594" s="128">
        <v>15.0</v>
      </c>
      <c r="I594" s="128">
        <v>998.9069208836673</v>
      </c>
      <c r="J594" s="44" t="s">
        <v>31</v>
      </c>
      <c r="K594" s="128">
        <v>1244.0180178991873</v>
      </c>
      <c r="L594" s="128">
        <v>28.0</v>
      </c>
      <c r="M594" s="128">
        <v>1250.1718018719507</v>
      </c>
      <c r="N594" s="44"/>
      <c r="O594" s="128"/>
      <c r="P594" s="128"/>
      <c r="Q594" s="128"/>
      <c r="V594" s="44" t="s">
        <v>112</v>
      </c>
      <c r="W594" s="128">
        <v>930.1143135849144</v>
      </c>
      <c r="X594" s="128">
        <v>10.0</v>
      </c>
      <c r="Y594" s="128">
        <v>924.9177766896858</v>
      </c>
      <c r="Z594" s="44" t="s">
        <v>27</v>
      </c>
      <c r="AA594" s="128">
        <v>1109.2540486056062</v>
      </c>
      <c r="AB594" s="128">
        <v>20.0</v>
      </c>
      <c r="AC594" s="128">
        <v>1106.584038126961</v>
      </c>
      <c r="AD594" s="44" t="s">
        <v>23</v>
      </c>
      <c r="AE594" s="128">
        <v>1150.465848790883</v>
      </c>
      <c r="AF594" s="128">
        <v>22.0</v>
      </c>
      <c r="AG594" s="128">
        <v>1148.3323961647566</v>
      </c>
      <c r="AH594" s="44"/>
      <c r="AI594" s="128"/>
      <c r="AJ594" s="128"/>
      <c r="AK594" s="128"/>
      <c r="AP594" s="128">
        <v>15.0</v>
      </c>
      <c r="AQ594" s="128">
        <v>13.0</v>
      </c>
      <c r="AT594" s="44">
        <v>593.0</v>
      </c>
      <c r="AU594" s="44"/>
      <c r="AW594" s="93"/>
      <c r="AY594" s="93"/>
      <c r="AZ594" s="93"/>
      <c r="BA594" s="93"/>
      <c r="BB594" s="155"/>
      <c r="BC594" s="93"/>
      <c r="BE594" s="93"/>
      <c r="BG594" s="93"/>
      <c r="BH594" s="93"/>
      <c r="BI594" s="93"/>
      <c r="BJ594" s="155"/>
      <c r="BK594" s="93"/>
    </row>
    <row r="595">
      <c r="A595" s="166">
        <v>44414.981678125</v>
      </c>
      <c r="B595" s="44" t="s">
        <v>35</v>
      </c>
      <c r="C595" s="128">
        <v>1000.0</v>
      </c>
      <c r="D595" s="128">
        <v>36.0</v>
      </c>
      <c r="E595" s="128">
        <v>1004.3658989439839</v>
      </c>
      <c r="F595" s="44" t="s">
        <v>107</v>
      </c>
      <c r="G595" s="128">
        <v>1004.3976951347711</v>
      </c>
      <c r="H595" s="128">
        <v>13.0</v>
      </c>
      <c r="I595" s="128">
        <v>1004.4076951347711</v>
      </c>
      <c r="J595" s="44" t="s">
        <v>31</v>
      </c>
      <c r="K595" s="128">
        <v>1250.1718018719507</v>
      </c>
      <c r="L595" s="128">
        <v>37.0</v>
      </c>
      <c r="M595" s="128">
        <v>1254.5606300777645</v>
      </c>
      <c r="N595" s="44"/>
      <c r="O595" s="128"/>
      <c r="P595" s="128"/>
      <c r="Q595" s="128"/>
      <c r="V595" s="44" t="s">
        <v>112</v>
      </c>
      <c r="W595" s="128">
        <v>924.9177766896858</v>
      </c>
      <c r="X595" s="128">
        <v>26.0</v>
      </c>
      <c r="Y595" s="128">
        <v>921.6984008349914</v>
      </c>
      <c r="Z595" s="44" t="s">
        <v>27</v>
      </c>
      <c r="AA595" s="128">
        <v>1106.584038126961</v>
      </c>
      <c r="AB595" s="128">
        <v>37.0</v>
      </c>
      <c r="AC595" s="128">
        <v>1105.429038130035</v>
      </c>
      <c r="AD595" s="44" t="s">
        <v>23</v>
      </c>
      <c r="AE595" s="128">
        <v>1148.3323961647566</v>
      </c>
      <c r="AF595" s="128">
        <v>26.0</v>
      </c>
      <c r="AG595" s="128">
        <v>1144.706772016377</v>
      </c>
      <c r="AH595" s="44"/>
      <c r="AI595" s="128"/>
      <c r="AJ595" s="128"/>
      <c r="AK595" s="128"/>
      <c r="AP595" s="128">
        <v>21.0</v>
      </c>
      <c r="AQ595" s="128">
        <v>20.0</v>
      </c>
      <c r="AT595" s="44">
        <v>594.0</v>
      </c>
      <c r="AU595" s="44"/>
      <c r="AW595" s="93"/>
      <c r="AY595" s="93"/>
      <c r="AZ595" s="93"/>
      <c r="BA595" s="93"/>
      <c r="BB595" s="155"/>
      <c r="BC595" s="93"/>
      <c r="BE595" s="93"/>
      <c r="BG595" s="93"/>
      <c r="BH595" s="93"/>
      <c r="BI595" s="93"/>
      <c r="BJ595" s="155"/>
      <c r="BK595" s="93"/>
    </row>
    <row r="596">
      <c r="A596" s="166">
        <v>44415.05456167824</v>
      </c>
      <c r="B596" s="44" t="s">
        <v>98</v>
      </c>
      <c r="C596" s="128">
        <v>919.6853504507749</v>
      </c>
      <c r="D596" s="128">
        <v>15.0</v>
      </c>
      <c r="E596" s="128">
        <v>925.678038611061</v>
      </c>
      <c r="F596" s="44" t="s">
        <v>35</v>
      </c>
      <c r="G596" s="128">
        <v>1004.3658989439839</v>
      </c>
      <c r="H596" s="128">
        <v>19.0</v>
      </c>
      <c r="I596" s="128">
        <v>1012.6536382920402</v>
      </c>
      <c r="J596" s="44" t="s">
        <v>23</v>
      </c>
      <c r="K596" s="128">
        <v>1144.706772016377</v>
      </c>
      <c r="L596" s="128">
        <v>23.0</v>
      </c>
      <c r="M596" s="128">
        <v>1155.4263445080346</v>
      </c>
      <c r="N596" s="44"/>
      <c r="O596" s="128"/>
      <c r="P596" s="128"/>
      <c r="Q596" s="128"/>
      <c r="V596" s="44" t="s">
        <v>112</v>
      </c>
      <c r="W596" s="128">
        <v>921.6984008349914</v>
      </c>
      <c r="X596" s="128">
        <v>27.0</v>
      </c>
      <c r="Y596" s="128">
        <v>921.2131701193719</v>
      </c>
      <c r="Z596" s="44" t="s">
        <v>27</v>
      </c>
      <c r="AA596" s="128">
        <v>1105.429038130035</v>
      </c>
      <c r="AB596" s="128">
        <v>15.0</v>
      </c>
      <c r="AC596" s="128">
        <v>1095.9600956090749</v>
      </c>
      <c r="AD596" s="44" t="s">
        <v>47</v>
      </c>
      <c r="AE596" s="128">
        <v>1121.7281341378296</v>
      </c>
      <c r="AF596" s="128">
        <v>7.0</v>
      </c>
      <c r="AG596" s="128">
        <v>1106.6823073744092</v>
      </c>
      <c r="AH596" s="44"/>
      <c r="AI596" s="128"/>
      <c r="AJ596" s="128"/>
      <c r="AK596" s="128"/>
      <c r="AP596" s="128">
        <v>16.0</v>
      </c>
      <c r="AQ596" s="128">
        <v>12.0</v>
      </c>
      <c r="AT596" s="44">
        <v>595.0</v>
      </c>
      <c r="AU596" s="44"/>
      <c r="AW596" s="93"/>
      <c r="AY596" s="93"/>
      <c r="AZ596" s="93"/>
      <c r="BA596" s="93"/>
      <c r="BB596" s="155"/>
      <c r="BC596" s="93"/>
      <c r="BE596" s="93"/>
      <c r="BG596" s="93"/>
      <c r="BH596" s="93"/>
      <c r="BI596" s="93"/>
      <c r="BJ596" s="155"/>
      <c r="BK596" s="93"/>
    </row>
    <row r="597">
      <c r="A597" s="166">
        <v>44421.993730532406</v>
      </c>
      <c r="B597" s="44" t="s">
        <v>112</v>
      </c>
      <c r="C597" s="128">
        <v>921.2131701193719</v>
      </c>
      <c r="D597" s="128">
        <v>20.0</v>
      </c>
      <c r="E597" s="128">
        <v>918.8222461270186</v>
      </c>
      <c r="F597" s="44" t="s">
        <v>107</v>
      </c>
      <c r="G597" s="128">
        <v>1004.4076951347711</v>
      </c>
      <c r="H597" s="128">
        <v>13.0</v>
      </c>
      <c r="I597" s="128">
        <v>999.7986191271243</v>
      </c>
      <c r="J597" s="44"/>
      <c r="K597" s="128"/>
      <c r="L597" s="128"/>
      <c r="M597" s="128"/>
      <c r="N597" s="44"/>
      <c r="O597" s="128"/>
      <c r="P597" s="128"/>
      <c r="Q597" s="128"/>
      <c r="V597" s="44" t="s">
        <v>98</v>
      </c>
      <c r="W597" s="128">
        <v>925.678038611061</v>
      </c>
      <c r="X597" s="128">
        <v>13.0</v>
      </c>
      <c r="Y597" s="128">
        <v>927.8639426330099</v>
      </c>
      <c r="Z597" s="44" t="s">
        <v>27</v>
      </c>
      <c r="AA597" s="128">
        <v>1095.9600956090749</v>
      </c>
      <c r="AB597" s="128">
        <v>23.0</v>
      </c>
      <c r="AC597" s="128">
        <v>1100.774191587126</v>
      </c>
      <c r="AD597" s="44"/>
      <c r="AE597" s="128"/>
      <c r="AF597" s="128"/>
      <c r="AG597" s="128"/>
      <c r="AH597" s="44"/>
      <c r="AI597" s="128"/>
      <c r="AJ597" s="128"/>
      <c r="AK597" s="128"/>
      <c r="AP597" s="128">
        <v>13.0</v>
      </c>
      <c r="AQ597" s="128">
        <v>15.0</v>
      </c>
      <c r="AT597" s="44">
        <v>596.0</v>
      </c>
      <c r="AU597" s="44"/>
      <c r="AW597" s="93"/>
      <c r="AY597" s="93"/>
      <c r="AZ597" s="93"/>
      <c r="BA597" s="93"/>
      <c r="BB597" s="155"/>
      <c r="BC597" s="93"/>
      <c r="BE597" s="93"/>
      <c r="BG597" s="93"/>
      <c r="BH597" s="93"/>
      <c r="BI597" s="93"/>
      <c r="BJ597" s="155"/>
      <c r="BK597" s="93"/>
    </row>
    <row r="598">
      <c r="A598" s="166">
        <v>44425.99910260417</v>
      </c>
      <c r="B598" s="44" t="s">
        <v>112</v>
      </c>
      <c r="C598" s="128">
        <v>918.8222461270186</v>
      </c>
      <c r="D598" s="128">
        <v>18.0</v>
      </c>
      <c r="E598" s="128">
        <v>911.7247666425382</v>
      </c>
      <c r="F598" s="44" t="s">
        <v>110</v>
      </c>
      <c r="G598" s="128">
        <v>998.9069208836673</v>
      </c>
      <c r="H598" s="128">
        <v>11.0</v>
      </c>
      <c r="I598" s="128">
        <v>986.9359626711973</v>
      </c>
      <c r="J598" s="44" t="s">
        <v>27</v>
      </c>
      <c r="K598" s="128">
        <v>1100.774191587126</v>
      </c>
      <c r="L598" s="128">
        <v>24.0</v>
      </c>
      <c r="M598" s="128">
        <v>1096.8426292840766</v>
      </c>
      <c r="N598" s="44"/>
      <c r="O598" s="128"/>
      <c r="P598" s="128"/>
      <c r="Q598" s="128"/>
      <c r="V598" s="44" t="s">
        <v>98</v>
      </c>
      <c r="W598" s="128">
        <v>927.8639426330099</v>
      </c>
      <c r="X598" s="128">
        <v>17.0</v>
      </c>
      <c r="Y598" s="128">
        <v>933.1007047165815</v>
      </c>
      <c r="Z598" s="44" t="s">
        <v>107</v>
      </c>
      <c r="AA598" s="128">
        <v>999.7986191271243</v>
      </c>
      <c r="AB598" s="128">
        <v>24.0</v>
      </c>
      <c r="AC598" s="128">
        <v>1009.0841915134977</v>
      </c>
      <c r="AD598" s="44" t="s">
        <v>245</v>
      </c>
      <c r="AE598" s="128">
        <v>1042.3524607223403</v>
      </c>
      <c r="AF598" s="128">
        <v>23.0</v>
      </c>
      <c r="AG598" s="128">
        <v>1050.8301262523953</v>
      </c>
      <c r="AH598" s="44"/>
      <c r="AI598" s="128"/>
      <c r="AJ598" s="128"/>
      <c r="AK598" s="128"/>
      <c r="AP598" s="128">
        <v>12.0</v>
      </c>
      <c r="AQ598" s="128">
        <v>16.0</v>
      </c>
      <c r="AT598" s="44">
        <v>597.0</v>
      </c>
      <c r="AU598" s="44"/>
      <c r="AW598" s="93"/>
      <c r="AY598" s="93"/>
      <c r="AZ598" s="93"/>
      <c r="BA598" s="93"/>
      <c r="BB598" s="155"/>
      <c r="BC598" s="93"/>
      <c r="BE598" s="93"/>
      <c r="BG598" s="93"/>
      <c r="BH598" s="93"/>
      <c r="BI598" s="93"/>
      <c r="BJ598" s="155"/>
      <c r="BK598" s="93"/>
    </row>
    <row r="599">
      <c r="A599" s="166">
        <v>44426.03300884259</v>
      </c>
      <c r="B599" s="44" t="s">
        <v>112</v>
      </c>
      <c r="C599" s="128">
        <v>911.7247666425382</v>
      </c>
      <c r="D599" s="128">
        <v>20.0</v>
      </c>
      <c r="E599" s="128">
        <v>908.3920701417516</v>
      </c>
      <c r="F599" s="44" t="s">
        <v>107</v>
      </c>
      <c r="G599" s="128">
        <v>1009.0841915134977</v>
      </c>
      <c r="H599" s="128">
        <v>19.0</v>
      </c>
      <c r="I599" s="128">
        <v>1005.2274916481798</v>
      </c>
      <c r="J599" s="44" t="s">
        <v>245</v>
      </c>
      <c r="K599" s="128">
        <v>1050.8301262523953</v>
      </c>
      <c r="L599" s="128">
        <v>23.0</v>
      </c>
      <c r="M599" s="128">
        <v>1048.0195226184999</v>
      </c>
      <c r="N599" s="44"/>
      <c r="O599" s="128"/>
      <c r="P599" s="128"/>
      <c r="Q599" s="128"/>
      <c r="V599" s="44" t="s">
        <v>98</v>
      </c>
      <c r="W599" s="128">
        <v>933.1007047165815</v>
      </c>
      <c r="X599" s="128">
        <v>20.0</v>
      </c>
      <c r="Y599" s="128">
        <v>936.8177003665082</v>
      </c>
      <c r="Z599" s="44" t="s">
        <v>34</v>
      </c>
      <c r="AA599" s="128">
        <v>951.7150427314679</v>
      </c>
      <c r="AB599" s="128">
        <v>13.0</v>
      </c>
      <c r="AC599" s="128">
        <v>953.4397857520244</v>
      </c>
      <c r="AD599" s="44" t="s">
        <v>27</v>
      </c>
      <c r="AE599" s="128">
        <v>1096.8426292840766</v>
      </c>
      <c r="AF599" s="128">
        <v>24.0</v>
      </c>
      <c r="AG599" s="128">
        <v>1101.4008906135934</v>
      </c>
      <c r="AH599" s="44"/>
      <c r="AI599" s="128"/>
      <c r="AJ599" s="128"/>
      <c r="AK599" s="128"/>
      <c r="AP599" s="128">
        <v>13.0</v>
      </c>
      <c r="AQ599" s="128">
        <v>15.0</v>
      </c>
      <c r="AT599" s="44">
        <v>598.0</v>
      </c>
      <c r="AU599" s="44"/>
      <c r="AW599" s="93"/>
      <c r="AY599" s="93"/>
      <c r="AZ599" s="93"/>
      <c r="BA599" s="93"/>
      <c r="BB599" s="155"/>
      <c r="BC599" s="93"/>
      <c r="BE599" s="93"/>
      <c r="BG599" s="93"/>
      <c r="BH599" s="93"/>
      <c r="BI599" s="93"/>
      <c r="BJ599" s="155"/>
      <c r="BK599" s="93"/>
    </row>
    <row r="600">
      <c r="A600" s="166">
        <v>44428.88762605324</v>
      </c>
      <c r="B600" s="44" t="s">
        <v>98</v>
      </c>
      <c r="C600" s="128">
        <v>936.8177003665082</v>
      </c>
      <c r="D600" s="128">
        <v>19.0</v>
      </c>
      <c r="E600" s="128">
        <v>941.457175010201</v>
      </c>
      <c r="F600" s="44" t="s">
        <v>107</v>
      </c>
      <c r="G600" s="128">
        <v>1005.2274916481798</v>
      </c>
      <c r="H600" s="128">
        <v>17.0</v>
      </c>
      <c r="I600" s="128">
        <v>1008.6351330319699</v>
      </c>
      <c r="J600" s="44" t="s">
        <v>245</v>
      </c>
      <c r="K600" s="128">
        <v>1048.0195226184999</v>
      </c>
      <c r="L600" s="128">
        <v>29.0</v>
      </c>
      <c r="M600" s="128">
        <v>1056.972406591017</v>
      </c>
      <c r="N600" s="44"/>
      <c r="O600" s="128"/>
      <c r="P600" s="128"/>
      <c r="Q600" s="128"/>
      <c r="V600" s="44" t="s">
        <v>123</v>
      </c>
      <c r="W600" s="128">
        <v>874.3228554538609</v>
      </c>
      <c r="X600" s="128">
        <v>15.0</v>
      </c>
      <c r="Y600" s="128">
        <v>867.6154243289332</v>
      </c>
      <c r="Z600" s="44" t="s">
        <v>34</v>
      </c>
      <c r="AA600" s="128">
        <v>953.4397857520244</v>
      </c>
      <c r="AB600" s="128">
        <v>19.0</v>
      </c>
      <c r="AC600" s="128">
        <v>948.2401791458934</v>
      </c>
      <c r="AD600" s="44" t="s">
        <v>47</v>
      </c>
      <c r="AE600" s="128">
        <v>1106.6823073744092</v>
      </c>
      <c r="AF600" s="128">
        <v>20.0</v>
      </c>
      <c r="AG600" s="128">
        <v>1101.589345105468</v>
      </c>
      <c r="AH600" s="44"/>
      <c r="AI600" s="128"/>
      <c r="AJ600" s="128"/>
      <c r="AK600" s="128"/>
      <c r="AP600" s="128">
        <v>17.0</v>
      </c>
      <c r="AQ600" s="128">
        <v>11.0</v>
      </c>
      <c r="AT600" s="44">
        <v>599.0</v>
      </c>
      <c r="AU600" s="44"/>
      <c r="AW600" s="93"/>
      <c r="AY600" s="93"/>
      <c r="AZ600" s="93"/>
      <c r="BA600" s="93"/>
      <c r="BB600" s="155"/>
      <c r="BC600" s="93"/>
      <c r="BE600" s="93"/>
      <c r="BG600" s="93"/>
      <c r="BH600" s="93"/>
      <c r="BI600" s="93"/>
      <c r="BJ600" s="155"/>
      <c r="BK600" s="93"/>
    </row>
    <row r="601">
      <c r="A601" s="166">
        <v>44431.98279349537</v>
      </c>
      <c r="B601" s="44" t="s">
        <v>123</v>
      </c>
      <c r="C601" s="128">
        <v>867.6154243289332</v>
      </c>
      <c r="D601" s="128">
        <v>7.0</v>
      </c>
      <c r="E601" s="128">
        <v>849.0895898982444</v>
      </c>
      <c r="F601" s="44" t="s">
        <v>107</v>
      </c>
      <c r="G601" s="128">
        <v>1008.6351330319699</v>
      </c>
      <c r="H601" s="128">
        <v>6.0</v>
      </c>
      <c r="I601" s="128">
        <v>988.1064038404168</v>
      </c>
      <c r="J601" s="44" t="s">
        <v>31</v>
      </c>
      <c r="K601" s="128">
        <v>1254.5606300777645</v>
      </c>
      <c r="L601" s="128">
        <v>30.0</v>
      </c>
      <c r="M601" s="128">
        <v>1254.5506300777645</v>
      </c>
      <c r="N601" s="44"/>
      <c r="O601" s="128"/>
      <c r="P601" s="128"/>
      <c r="Q601" s="128"/>
      <c r="V601" s="44" t="s">
        <v>112</v>
      </c>
      <c r="W601" s="128">
        <v>908.3920701417516</v>
      </c>
      <c r="X601" s="128">
        <v>23.0</v>
      </c>
      <c r="Y601" s="128">
        <v>922.0513934347117</v>
      </c>
      <c r="Z601" s="44" t="s">
        <v>47</v>
      </c>
      <c r="AA601" s="128">
        <v>1101.589345105468</v>
      </c>
      <c r="AB601" s="128">
        <v>23.0</v>
      </c>
      <c r="AC601" s="128">
        <v>1113.8180546154574</v>
      </c>
      <c r="AD601" s="44" t="s">
        <v>23</v>
      </c>
      <c r="AE601" s="128">
        <v>1155.4263445080346</v>
      </c>
      <c r="AF601" s="128">
        <v>21.0</v>
      </c>
      <c r="AG601" s="128">
        <v>1165.538311705085</v>
      </c>
      <c r="AH601" s="44"/>
      <c r="AI601" s="128"/>
      <c r="AJ601" s="128"/>
      <c r="AK601" s="128"/>
      <c r="AP601" s="128">
        <v>9.0</v>
      </c>
      <c r="AQ601" s="128">
        <v>19.0</v>
      </c>
      <c r="AT601" s="44">
        <v>600.0</v>
      </c>
      <c r="AU601" s="44"/>
      <c r="AW601" s="93"/>
      <c r="AY601" s="93"/>
      <c r="AZ601" s="93"/>
      <c r="BA601" s="93"/>
      <c r="BB601" s="155"/>
      <c r="BC601" s="93"/>
      <c r="BE601" s="93"/>
      <c r="BG601" s="93"/>
      <c r="BH601" s="93"/>
      <c r="BI601" s="93"/>
      <c r="BJ601" s="155"/>
      <c r="BK601" s="93"/>
    </row>
    <row r="602">
      <c r="A602" s="166">
        <v>44432.01156958334</v>
      </c>
      <c r="B602" s="44" t="s">
        <v>123</v>
      </c>
      <c r="C602" s="128">
        <v>849.0895898982444</v>
      </c>
      <c r="D602" s="128">
        <v>18.0</v>
      </c>
      <c r="E602" s="128">
        <v>855.2894554004971</v>
      </c>
      <c r="F602" s="44" t="s">
        <v>47</v>
      </c>
      <c r="G602" s="128">
        <v>1113.8180546154574</v>
      </c>
      <c r="H602" s="128">
        <v>19.0</v>
      </c>
      <c r="I602" s="128">
        <v>1119.3028199668765</v>
      </c>
      <c r="J602" s="44" t="s">
        <v>23</v>
      </c>
      <c r="K602" s="128">
        <v>1165.538311705085</v>
      </c>
      <c r="L602" s="128">
        <v>27.0</v>
      </c>
      <c r="M602" s="128">
        <v>1175.8536808514134</v>
      </c>
      <c r="N602" s="44"/>
      <c r="O602" s="128"/>
      <c r="P602" s="128"/>
      <c r="Q602" s="128"/>
      <c r="V602" s="44" t="s">
        <v>112</v>
      </c>
      <c r="W602" s="128">
        <v>922.0513934347117</v>
      </c>
      <c r="X602" s="128">
        <v>20.0</v>
      </c>
      <c r="Y602" s="128">
        <v>916.4784244657137</v>
      </c>
      <c r="Z602" s="44" t="s">
        <v>107</v>
      </c>
      <c r="AA602" s="128">
        <v>988.1064038404168</v>
      </c>
      <c r="AB602" s="128">
        <v>13.0</v>
      </c>
      <c r="AC602" s="128">
        <v>977.9462616356651</v>
      </c>
      <c r="AD602" s="44" t="s">
        <v>31</v>
      </c>
      <c r="AE602" s="128">
        <v>1254.5506300777645</v>
      </c>
      <c r="AF602" s="128">
        <v>20.0</v>
      </c>
      <c r="AG602" s="128">
        <v>1248.2837412515141</v>
      </c>
      <c r="AH602" s="44"/>
      <c r="AI602" s="128"/>
      <c r="AJ602" s="128"/>
      <c r="AK602" s="128"/>
      <c r="AP602" s="128">
        <v>18.0</v>
      </c>
      <c r="AQ602" s="128">
        <v>10.0</v>
      </c>
      <c r="AT602" s="44">
        <v>601.0</v>
      </c>
      <c r="AU602" s="44"/>
      <c r="AW602" s="93"/>
      <c r="AY602" s="93"/>
      <c r="AZ602" s="93"/>
      <c r="BA602" s="93"/>
      <c r="BB602" s="155"/>
      <c r="BC602" s="93"/>
      <c r="BE602" s="93"/>
      <c r="BG602" s="93"/>
      <c r="BH602" s="93"/>
      <c r="BI602" s="93"/>
      <c r="BJ602" s="155"/>
      <c r="BK602" s="93"/>
    </row>
    <row r="603">
      <c r="A603" s="166">
        <v>44438.927554814814</v>
      </c>
      <c r="B603" s="44" t="s">
        <v>123</v>
      </c>
      <c r="C603" s="128">
        <v>855.2894554004971</v>
      </c>
      <c r="D603" s="128">
        <v>10.0</v>
      </c>
      <c r="E603" s="128">
        <v>850.0163207746801</v>
      </c>
      <c r="F603" s="44" t="s">
        <v>92</v>
      </c>
      <c r="G603" s="128">
        <v>939.1225973748853</v>
      </c>
      <c r="H603" s="128">
        <v>11.0</v>
      </c>
      <c r="I603" s="128">
        <v>933.9111076336999</v>
      </c>
      <c r="J603" s="44" t="s">
        <v>227</v>
      </c>
      <c r="K603" s="128">
        <v>969.493093211151</v>
      </c>
      <c r="L603" s="128">
        <v>13.0</v>
      </c>
      <c r="M603" s="128">
        <v>964.8381318511845</v>
      </c>
      <c r="N603" s="44" t="s">
        <v>23</v>
      </c>
      <c r="O603" s="128">
        <v>1175.8536808514134</v>
      </c>
      <c r="P603" s="128">
        <v>29.0</v>
      </c>
      <c r="Q603" s="128">
        <v>1175.8436808514134</v>
      </c>
      <c r="V603" s="44" t="s">
        <v>112</v>
      </c>
      <c r="W603" s="128">
        <v>916.4784244657137</v>
      </c>
      <c r="X603" s="128">
        <v>24.0</v>
      </c>
      <c r="Y603" s="128">
        <v>921.1613125858618</v>
      </c>
      <c r="Z603" s="44" t="s">
        <v>110</v>
      </c>
      <c r="AA603" s="128">
        <v>986.9359626711973</v>
      </c>
      <c r="AB603" s="128">
        <v>18.0</v>
      </c>
      <c r="AC603" s="128">
        <v>989.5249663284983</v>
      </c>
      <c r="AD603" s="44" t="s">
        <v>35</v>
      </c>
      <c r="AE603" s="128">
        <v>1012.6536382920402</v>
      </c>
      <c r="AF603" s="128">
        <v>23.0</v>
      </c>
      <c r="AG603" s="128">
        <v>1016.7461539109444</v>
      </c>
      <c r="AH603" s="44" t="s">
        <v>47</v>
      </c>
      <c r="AI603" s="128">
        <v>1119.3028199668765</v>
      </c>
      <c r="AJ603" s="128">
        <v>22.0</v>
      </c>
      <c r="AK603" s="128">
        <v>1122.9384125705235</v>
      </c>
      <c r="AP603" s="128">
        <v>12.0</v>
      </c>
      <c r="AQ603" s="128">
        <v>16.0</v>
      </c>
      <c r="AT603" s="44">
        <v>602.0</v>
      </c>
      <c r="AU603" s="44"/>
      <c r="AW603" s="93"/>
      <c r="AY603" s="93"/>
      <c r="AZ603" s="93"/>
      <c r="BA603" s="93"/>
      <c r="BB603" s="155"/>
      <c r="BC603" s="93"/>
      <c r="BE603" s="93"/>
      <c r="BG603" s="93"/>
      <c r="BH603" s="93"/>
      <c r="BI603" s="93"/>
      <c r="BJ603" s="155"/>
      <c r="BK603" s="93"/>
    </row>
    <row r="604">
      <c r="A604" s="166">
        <v>44438.982180949075</v>
      </c>
      <c r="B604" s="44" t="s">
        <v>123</v>
      </c>
      <c r="C604" s="128">
        <v>850.0163207746801</v>
      </c>
      <c r="D604" s="128">
        <v>9.0</v>
      </c>
      <c r="E604" s="128">
        <v>845.7258376069609</v>
      </c>
      <c r="F604" s="44" t="s">
        <v>92</v>
      </c>
      <c r="G604" s="128">
        <v>933.9111076336999</v>
      </c>
      <c r="H604" s="128">
        <v>15.0</v>
      </c>
      <c r="I604" s="128">
        <v>930.8046803018448</v>
      </c>
      <c r="J604" s="44" t="s">
        <v>110</v>
      </c>
      <c r="K604" s="128">
        <v>989.5249663284983</v>
      </c>
      <c r="L604" s="128">
        <v>12.0</v>
      </c>
      <c r="M604" s="128">
        <v>985.6185854563307</v>
      </c>
      <c r="N604" s="44" t="s">
        <v>47</v>
      </c>
      <c r="O604" s="128">
        <v>1122.9384125705235</v>
      </c>
      <c r="P604" s="128">
        <v>18.0</v>
      </c>
      <c r="Q604" s="128">
        <v>1120.3139063832123</v>
      </c>
      <c r="R604" s="44" t="s">
        <v>23</v>
      </c>
      <c r="S604" s="128">
        <v>1175.8436808514134</v>
      </c>
      <c r="T604" s="128">
        <v>29.0</v>
      </c>
      <c r="U604" s="128">
        <v>1175.7714784104667</v>
      </c>
      <c r="V604" s="44" t="s">
        <v>112</v>
      </c>
      <c r="W604" s="128">
        <v>921.1613125858618</v>
      </c>
      <c r="X604" s="128">
        <v>18.0</v>
      </c>
      <c r="Y604" s="128">
        <v>923.1707303200924</v>
      </c>
      <c r="Z604" s="44" t="s">
        <v>72</v>
      </c>
      <c r="AA604" s="128">
        <v>1000.0</v>
      </c>
      <c r="AB604" s="128">
        <v>25.0</v>
      </c>
      <c r="AC604" s="128">
        <v>1003.4541467856258</v>
      </c>
      <c r="AD604" s="44" t="s">
        <v>510</v>
      </c>
      <c r="AE604" s="128">
        <v>1000.0</v>
      </c>
      <c r="AF604" s="128">
        <v>17.0</v>
      </c>
      <c r="AG604" s="128">
        <v>1001.5874801189591</v>
      </c>
      <c r="AH604" s="44" t="s">
        <v>35</v>
      </c>
      <c r="AI604" s="128">
        <v>1016.7461539109444</v>
      </c>
      <c r="AJ604" s="128">
        <v>28.0</v>
      </c>
      <c r="AK604" s="128">
        <v>1020.8715157268779</v>
      </c>
      <c r="AL604" s="44" t="s">
        <v>31</v>
      </c>
      <c r="AM604" s="128">
        <v>1248.2837412515141</v>
      </c>
      <c r="AN604" s="128">
        <v>23.0</v>
      </c>
      <c r="AO604" s="128">
        <v>1251.1073347967651</v>
      </c>
      <c r="AP604" s="128">
        <v>10.0</v>
      </c>
      <c r="AQ604" s="128">
        <v>18.0</v>
      </c>
      <c r="AT604" s="44">
        <v>603.0</v>
      </c>
      <c r="AU604" s="44"/>
      <c r="AW604" s="93"/>
      <c r="AY604" s="93"/>
      <c r="AZ604" s="93"/>
      <c r="BA604" s="93"/>
      <c r="BB604" s="155"/>
      <c r="BC604" s="93"/>
      <c r="BE604" s="93"/>
      <c r="BG604" s="93"/>
      <c r="BH604" s="93"/>
      <c r="BI604" s="93"/>
      <c r="BJ604" s="155"/>
      <c r="BK604" s="93"/>
    </row>
    <row r="605">
      <c r="A605" s="166">
        <v>44439.022834386575</v>
      </c>
      <c r="B605" s="44" t="s">
        <v>123</v>
      </c>
      <c r="C605" s="128">
        <v>845.7258376069609</v>
      </c>
      <c r="D605" s="128">
        <v>11.0</v>
      </c>
      <c r="E605" s="128">
        <v>841.870195782542</v>
      </c>
      <c r="F605" s="44" t="s">
        <v>110</v>
      </c>
      <c r="G605" s="128">
        <v>985.6185854563307</v>
      </c>
      <c r="H605" s="128">
        <v>24.0</v>
      </c>
      <c r="I605" s="128">
        <v>984.1450721927433</v>
      </c>
      <c r="J605" s="44" t="s">
        <v>47</v>
      </c>
      <c r="K605" s="128">
        <v>1120.3139063832123</v>
      </c>
      <c r="L605" s="128">
        <v>15.0</v>
      </c>
      <c r="M605" s="128">
        <v>1116.8405539771572</v>
      </c>
      <c r="N605" s="44" t="s">
        <v>23</v>
      </c>
      <c r="O605" s="128">
        <v>1175.7714784104667</v>
      </c>
      <c r="P605" s="128">
        <v>26.0</v>
      </c>
      <c r="Q605" s="128">
        <v>1174.573985904528</v>
      </c>
      <c r="V605" s="44" t="s">
        <v>112</v>
      </c>
      <c r="W605" s="128">
        <v>923.1707303200924</v>
      </c>
      <c r="X605" s="128">
        <v>15.0</v>
      </c>
      <c r="Y605" s="128">
        <v>924.6459828889409</v>
      </c>
      <c r="Z605" s="44" t="s">
        <v>92</v>
      </c>
      <c r="AA605" s="128">
        <v>930.8046803018448</v>
      </c>
      <c r="AB605" s="128">
        <v>13.0</v>
      </c>
      <c r="AC605" s="128">
        <v>931.8451488050098</v>
      </c>
      <c r="AD605" s="44" t="s">
        <v>35</v>
      </c>
      <c r="AE605" s="128">
        <v>1020.8715157268779</v>
      </c>
      <c r="AF605" s="128">
        <v>24.0</v>
      </c>
      <c r="AG605" s="128">
        <v>1024.042144235088</v>
      </c>
      <c r="AH605" s="44" t="s">
        <v>31</v>
      </c>
      <c r="AI605" s="128">
        <v>1251.1073347967651</v>
      </c>
      <c r="AJ605" s="128">
        <v>30.0</v>
      </c>
      <c r="AK605" s="128">
        <v>1255.4209852165413</v>
      </c>
      <c r="AP605" s="128">
        <v>13.0</v>
      </c>
      <c r="AQ605" s="128">
        <v>15.0</v>
      </c>
      <c r="AT605" s="44">
        <v>604.0</v>
      </c>
      <c r="AU605" s="44"/>
      <c r="AW605" s="93"/>
      <c r="AY605" s="93"/>
      <c r="AZ605" s="93"/>
      <c r="BA605" s="93"/>
      <c r="BB605" s="155"/>
      <c r="BC605" s="93"/>
      <c r="BE605" s="93"/>
      <c r="BG605" s="93"/>
      <c r="BH605" s="93"/>
      <c r="BI605" s="93"/>
      <c r="BJ605" s="155"/>
      <c r="BK605" s="93"/>
    </row>
    <row r="606">
      <c r="A606" s="166">
        <v>44439.95308357639</v>
      </c>
      <c r="B606" s="44" t="s">
        <v>112</v>
      </c>
      <c r="C606" s="128">
        <v>924.6459828889409</v>
      </c>
      <c r="D606" s="128">
        <v>26.0</v>
      </c>
      <c r="E606" s="128">
        <v>922.9500241187392</v>
      </c>
      <c r="F606" s="44" t="s">
        <v>92</v>
      </c>
      <c r="G606" s="128">
        <v>931.8451488050098</v>
      </c>
      <c r="H606" s="128">
        <v>9.0</v>
      </c>
      <c r="I606" s="128">
        <v>923.3895119085248</v>
      </c>
      <c r="J606" s="44" t="s">
        <v>50</v>
      </c>
      <c r="K606" s="128">
        <v>1000.0</v>
      </c>
      <c r="L606" s="128">
        <v>25.0</v>
      </c>
      <c r="M606" s="128">
        <v>997.6449328801122</v>
      </c>
      <c r="N606" s="44" t="s">
        <v>27</v>
      </c>
      <c r="O606" s="128">
        <v>1101.4008906135934</v>
      </c>
      <c r="P606" s="128">
        <v>15.0</v>
      </c>
      <c r="Q606" s="128">
        <v>1094.907553400168</v>
      </c>
      <c r="V606" s="44" t="s">
        <v>123</v>
      </c>
      <c r="W606" s="128">
        <v>841.870195782542</v>
      </c>
      <c r="X606" s="128">
        <v>9.0</v>
      </c>
      <c r="Y606" s="128">
        <v>842.6990575717201</v>
      </c>
      <c r="Z606" s="44" t="s">
        <v>110</v>
      </c>
      <c r="AA606" s="128">
        <v>984.1450721927433</v>
      </c>
      <c r="AB606" s="128">
        <v>13.0</v>
      </c>
      <c r="AC606" s="128">
        <v>985.8418719527363</v>
      </c>
      <c r="AD606" s="44" t="s">
        <v>35</v>
      </c>
      <c r="AE606" s="128">
        <v>1024.042144235088</v>
      </c>
      <c r="AF606" s="128">
        <v>33.0</v>
      </c>
      <c r="AG606" s="128">
        <v>1033.5409166077038</v>
      </c>
      <c r="AH606" s="44" t="s">
        <v>47</v>
      </c>
      <c r="AI606" s="128">
        <v>1116.8405539771572</v>
      </c>
      <c r="AJ606" s="128">
        <v>27.0</v>
      </c>
      <c r="AK606" s="128">
        <v>1123.8161200553704</v>
      </c>
      <c r="AP606" s="128">
        <v>12.0</v>
      </c>
      <c r="AQ606" s="128">
        <v>16.0</v>
      </c>
      <c r="AT606" s="44">
        <v>605.0</v>
      </c>
      <c r="AU606" s="44"/>
      <c r="AW606" s="93"/>
      <c r="AY606" s="93"/>
      <c r="AZ606" s="93"/>
      <c r="BA606" s="93"/>
      <c r="BB606" s="155"/>
      <c r="BC606" s="93"/>
      <c r="BE606" s="93"/>
      <c r="BG606" s="93"/>
      <c r="BH606" s="93"/>
      <c r="BI606" s="93"/>
      <c r="BJ606" s="155"/>
      <c r="BK606" s="93"/>
    </row>
    <row r="607">
      <c r="A607" s="166">
        <v>44439.98590118055</v>
      </c>
      <c r="B607" s="44" t="s">
        <v>123</v>
      </c>
      <c r="C607" s="128">
        <v>842.6990575717201</v>
      </c>
      <c r="D607" s="128">
        <v>14.0</v>
      </c>
      <c r="E607" s="128">
        <v>846.5187358580547</v>
      </c>
      <c r="F607" s="44" t="s">
        <v>35</v>
      </c>
      <c r="G607" s="128">
        <v>1033.5409166077038</v>
      </c>
      <c r="H607" s="128">
        <v>30.0</v>
      </c>
      <c r="I607" s="128">
        <v>1045.0577637135311</v>
      </c>
      <c r="J607" s="44" t="s">
        <v>47</v>
      </c>
      <c r="K607" s="128">
        <v>1123.8161200553704</v>
      </c>
      <c r="L607" s="128">
        <v>18.0</v>
      </c>
      <c r="M607" s="128">
        <v>1128.4795946632087</v>
      </c>
      <c r="N607" s="44"/>
      <c r="O607" s="128"/>
      <c r="P607" s="128"/>
      <c r="Q607" s="128"/>
      <c r="V607" s="44" t="s">
        <v>92</v>
      </c>
      <c r="W607" s="128">
        <v>923.3895119085248</v>
      </c>
      <c r="X607" s="128">
        <v>21.0</v>
      </c>
      <c r="Y607" s="128">
        <v>918.5078292837914</v>
      </c>
      <c r="Z607" s="44" t="s">
        <v>110</v>
      </c>
      <c r="AA607" s="128">
        <v>985.8418719527363</v>
      </c>
      <c r="AB607" s="128">
        <v>20.0</v>
      </c>
      <c r="AC607" s="128">
        <v>980.0946215849511</v>
      </c>
      <c r="AD607" s="44" t="s">
        <v>27</v>
      </c>
      <c r="AE607" s="128">
        <v>1094.907553400168</v>
      </c>
      <c r="AF607" s="128">
        <v>14.0</v>
      </c>
      <c r="AG607" s="128">
        <v>1085.5364863926864</v>
      </c>
      <c r="AH607" s="44"/>
      <c r="AI607" s="128"/>
      <c r="AJ607" s="128"/>
      <c r="AK607" s="128"/>
      <c r="AP607" s="128">
        <v>16.0</v>
      </c>
      <c r="AQ607" s="128">
        <v>12.0</v>
      </c>
      <c r="AT607" s="44">
        <v>606.0</v>
      </c>
      <c r="AU607" s="44"/>
      <c r="AW607" s="93"/>
      <c r="AY607" s="93"/>
      <c r="AZ607" s="93"/>
      <c r="BA607" s="93"/>
      <c r="BB607" s="155"/>
      <c r="BC607" s="93"/>
      <c r="BE607" s="93"/>
      <c r="BG607" s="93"/>
      <c r="BH607" s="93"/>
      <c r="BI607" s="93"/>
      <c r="BJ607" s="155"/>
      <c r="BK607" s="93"/>
    </row>
    <row r="608">
      <c r="A608" s="166">
        <v>44441.95686821759</v>
      </c>
      <c r="B608" s="44" t="s">
        <v>123</v>
      </c>
      <c r="C608" s="128">
        <v>846.5187358580547</v>
      </c>
      <c r="D608" s="128">
        <v>16.0</v>
      </c>
      <c r="E608" s="128">
        <v>850.2911669083043</v>
      </c>
      <c r="F608" s="44" t="s">
        <v>50</v>
      </c>
      <c r="G608" s="128">
        <v>997.6449328801122</v>
      </c>
      <c r="H608" s="128">
        <v>20.0</v>
      </c>
      <c r="I608" s="128">
        <v>1002.3269295606218</v>
      </c>
      <c r="J608" s="44" t="s">
        <v>35</v>
      </c>
      <c r="K608" s="128">
        <v>1045.0577637135311</v>
      </c>
      <c r="L608" s="128">
        <v>29.0</v>
      </c>
      <c r="M608" s="128">
        <v>1053.3656924276709</v>
      </c>
      <c r="N608" s="44" t="s">
        <v>27</v>
      </c>
      <c r="O608" s="128">
        <v>1085.5364863926864</v>
      </c>
      <c r="P608" s="128">
        <v>17.0</v>
      </c>
      <c r="Q608" s="128">
        <v>1088.7741299477873</v>
      </c>
      <c r="V608" s="44" t="s">
        <v>92</v>
      </c>
      <c r="W608" s="128">
        <v>918.5078292837914</v>
      </c>
      <c r="X608" s="128">
        <v>15.0</v>
      </c>
      <c r="Y608" s="128">
        <v>912.5631399475973</v>
      </c>
      <c r="Z608" s="44" t="s">
        <v>112</v>
      </c>
      <c r="AA608" s="128">
        <v>922.9500241187392</v>
      </c>
      <c r="AB608" s="128">
        <v>14.0</v>
      </c>
      <c r="AC608" s="128">
        <v>916.5693092956022</v>
      </c>
      <c r="AD608" s="44" t="s">
        <v>72</v>
      </c>
      <c r="AE608" s="128">
        <v>1003.4541467856258</v>
      </c>
      <c r="AF608" s="128">
        <v>19.0</v>
      </c>
      <c r="AG608" s="128">
        <v>998.8796742589077</v>
      </c>
      <c r="AH608" s="44" t="s">
        <v>47</v>
      </c>
      <c r="AI608" s="128">
        <v>1128.4795946632087</v>
      </c>
      <c r="AJ608" s="128">
        <v>23.0</v>
      </c>
      <c r="AK608" s="128">
        <v>1125.3794713492578</v>
      </c>
      <c r="AP608" s="128">
        <v>16.0</v>
      </c>
      <c r="AQ608" s="128">
        <v>12.0</v>
      </c>
      <c r="AT608" s="44">
        <v>607.0</v>
      </c>
      <c r="AU608" s="44"/>
      <c r="AW608" s="93"/>
      <c r="AY608" s="93"/>
      <c r="AZ608" s="93"/>
      <c r="BA608" s="93"/>
      <c r="BB608" s="155"/>
      <c r="BC608" s="93"/>
      <c r="BE608" s="93"/>
      <c r="BG608" s="93"/>
      <c r="BH608" s="93"/>
      <c r="BI608" s="93"/>
      <c r="BJ608" s="155"/>
      <c r="BK608" s="93"/>
    </row>
    <row r="609">
      <c r="A609" s="166">
        <v>44441.98411738426</v>
      </c>
      <c r="B609" s="44" t="s">
        <v>123</v>
      </c>
      <c r="C609" s="128">
        <v>850.2911669083043</v>
      </c>
      <c r="D609" s="128">
        <v>13.0</v>
      </c>
      <c r="E609" s="128">
        <v>853.0279665917794</v>
      </c>
      <c r="F609" s="44" t="s">
        <v>35</v>
      </c>
      <c r="G609" s="128">
        <v>1053.3656924276709</v>
      </c>
      <c r="H609" s="128">
        <v>26.0</v>
      </c>
      <c r="I609" s="128">
        <v>1061.5328656017407</v>
      </c>
      <c r="J609" s="44" t="s">
        <v>27</v>
      </c>
      <c r="K609" s="128">
        <v>1088.7741299477873</v>
      </c>
      <c r="L609" s="128">
        <v>24.0</v>
      </c>
      <c r="M609" s="128">
        <v>1095.8701570902424</v>
      </c>
      <c r="N609" s="44"/>
      <c r="O609" s="128"/>
      <c r="P609" s="128"/>
      <c r="Q609" s="128"/>
      <c r="V609" s="44" t="s">
        <v>92</v>
      </c>
      <c r="W609" s="128">
        <v>912.5631399475973</v>
      </c>
      <c r="X609" s="128">
        <v>12.0</v>
      </c>
      <c r="Y609" s="128">
        <v>904.1046113492761</v>
      </c>
      <c r="Z609" s="44" t="s">
        <v>112</v>
      </c>
      <c r="AA609" s="128">
        <v>916.5693092956022</v>
      </c>
      <c r="AB609" s="128">
        <v>18.0</v>
      </c>
      <c r="AC609" s="128">
        <v>911.0896576678276</v>
      </c>
      <c r="AD609" s="44" t="s">
        <v>47</v>
      </c>
      <c r="AE609" s="128">
        <v>1125.3794713492578</v>
      </c>
      <c r="AF609" s="128">
        <v>22.0</v>
      </c>
      <c r="AG609" s="128">
        <v>1121.3176515753537</v>
      </c>
      <c r="AH609" s="44"/>
      <c r="AI609" s="128"/>
      <c r="AJ609" s="128"/>
      <c r="AK609" s="128"/>
      <c r="AP609" s="128">
        <v>17.0</v>
      </c>
      <c r="AQ609" s="128">
        <v>11.0</v>
      </c>
      <c r="AT609" s="44">
        <v>608.0</v>
      </c>
      <c r="AU609" s="44"/>
      <c r="AW609" s="93"/>
      <c r="AY609" s="93"/>
      <c r="AZ609" s="93"/>
      <c r="BA609" s="93"/>
      <c r="BB609" s="155"/>
      <c r="BC609" s="93"/>
      <c r="BE609" s="93"/>
      <c r="BG609" s="93"/>
      <c r="BH609" s="93"/>
      <c r="BI609" s="93"/>
      <c r="BJ609" s="155"/>
      <c r="BK609" s="93"/>
    </row>
    <row r="610">
      <c r="A610" s="166">
        <v>44442.961976597224</v>
      </c>
      <c r="B610" s="44" t="s">
        <v>123</v>
      </c>
      <c r="C610" s="128">
        <v>853.0279665917794</v>
      </c>
      <c r="D610" s="128">
        <v>9.0</v>
      </c>
      <c r="E610" s="128">
        <v>842.4370670775088</v>
      </c>
      <c r="F610" s="44" t="s">
        <v>27</v>
      </c>
      <c r="G610" s="128">
        <v>1095.8701570902424</v>
      </c>
      <c r="H610" s="128">
        <v>18.0</v>
      </c>
      <c r="I610" s="128">
        <v>1089.2636124362514</v>
      </c>
      <c r="J610" s="44" t="s">
        <v>31</v>
      </c>
      <c r="K610" s="128">
        <v>1255.4209852165413</v>
      </c>
      <c r="L610" s="128">
        <v>25.0</v>
      </c>
      <c r="M610" s="128">
        <v>1252.618429384803</v>
      </c>
      <c r="N610" s="44"/>
      <c r="O610" s="128"/>
      <c r="P610" s="128"/>
      <c r="Q610" s="128"/>
      <c r="V610" s="44" t="s">
        <v>112</v>
      </c>
      <c r="W610" s="128">
        <v>911.0896576678276</v>
      </c>
      <c r="X610" s="128">
        <v>17.0</v>
      </c>
      <c r="Y610" s="128">
        <v>916.2529107145787</v>
      </c>
      <c r="Z610" s="44" t="s">
        <v>47</v>
      </c>
      <c r="AA610" s="128">
        <v>1121.3176515753537</v>
      </c>
      <c r="AB610" s="128">
        <v>15.0</v>
      </c>
      <c r="AC610" s="128">
        <v>1124.5910253854024</v>
      </c>
      <c r="AD610" s="44" t="s">
        <v>23</v>
      </c>
      <c r="AE610" s="128">
        <v>1174.573985904528</v>
      </c>
      <c r="AF610" s="128">
        <v>30.0</v>
      </c>
      <c r="AG610" s="128">
        <v>1186.137359047728</v>
      </c>
      <c r="AH610" s="44"/>
      <c r="AI610" s="128"/>
      <c r="AJ610" s="128"/>
      <c r="AK610" s="128"/>
      <c r="AP610" s="128">
        <v>12.0</v>
      </c>
      <c r="AQ610" s="128">
        <v>16.0</v>
      </c>
      <c r="AT610" s="44">
        <v>609.0</v>
      </c>
      <c r="AU610" s="44"/>
      <c r="AW610" s="93"/>
      <c r="AY610" s="93"/>
      <c r="AZ610" s="93"/>
      <c r="BA610" s="93"/>
      <c r="BB610" s="155"/>
      <c r="BC610" s="93"/>
      <c r="BE610" s="93"/>
      <c r="BG610" s="93"/>
      <c r="BH610" s="93"/>
      <c r="BI610" s="93"/>
      <c r="BJ610" s="155"/>
      <c r="BK610" s="93"/>
    </row>
    <row r="611">
      <c r="A611" s="166">
        <v>44443.05057611111</v>
      </c>
      <c r="B611" s="44" t="s">
        <v>123</v>
      </c>
      <c r="C611" s="128">
        <v>842.4370670775088</v>
      </c>
      <c r="D611" s="128">
        <v>16.0</v>
      </c>
      <c r="E611" s="128">
        <v>842.4470670775088</v>
      </c>
      <c r="F611" s="44" t="s">
        <v>112</v>
      </c>
      <c r="G611" s="128">
        <v>916.2529107145787</v>
      </c>
      <c r="H611" s="128">
        <v>23.0</v>
      </c>
      <c r="I611" s="128">
        <v>917.2429599878549</v>
      </c>
      <c r="J611" s="44" t="s">
        <v>23</v>
      </c>
      <c r="K611" s="128">
        <v>1186.137359047728</v>
      </c>
      <c r="L611" s="128">
        <v>54.0</v>
      </c>
      <c r="M611" s="128">
        <v>1198.4804938279685</v>
      </c>
      <c r="N611" s="44" t="s">
        <v>31</v>
      </c>
      <c r="O611" s="128">
        <v>1252.618429384803</v>
      </c>
      <c r="P611" s="128">
        <v>40.0</v>
      </c>
      <c r="Q611" s="128">
        <v>1259.4009182087502</v>
      </c>
      <c r="V611" s="44" t="s">
        <v>107</v>
      </c>
      <c r="W611" s="128">
        <v>977.9462616356651</v>
      </c>
      <c r="X611" s="128">
        <v>10.0</v>
      </c>
      <c r="Y611" s="128">
        <v>967.8087750115682</v>
      </c>
      <c r="Z611" s="44" t="s">
        <v>110</v>
      </c>
      <c r="AA611" s="128">
        <v>980.0946215849511</v>
      </c>
      <c r="AB611" s="128">
        <v>34.0</v>
      </c>
      <c r="AC611" s="128">
        <v>979.4490066107527</v>
      </c>
      <c r="AD611" s="44" t="s">
        <v>27</v>
      </c>
      <c r="AE611" s="128">
        <v>1089.2636124362514</v>
      </c>
      <c r="AF611" s="128">
        <v>29.0</v>
      </c>
      <c r="AG611" s="128">
        <v>1086.3634570983993</v>
      </c>
      <c r="AH611" s="44" t="s">
        <v>47</v>
      </c>
      <c r="AI611" s="128">
        <v>1124.5910253854024</v>
      </c>
      <c r="AJ611" s="128">
        <v>23.0</v>
      </c>
      <c r="AK611" s="128">
        <v>1119.27428232155</v>
      </c>
      <c r="AP611" s="128">
        <v>27.0</v>
      </c>
      <c r="AQ611" s="128">
        <v>15.0</v>
      </c>
      <c r="AT611" s="44">
        <v>610.0</v>
      </c>
      <c r="AU611" s="44"/>
      <c r="AW611" s="93"/>
      <c r="AY611" s="93"/>
      <c r="AZ611" s="93"/>
      <c r="BA611" s="93"/>
      <c r="BB611" s="155"/>
      <c r="BC611" s="93"/>
      <c r="BE611" s="93"/>
      <c r="BG611" s="93"/>
      <c r="BH611" s="93"/>
      <c r="BI611" s="93"/>
      <c r="BJ611" s="155"/>
      <c r="BK611" s="93"/>
    </row>
    <row r="612">
      <c r="A612" s="166">
        <v>44443.992491157405</v>
      </c>
      <c r="B612" s="44" t="s">
        <v>35</v>
      </c>
      <c r="C612" s="128">
        <v>1061.5328656017407</v>
      </c>
      <c r="D612" s="128">
        <v>20.0</v>
      </c>
      <c r="E612" s="128">
        <v>1055.7625062527109</v>
      </c>
      <c r="F612" s="44" t="s">
        <v>27</v>
      </c>
      <c r="G612" s="128">
        <v>1086.3634570983993</v>
      </c>
      <c r="H612" s="128">
        <v>11.0</v>
      </c>
      <c r="I612" s="128">
        <v>1075.2970729747635</v>
      </c>
      <c r="J612" s="44" t="s">
        <v>23</v>
      </c>
      <c r="K612" s="128">
        <v>1198.4804938279685</v>
      </c>
      <c r="L612" s="128">
        <v>23.0</v>
      </c>
      <c r="M612" s="128">
        <v>1194.317237300634</v>
      </c>
      <c r="N612" s="44"/>
      <c r="O612" s="128"/>
      <c r="P612" s="128"/>
      <c r="Q612" s="128"/>
      <c r="V612" s="44" t="s">
        <v>34</v>
      </c>
      <c r="W612" s="128">
        <v>948.2401791458934</v>
      </c>
      <c r="X612" s="128">
        <v>15.0</v>
      </c>
      <c r="Y612" s="128">
        <v>954.0209774153759</v>
      </c>
      <c r="Z612" s="44" t="s">
        <v>47</v>
      </c>
      <c r="AA612" s="128">
        <v>1119.27428232155</v>
      </c>
      <c r="AB612" s="128">
        <v>14.0</v>
      </c>
      <c r="AC612" s="128">
        <v>1123.9989526791785</v>
      </c>
      <c r="AD612" s="44" t="s">
        <v>31</v>
      </c>
      <c r="AE612" s="128">
        <v>1259.4009182087502</v>
      </c>
      <c r="AF612" s="128">
        <v>24.0</v>
      </c>
      <c r="AG612" s="128">
        <v>1269.8954495816392</v>
      </c>
      <c r="AH612" s="44"/>
      <c r="AI612" s="128"/>
      <c r="AJ612" s="128"/>
      <c r="AK612" s="128"/>
      <c r="AP612" s="128">
        <v>12.0</v>
      </c>
      <c r="AQ612" s="128">
        <v>16.0</v>
      </c>
      <c r="AT612" s="44">
        <v>611.0</v>
      </c>
      <c r="AU612" s="44"/>
      <c r="AW612" s="93"/>
      <c r="AY612" s="93"/>
      <c r="AZ612" s="93"/>
      <c r="BA612" s="93"/>
      <c r="BB612" s="155"/>
      <c r="BC612" s="93"/>
      <c r="BE612" s="93"/>
      <c r="BG612" s="93"/>
      <c r="BH612" s="93"/>
      <c r="BI612" s="93"/>
      <c r="BJ612" s="155"/>
      <c r="BK612" s="93"/>
    </row>
    <row r="613">
      <c r="A613" s="166">
        <v>44444.074394525465</v>
      </c>
      <c r="B613" s="44" t="s">
        <v>47</v>
      </c>
      <c r="C613" s="128">
        <v>1123.9989526791785</v>
      </c>
      <c r="D613" s="128">
        <v>18.0</v>
      </c>
      <c r="E613" s="128">
        <v>1134.120414640007</v>
      </c>
      <c r="F613" s="44" t="s">
        <v>23</v>
      </c>
      <c r="G613" s="128">
        <v>1194.317237300634</v>
      </c>
      <c r="H613" s="128">
        <v>20.0</v>
      </c>
      <c r="I613" s="128">
        <v>1206.1957753398053</v>
      </c>
      <c r="J613" s="44"/>
      <c r="K613" s="128"/>
      <c r="L613" s="128"/>
      <c r="M613" s="128"/>
      <c r="N613" s="44"/>
      <c r="O613" s="128"/>
      <c r="P613" s="128"/>
      <c r="Q613" s="128"/>
      <c r="V613" s="44" t="s">
        <v>27</v>
      </c>
      <c r="W613" s="128">
        <v>1075.2970729747635</v>
      </c>
      <c r="X613" s="128">
        <v>15.0</v>
      </c>
      <c r="Y613" s="128">
        <v>1064.8369126604703</v>
      </c>
      <c r="Z613" s="44" t="s">
        <v>31</v>
      </c>
      <c r="AA613" s="128">
        <v>1269.8954495816392</v>
      </c>
      <c r="AB613" s="128">
        <v>14.0</v>
      </c>
      <c r="AC613" s="128">
        <v>1258.3556098959325</v>
      </c>
      <c r="AD613" s="44"/>
      <c r="AE613" s="128"/>
      <c r="AF613" s="128"/>
      <c r="AG613" s="128"/>
      <c r="AH613" s="44"/>
      <c r="AI613" s="128"/>
      <c r="AJ613" s="128"/>
      <c r="AK613" s="128"/>
      <c r="AP613" s="128">
        <v>17.0</v>
      </c>
      <c r="AQ613" s="128">
        <v>11.0</v>
      </c>
      <c r="AT613" s="44">
        <v>612.0</v>
      </c>
      <c r="AU613" s="44"/>
      <c r="AW613" s="93"/>
      <c r="AY613" s="93"/>
      <c r="AZ613" s="93"/>
      <c r="BA613" s="93"/>
      <c r="BB613" s="155"/>
      <c r="BC613" s="93"/>
      <c r="BE613" s="93"/>
      <c r="BG613" s="93"/>
      <c r="BH613" s="93"/>
      <c r="BI613" s="93"/>
      <c r="BJ613" s="155"/>
      <c r="BK613" s="93"/>
    </row>
    <row r="614">
      <c r="A614" s="166">
        <v>44444.90614190973</v>
      </c>
      <c r="B614" s="44" t="s">
        <v>123</v>
      </c>
      <c r="C614" s="128">
        <v>842.4470670775088</v>
      </c>
      <c r="D614" s="128">
        <v>1.0</v>
      </c>
      <c r="E614" s="128">
        <v>830.1311940204068</v>
      </c>
      <c r="F614" s="44" t="s">
        <v>47</v>
      </c>
      <c r="G614" s="128">
        <v>1134.120414640007</v>
      </c>
      <c r="H614" s="128">
        <v>25.0</v>
      </c>
      <c r="I614" s="128">
        <v>1132.2657926396926</v>
      </c>
      <c r="J614" s="44" t="s">
        <v>23</v>
      </c>
      <c r="K614" s="128">
        <v>1206.1957753398053</v>
      </c>
      <c r="L614" s="128">
        <v>23.0</v>
      </c>
      <c r="M614" s="128">
        <v>1203.3662703972218</v>
      </c>
      <c r="N614" s="44"/>
      <c r="O614" s="128"/>
      <c r="P614" s="128"/>
      <c r="Q614" s="128"/>
      <c r="V614" s="44" t="s">
        <v>112</v>
      </c>
      <c r="W614" s="128">
        <v>917.2429599878549</v>
      </c>
      <c r="X614" s="128">
        <v>13.0</v>
      </c>
      <c r="Y614" s="128">
        <v>920.1328156338288</v>
      </c>
      <c r="Z614" s="44" t="s">
        <v>35</v>
      </c>
      <c r="AA614" s="128">
        <v>1055.7625062527109</v>
      </c>
      <c r="AB614" s="128">
        <v>19.0</v>
      </c>
      <c r="AC614" s="128">
        <v>1061.0041284761912</v>
      </c>
      <c r="AD614" s="44" t="s">
        <v>31</v>
      </c>
      <c r="AE614" s="128">
        <v>1258.3556098959325</v>
      </c>
      <c r="AF614" s="128">
        <v>27.0</v>
      </c>
      <c r="AG614" s="128">
        <v>1267.2241320264782</v>
      </c>
      <c r="AH614" s="44"/>
      <c r="AI614" s="128"/>
      <c r="AJ614" s="128"/>
      <c r="AK614" s="128"/>
      <c r="AP614" s="128">
        <v>12.0</v>
      </c>
      <c r="AQ614" s="128">
        <v>16.0</v>
      </c>
      <c r="AS614" s="44" t="s">
        <v>229</v>
      </c>
      <c r="AT614" s="44">
        <v>613.0</v>
      </c>
      <c r="AU614" s="44"/>
      <c r="AW614" s="93"/>
      <c r="AY614" s="93"/>
      <c r="AZ614" s="93"/>
      <c r="BA614" s="93"/>
      <c r="BB614" s="155"/>
      <c r="BC614" s="93"/>
      <c r="BE614" s="93"/>
      <c r="BG614" s="93"/>
      <c r="BH614" s="93"/>
      <c r="BI614" s="93"/>
      <c r="BJ614" s="155"/>
      <c r="BK614" s="93"/>
    </row>
    <row r="615">
      <c r="A615" s="166">
        <v>44444.96639646991</v>
      </c>
      <c r="B615" s="44" t="s">
        <v>123</v>
      </c>
      <c r="C615" s="128">
        <v>830.1311940204068</v>
      </c>
      <c r="D615" s="128">
        <v>16.0</v>
      </c>
      <c r="E615" s="128">
        <v>832.2057148174188</v>
      </c>
      <c r="F615" s="44" t="s">
        <v>34</v>
      </c>
      <c r="G615" s="128">
        <v>954.0209774153759</v>
      </c>
      <c r="H615" s="128">
        <v>21.0</v>
      </c>
      <c r="I615" s="128">
        <v>956.9878276137692</v>
      </c>
      <c r="J615" s="44" t="s">
        <v>227</v>
      </c>
      <c r="K615" s="128">
        <v>964.8381318511845</v>
      </c>
      <c r="L615" s="128">
        <v>6.0</v>
      </c>
      <c r="M615" s="128">
        <v>964.8481318511845</v>
      </c>
      <c r="N615" s="44" t="s">
        <v>23</v>
      </c>
      <c r="O615" s="128">
        <v>1203.3662703972218</v>
      </c>
      <c r="P615" s="128">
        <v>22.0</v>
      </c>
      <c r="Q615" s="128">
        <v>1206.3127176934024</v>
      </c>
      <c r="R615" s="44" t="s">
        <v>31</v>
      </c>
      <c r="S615" s="128">
        <v>1267.2241320264782</v>
      </c>
      <c r="T615" s="128">
        <v>45.0</v>
      </c>
      <c r="U615" s="128">
        <v>1276.2971023912123</v>
      </c>
      <c r="V615" s="44" t="s">
        <v>112</v>
      </c>
      <c r="W615" s="128">
        <v>920.1328156338288</v>
      </c>
      <c r="X615" s="128">
        <v>23.0</v>
      </c>
      <c r="Y615" s="128">
        <v>918.1907274943842</v>
      </c>
      <c r="Z615" s="44" t="s">
        <v>110</v>
      </c>
      <c r="AA615" s="128">
        <v>979.4490066107527</v>
      </c>
      <c r="AB615" s="128">
        <v>17.0</v>
      </c>
      <c r="AC615" s="128">
        <v>975.7708003755062</v>
      </c>
      <c r="AD615" s="44" t="s">
        <v>35</v>
      </c>
      <c r="AE615" s="128">
        <v>1061.0041284761912</v>
      </c>
      <c r="AF615" s="128">
        <v>18.0</v>
      </c>
      <c r="AG615" s="128">
        <v>1057.4738219440483</v>
      </c>
      <c r="AH615" s="44" t="s">
        <v>27</v>
      </c>
      <c r="AI615" s="128">
        <v>1064.8369126604703</v>
      </c>
      <c r="AJ615" s="128">
        <v>19.0</v>
      </c>
      <c r="AK615" s="128">
        <v>1061.5694162646832</v>
      </c>
      <c r="AL615" s="44" t="s">
        <v>47</v>
      </c>
      <c r="AM615" s="128">
        <v>1132.2657926396926</v>
      </c>
      <c r="AN615" s="128">
        <v>18.0</v>
      </c>
      <c r="AO615" s="128">
        <v>1128.6838899423137</v>
      </c>
      <c r="AP615" s="128">
        <v>16.0</v>
      </c>
      <c r="AQ615" s="128">
        <v>12.0</v>
      </c>
      <c r="AS615" s="44" t="s">
        <v>271</v>
      </c>
      <c r="AT615" s="44">
        <v>614.0</v>
      </c>
      <c r="AU615" s="44"/>
      <c r="AW615" s="93"/>
      <c r="AY615" s="93"/>
      <c r="AZ615" s="93"/>
      <c r="BA615" s="93"/>
      <c r="BB615" s="155"/>
      <c r="BC615" s="93"/>
      <c r="BE615" s="93"/>
      <c r="BG615" s="93"/>
      <c r="BH615" s="93"/>
      <c r="BI615" s="93"/>
      <c r="BJ615" s="155"/>
      <c r="BK615" s="93"/>
    </row>
    <row r="616">
      <c r="A616" s="166">
        <v>44445.00543362269</v>
      </c>
      <c r="B616" s="44" t="s">
        <v>112</v>
      </c>
      <c r="C616" s="128">
        <v>918.1907274943842</v>
      </c>
      <c r="D616" s="128">
        <v>11.0</v>
      </c>
      <c r="E616" s="128">
        <v>910.9545274378062</v>
      </c>
      <c r="F616" s="44" t="s">
        <v>227</v>
      </c>
      <c r="G616" s="128">
        <v>964.8481318511845</v>
      </c>
      <c r="H616" s="128">
        <v>15.0</v>
      </c>
      <c r="I616" s="128">
        <v>959.1239872843641</v>
      </c>
      <c r="J616" s="44" t="s">
        <v>47</v>
      </c>
      <c r="K616" s="128">
        <v>1128.6838899423137</v>
      </c>
      <c r="L616" s="128">
        <v>10.0</v>
      </c>
      <c r="M616" s="128">
        <v>1120.6011125890486</v>
      </c>
      <c r="N616" s="44" t="s">
        <v>31</v>
      </c>
      <c r="O616" s="128">
        <v>1276.2971023912123</v>
      </c>
      <c r="P616" s="128">
        <v>32.0</v>
      </c>
      <c r="Q616" s="128">
        <v>1276.2871023912123</v>
      </c>
      <c r="V616" s="44" t="s">
        <v>34</v>
      </c>
      <c r="W616" s="128">
        <v>956.9878276137692</v>
      </c>
      <c r="X616" s="128">
        <v>14.0</v>
      </c>
      <c r="Y616" s="128">
        <v>958.7034776945625</v>
      </c>
      <c r="Z616" s="44" t="s">
        <v>35</v>
      </c>
      <c r="AA616" s="128">
        <v>1057.4738219440483</v>
      </c>
      <c r="AB616" s="128">
        <v>28.0</v>
      </c>
      <c r="AC616" s="128">
        <v>1064.7292868637662</v>
      </c>
      <c r="AD616" s="44" t="s">
        <v>27</v>
      </c>
      <c r="AE616" s="128">
        <v>1061.5694162646832</v>
      </c>
      <c r="AF616" s="128">
        <v>19.0</v>
      </c>
      <c r="AG616" s="128">
        <v>1065.0671068202328</v>
      </c>
      <c r="AH616" s="44" t="s">
        <v>23</v>
      </c>
      <c r="AI616" s="128">
        <v>1206.3127176934024</v>
      </c>
      <c r="AJ616" s="128">
        <v>29.0</v>
      </c>
      <c r="AK616" s="128">
        <v>1213.843912137342</v>
      </c>
      <c r="AP616" s="128">
        <v>12.0</v>
      </c>
      <c r="AQ616" s="128">
        <v>16.0</v>
      </c>
      <c r="AS616" s="44" t="s">
        <v>243</v>
      </c>
      <c r="AT616" s="44">
        <v>615.0</v>
      </c>
      <c r="AU616" s="44"/>
      <c r="AW616" s="93"/>
      <c r="AY616" s="93"/>
      <c r="AZ616" s="93"/>
      <c r="BA616" s="93"/>
      <c r="BB616" s="155"/>
      <c r="BC616" s="93"/>
      <c r="BE616" s="93"/>
      <c r="BG616" s="93"/>
      <c r="BH616" s="93"/>
      <c r="BI616" s="93"/>
      <c r="BJ616" s="155"/>
      <c r="BK616" s="93"/>
    </row>
    <row r="617">
      <c r="A617" s="166">
        <v>44450.0033778588</v>
      </c>
      <c r="B617" s="44" t="s">
        <v>112</v>
      </c>
      <c r="C617" s="128">
        <v>910.9545274378062</v>
      </c>
      <c r="D617" s="128">
        <v>20.0</v>
      </c>
      <c r="E617" s="128">
        <v>917.5753315611422</v>
      </c>
      <c r="F617" s="44" t="s">
        <v>35</v>
      </c>
      <c r="G617" s="128">
        <v>1064.7292868637662</v>
      </c>
      <c r="H617" s="128">
        <v>12.0</v>
      </c>
      <c r="I617" s="128">
        <v>1066.5058643762566</v>
      </c>
      <c r="J617" s="44" t="s">
        <v>23</v>
      </c>
      <c r="K617" s="128">
        <v>1213.843912137342</v>
      </c>
      <c r="L617" s="128">
        <v>29.0</v>
      </c>
      <c r="M617" s="128">
        <v>1224.4465305015156</v>
      </c>
      <c r="N617" s="44"/>
      <c r="O617" s="128"/>
      <c r="P617" s="128"/>
      <c r="Q617" s="128"/>
      <c r="V617" s="44" t="s">
        <v>332</v>
      </c>
      <c r="W617" s="128">
        <v>987.25</v>
      </c>
      <c r="X617" s="128">
        <v>14.0</v>
      </c>
      <c r="Y617" s="128">
        <v>979.6605218401987</v>
      </c>
      <c r="Z617" s="44" t="s">
        <v>61</v>
      </c>
      <c r="AA617" s="128">
        <v>1065.427286189855</v>
      </c>
      <c r="AB617" s="128">
        <v>16.0</v>
      </c>
      <c r="AC617" s="128">
        <v>1058.7019932949252</v>
      </c>
      <c r="AD617" s="44" t="s">
        <v>47</v>
      </c>
      <c r="AE617" s="128">
        <v>1120.6011125890486</v>
      </c>
      <c r="AF617" s="128">
        <v>20.0</v>
      </c>
      <c r="AG617" s="128">
        <v>1115.9158836437798</v>
      </c>
      <c r="AH617" s="44"/>
      <c r="AI617" s="128"/>
      <c r="AJ617" s="128"/>
      <c r="AK617" s="128"/>
      <c r="AP617" s="128">
        <v>18.0</v>
      </c>
      <c r="AQ617" s="128">
        <v>10.0</v>
      </c>
      <c r="AS617" s="44" t="s">
        <v>229</v>
      </c>
      <c r="AT617" s="44">
        <v>616.0</v>
      </c>
      <c r="AU617" s="44"/>
      <c r="AW617" s="93"/>
      <c r="AY617" s="93"/>
      <c r="AZ617" s="93"/>
      <c r="BA617" s="93"/>
      <c r="BB617" s="155"/>
      <c r="BC617" s="93"/>
      <c r="BE617" s="93"/>
      <c r="BG617" s="93"/>
      <c r="BH617" s="93"/>
      <c r="BI617" s="93"/>
      <c r="BJ617" s="155"/>
      <c r="BK617" s="93"/>
    </row>
    <row r="618">
      <c r="A618" s="166">
        <v>44450.952672280095</v>
      </c>
      <c r="B618" s="44" t="s">
        <v>112</v>
      </c>
      <c r="C618" s="128">
        <v>917.5753315611422</v>
      </c>
      <c r="D618" s="128">
        <v>20.0</v>
      </c>
      <c r="E618" s="128">
        <v>926.0739355021021</v>
      </c>
      <c r="F618" s="44" t="s">
        <v>35</v>
      </c>
      <c r="G618" s="128">
        <v>1066.5058643762566</v>
      </c>
      <c r="H618" s="128">
        <v>26.0</v>
      </c>
      <c r="I618" s="128">
        <v>1079.3640199975073</v>
      </c>
      <c r="J618" s="44" t="s">
        <v>23</v>
      </c>
      <c r="K618" s="128">
        <v>1224.4465305015156</v>
      </c>
      <c r="L618" s="128">
        <v>25.0</v>
      </c>
      <c r="M618" s="128">
        <v>1236.089770939305</v>
      </c>
      <c r="N618" s="44"/>
      <c r="O618" s="128"/>
      <c r="P618" s="128"/>
      <c r="Q618" s="128"/>
      <c r="V618" s="44" t="s">
        <v>107</v>
      </c>
      <c r="W618" s="128">
        <v>967.8087750115682</v>
      </c>
      <c r="X618" s="128">
        <v>16.0</v>
      </c>
      <c r="Y618" s="128">
        <v>958.3215362753825</v>
      </c>
      <c r="Z618" s="44" t="s">
        <v>27</v>
      </c>
      <c r="AA618" s="128">
        <v>1065.0671068202328</v>
      </c>
      <c r="AB618" s="128">
        <v>21.0</v>
      </c>
      <c r="AC618" s="128">
        <v>1059.7788779879627</v>
      </c>
      <c r="AD618" s="44" t="s">
        <v>47</v>
      </c>
      <c r="AE618" s="128">
        <v>1115.9158836437798</v>
      </c>
      <c r="AF618" s="128">
        <v>7.0</v>
      </c>
      <c r="AG618" s="128">
        <v>1097.6913512122355</v>
      </c>
      <c r="AH618" s="44"/>
      <c r="AI618" s="128"/>
      <c r="AJ618" s="128"/>
      <c r="AK618" s="128"/>
      <c r="AP618" s="128">
        <v>19.0</v>
      </c>
      <c r="AQ618" s="128">
        <v>8.0</v>
      </c>
      <c r="AS618" s="44" t="s">
        <v>243</v>
      </c>
      <c r="AT618" s="44">
        <v>617.0</v>
      </c>
      <c r="AU618" s="44"/>
      <c r="AW618" s="93"/>
      <c r="AY618" s="93"/>
      <c r="AZ618" s="93"/>
      <c r="BA618" s="93"/>
      <c r="BB618" s="155"/>
      <c r="BC618" s="93"/>
      <c r="BE618" s="93"/>
      <c r="BG618" s="93"/>
      <c r="BH618" s="93"/>
      <c r="BI618" s="93"/>
      <c r="BJ618" s="155"/>
      <c r="BK618" s="93"/>
    </row>
    <row r="619">
      <c r="A619" s="166">
        <v>44453.40722774305</v>
      </c>
      <c r="B619" s="44" t="s">
        <v>123</v>
      </c>
      <c r="C619" s="128">
        <v>832.2057148174188</v>
      </c>
      <c r="D619" s="128">
        <v>15.0</v>
      </c>
      <c r="E619" s="128">
        <v>832.2157148174188</v>
      </c>
      <c r="F619" s="44" t="s">
        <v>35</v>
      </c>
      <c r="G619" s="128">
        <v>1079.3640199975073</v>
      </c>
      <c r="H619" s="128">
        <v>60.0</v>
      </c>
      <c r="I619" s="128">
        <v>1094.190200830884</v>
      </c>
      <c r="J619" s="44" t="s">
        <v>23</v>
      </c>
      <c r="K619" s="128">
        <v>1236.089770939305</v>
      </c>
      <c r="L619" s="128">
        <v>48.0</v>
      </c>
      <c r="M619" s="128">
        <v>1244.671946661553</v>
      </c>
      <c r="N619" s="44"/>
      <c r="O619" s="128"/>
      <c r="P619" s="128"/>
      <c r="Q619" s="128"/>
      <c r="V619" s="44" t="s">
        <v>107</v>
      </c>
      <c r="W619" s="128">
        <v>958.3215362753825</v>
      </c>
      <c r="X619" s="128">
        <v>26.0</v>
      </c>
      <c r="Y619" s="128">
        <v>949.6909046273496</v>
      </c>
      <c r="Z619" s="44" t="s">
        <v>27</v>
      </c>
      <c r="AA619" s="128">
        <v>1059.7788779879627</v>
      </c>
      <c r="AB619" s="128">
        <v>40.0</v>
      </c>
      <c r="AC619" s="128">
        <v>1057.6456924816812</v>
      </c>
      <c r="AD619" s="44" t="s">
        <v>47</v>
      </c>
      <c r="AE619" s="128">
        <v>1097.6913512122355</v>
      </c>
      <c r="AF619" s="128">
        <v>30.0</v>
      </c>
      <c r="AG619" s="128">
        <v>1090.45516836655</v>
      </c>
      <c r="AH619" s="44"/>
      <c r="AI619" s="128"/>
      <c r="AJ619" s="128"/>
      <c r="AK619" s="128"/>
      <c r="AP619" s="128">
        <v>37.0</v>
      </c>
      <c r="AQ619" s="128">
        <v>19.0</v>
      </c>
      <c r="AT619" s="44">
        <v>618.0</v>
      </c>
      <c r="AU619" s="44"/>
      <c r="AW619" s="93"/>
      <c r="AY619" s="93"/>
      <c r="AZ619" s="93"/>
      <c r="BA619" s="93"/>
      <c r="BB619" s="155"/>
      <c r="BC619" s="93"/>
      <c r="BE619" s="93"/>
      <c r="BG619" s="93"/>
      <c r="BH619" s="93"/>
      <c r="BI619" s="93"/>
      <c r="BJ619" s="155"/>
      <c r="BK619" s="93"/>
    </row>
    <row r="620">
      <c r="A620" s="166">
        <v>44453.9999262037</v>
      </c>
      <c r="B620" s="44" t="s">
        <v>112</v>
      </c>
      <c r="C620" s="128">
        <v>926.0739355021021</v>
      </c>
      <c r="D620" s="128">
        <v>17.0</v>
      </c>
      <c r="E620" s="128">
        <v>922.5670340231075</v>
      </c>
      <c r="F620" s="44" t="s">
        <v>27</v>
      </c>
      <c r="G620" s="128">
        <v>1057.6456924816812</v>
      </c>
      <c r="H620" s="128">
        <v>20.0</v>
      </c>
      <c r="I620" s="128">
        <v>1054.6648523476113</v>
      </c>
      <c r="J620" s="44" t="s">
        <v>35</v>
      </c>
      <c r="K620" s="128">
        <v>1094.190200830884</v>
      </c>
      <c r="L620" s="128">
        <v>22.0</v>
      </c>
      <c r="M620" s="128">
        <v>1091.6779424439485</v>
      </c>
      <c r="N620" s="44"/>
      <c r="O620" s="128"/>
      <c r="P620" s="128"/>
      <c r="Q620" s="128"/>
      <c r="V620" s="44" t="s">
        <v>92</v>
      </c>
      <c r="W620" s="128">
        <v>904.1046113492761</v>
      </c>
      <c r="X620" s="128">
        <v>15.0</v>
      </c>
      <c r="Y620" s="128">
        <v>906.1774648149631</v>
      </c>
      <c r="Z620" s="44" t="s">
        <v>107</v>
      </c>
      <c r="AA620" s="128">
        <v>949.6909046273496</v>
      </c>
      <c r="AB620" s="128">
        <v>15.0</v>
      </c>
      <c r="AC620" s="128">
        <v>951.6530453414053</v>
      </c>
      <c r="AD620" s="44" t="s">
        <v>23</v>
      </c>
      <c r="AE620" s="128">
        <v>1244.671946661553</v>
      </c>
      <c r="AF620" s="128">
        <v>28.0</v>
      </c>
      <c r="AG620" s="128">
        <v>1249.63695248181</v>
      </c>
      <c r="AH620" s="44"/>
      <c r="AI620" s="128"/>
      <c r="AJ620" s="128"/>
      <c r="AK620" s="128"/>
      <c r="AP620" s="128">
        <v>13.0</v>
      </c>
      <c r="AQ620" s="128">
        <v>15.0</v>
      </c>
      <c r="AS620" s="44" t="s">
        <v>466</v>
      </c>
      <c r="AT620" s="44">
        <v>619.0</v>
      </c>
      <c r="AU620" s="44"/>
      <c r="AW620" s="93"/>
      <c r="AY620" s="93"/>
      <c r="AZ620" s="93"/>
      <c r="BA620" s="93"/>
      <c r="BB620" s="155"/>
      <c r="BC620" s="93"/>
      <c r="BE620" s="93"/>
      <c r="BG620" s="93"/>
      <c r="BH620" s="93"/>
      <c r="BI620" s="93"/>
      <c r="BJ620" s="155"/>
      <c r="BK620" s="93"/>
    </row>
    <row r="621">
      <c r="A621" s="166">
        <v>44454.96586399306</v>
      </c>
      <c r="B621" s="44" t="s">
        <v>92</v>
      </c>
      <c r="C621" s="128">
        <v>906.1774648149631</v>
      </c>
      <c r="D621" s="128">
        <v>18.0</v>
      </c>
      <c r="E621" s="128">
        <v>908.1768101365706</v>
      </c>
      <c r="F621" s="44" t="s">
        <v>34</v>
      </c>
      <c r="G621" s="128">
        <v>958.7034776945625</v>
      </c>
      <c r="H621" s="128">
        <v>11.0</v>
      </c>
      <c r="I621" s="128">
        <v>959.1323989449073</v>
      </c>
      <c r="J621" s="44" t="s">
        <v>47</v>
      </c>
      <c r="K621" s="128">
        <v>1090.45516836655</v>
      </c>
      <c r="L621" s="128">
        <v>23.0</v>
      </c>
      <c r="M621" s="128">
        <v>1093.2229446726417</v>
      </c>
      <c r="N621" s="44" t="s">
        <v>31</v>
      </c>
      <c r="O621" s="128">
        <v>1276.2871023912123</v>
      </c>
      <c r="P621" s="128">
        <v>33.0</v>
      </c>
      <c r="Q621" s="128">
        <v>1281.0910595131681</v>
      </c>
      <c r="V621" s="44" t="s">
        <v>123</v>
      </c>
      <c r="W621" s="128">
        <v>832.2157148174188</v>
      </c>
      <c r="X621" s="128">
        <v>7.0</v>
      </c>
      <c r="Y621" s="128">
        <v>827.4479078527928</v>
      </c>
      <c r="Z621" s="44" t="s">
        <v>27</v>
      </c>
      <c r="AA621" s="128">
        <v>1054.6648523476113</v>
      </c>
      <c r="AB621" s="128">
        <v>17.0</v>
      </c>
      <c r="AC621" s="128">
        <v>1051.5638523573832</v>
      </c>
      <c r="AD621" s="44" t="s">
        <v>35</v>
      </c>
      <c r="AE621" s="128">
        <v>1091.6779424439485</v>
      </c>
      <c r="AF621" s="128">
        <v>23.0</v>
      </c>
      <c r="AG621" s="128">
        <v>1089.7997794754378</v>
      </c>
      <c r="AH621" s="44" t="s">
        <v>23</v>
      </c>
      <c r="AI621" s="128">
        <v>1249.63695248181</v>
      </c>
      <c r="AJ621" s="128">
        <v>31.0</v>
      </c>
      <c r="AK621" s="128">
        <v>1249.3839224051746</v>
      </c>
      <c r="AP621" s="128">
        <v>15.0</v>
      </c>
      <c r="AQ621" s="128">
        <v>13.0</v>
      </c>
      <c r="AS621" s="44" t="s">
        <v>229</v>
      </c>
      <c r="AT621" s="44">
        <v>620.0</v>
      </c>
      <c r="AU621" s="44"/>
      <c r="AW621" s="93"/>
      <c r="AY621" s="93"/>
      <c r="AZ621" s="93"/>
      <c r="BA621" s="93"/>
      <c r="BB621" s="155"/>
      <c r="BC621" s="93"/>
      <c r="BE621" s="93"/>
      <c r="BG621" s="93"/>
      <c r="BH621" s="93"/>
      <c r="BI621" s="93"/>
      <c r="BJ621" s="155"/>
      <c r="BK621" s="93"/>
    </row>
    <row r="622">
      <c r="A622" s="166">
        <v>44455.007255856486</v>
      </c>
      <c r="B622" s="44" t="s">
        <v>112</v>
      </c>
      <c r="C622" s="128">
        <v>922.5670340231075</v>
      </c>
      <c r="D622" s="128">
        <v>25.0</v>
      </c>
      <c r="E622" s="128">
        <v>920.5369910649498</v>
      </c>
      <c r="F622" s="44" t="s">
        <v>34</v>
      </c>
      <c r="G622" s="128">
        <v>959.1323989449073</v>
      </c>
      <c r="H622" s="128">
        <v>10.0</v>
      </c>
      <c r="I622" s="128">
        <v>951.0411847119535</v>
      </c>
      <c r="J622" s="44" t="s">
        <v>47</v>
      </c>
      <c r="K622" s="128">
        <v>1093.2229446726417</v>
      </c>
      <c r="L622" s="128">
        <v>19.0</v>
      </c>
      <c r="M622" s="128">
        <v>1088.4248855290227</v>
      </c>
      <c r="N622" s="44" t="s">
        <v>23</v>
      </c>
      <c r="O622" s="128">
        <v>1249.3839224051746</v>
      </c>
      <c r="P622" s="128">
        <v>21.0</v>
      </c>
      <c r="Q622" s="128">
        <v>1245.303238739905</v>
      </c>
      <c r="V622" s="44" t="s">
        <v>123</v>
      </c>
      <c r="W622" s="128">
        <v>827.4479078527928</v>
      </c>
      <c r="X622" s="128">
        <v>8.0</v>
      </c>
      <c r="Y622" s="128">
        <v>827.8447609228236</v>
      </c>
      <c r="Z622" s="44" t="s">
        <v>27</v>
      </c>
      <c r="AA622" s="128">
        <v>1051.5638523573832</v>
      </c>
      <c r="AB622" s="128">
        <v>17.0</v>
      </c>
      <c r="AC622" s="128">
        <v>1054.666834128452</v>
      </c>
      <c r="AD622" s="44" t="s">
        <v>35</v>
      </c>
      <c r="AE622" s="128">
        <v>1089.7997794754378</v>
      </c>
      <c r="AF622" s="128">
        <v>29.0</v>
      </c>
      <c r="AG622" s="128">
        <v>1097.594788315534</v>
      </c>
      <c r="AH622" s="44" t="s">
        <v>31</v>
      </c>
      <c r="AI622" s="128">
        <v>1281.0910595131681</v>
      </c>
      <c r="AJ622" s="128">
        <v>29.0</v>
      </c>
      <c r="AK622" s="128">
        <v>1288.7962158319722</v>
      </c>
      <c r="AP622" s="128">
        <v>11.0</v>
      </c>
      <c r="AQ622" s="128">
        <v>17.0</v>
      </c>
      <c r="AS622" s="44" t="s">
        <v>511</v>
      </c>
      <c r="AT622" s="44">
        <v>621.0</v>
      </c>
      <c r="AU622" s="44"/>
      <c r="AW622" s="93"/>
      <c r="AY622" s="93"/>
      <c r="AZ622" s="93"/>
      <c r="BA622" s="93"/>
      <c r="BB622" s="155"/>
      <c r="BC622" s="93"/>
      <c r="BE622" s="93"/>
      <c r="BG622" s="93"/>
      <c r="BH622" s="93"/>
      <c r="BI622" s="93"/>
      <c r="BJ622" s="155"/>
      <c r="BK622" s="93"/>
    </row>
    <row r="623">
      <c r="A623" s="166">
        <v>44455.99573805556</v>
      </c>
      <c r="B623" s="44" t="s">
        <v>110</v>
      </c>
      <c r="C623" s="128">
        <v>975.7708003755062</v>
      </c>
      <c r="D623" s="128">
        <v>17.0</v>
      </c>
      <c r="E623" s="128">
        <v>970.6073466191465</v>
      </c>
      <c r="F623" s="44" t="s">
        <v>27</v>
      </c>
      <c r="G623" s="128">
        <v>1054.666834128452</v>
      </c>
      <c r="H623" s="128">
        <v>26.0</v>
      </c>
      <c r="I623" s="128">
        <v>1052.1161323062788</v>
      </c>
      <c r="J623" s="44" t="s">
        <v>31</v>
      </c>
      <c r="K623" s="128">
        <v>1288.7962158319722</v>
      </c>
      <c r="L623" s="128">
        <v>24.0</v>
      </c>
      <c r="M623" s="128">
        <v>1285.5103714105048</v>
      </c>
      <c r="N623" s="44"/>
      <c r="O623" s="128"/>
      <c r="P623" s="128"/>
      <c r="Q623" s="128"/>
      <c r="V623" s="44" t="s">
        <v>34</v>
      </c>
      <c r="W623" s="128">
        <v>951.0411847119535</v>
      </c>
      <c r="X623" s="128">
        <v>20.0</v>
      </c>
      <c r="Y623" s="128">
        <v>954.0786020601635</v>
      </c>
      <c r="Z623" s="44" t="s">
        <v>47</v>
      </c>
      <c r="AA623" s="128">
        <v>1088.4248855290227</v>
      </c>
      <c r="AB623" s="128">
        <v>21.0</v>
      </c>
      <c r="AC623" s="128">
        <v>1091.5299382612097</v>
      </c>
      <c r="AD623" s="44" t="s">
        <v>23</v>
      </c>
      <c r="AE623" s="128">
        <v>1245.303238739905</v>
      </c>
      <c r="AF623" s="128">
        <v>27.0</v>
      </c>
      <c r="AG623" s="128">
        <v>1250.1607686595082</v>
      </c>
      <c r="AH623" s="44"/>
      <c r="AI623" s="128"/>
      <c r="AJ623" s="128"/>
      <c r="AK623" s="128"/>
      <c r="AP623" s="128">
        <v>20.0</v>
      </c>
      <c r="AQ623" s="128">
        <v>22.0</v>
      </c>
      <c r="AT623" s="44">
        <v>622.0</v>
      </c>
      <c r="AU623" s="44"/>
      <c r="AW623" s="93"/>
      <c r="AY623" s="93"/>
      <c r="AZ623" s="93"/>
      <c r="BA623" s="93"/>
      <c r="BB623" s="155"/>
      <c r="BC623" s="93"/>
      <c r="BE623" s="93"/>
      <c r="BG623" s="93"/>
      <c r="BH623" s="93"/>
      <c r="BI623" s="93"/>
      <c r="BJ623" s="155"/>
      <c r="BK623" s="93"/>
    </row>
    <row r="624">
      <c r="A624" s="166">
        <v>44457.05010594908</v>
      </c>
      <c r="B624" s="44" t="s">
        <v>98</v>
      </c>
      <c r="C624" s="128">
        <v>941.457175010201</v>
      </c>
      <c r="D624" s="128">
        <v>12.0</v>
      </c>
      <c r="E624" s="128">
        <v>934.6847818055497</v>
      </c>
      <c r="F624" s="44" t="s">
        <v>512</v>
      </c>
      <c r="G624" s="128">
        <v>1000.0</v>
      </c>
      <c r="H624" s="128">
        <v>10.0</v>
      </c>
      <c r="I624" s="128">
        <v>992.4144390594153</v>
      </c>
      <c r="J624" s="44" t="s">
        <v>513</v>
      </c>
      <c r="K624" s="128">
        <v>1000.0</v>
      </c>
      <c r="L624" s="128">
        <v>28.0</v>
      </c>
      <c r="M624" s="128">
        <v>998.4144390594153</v>
      </c>
      <c r="N624" s="44" t="s">
        <v>514</v>
      </c>
      <c r="O624" s="128">
        <v>1000.0</v>
      </c>
      <c r="P624" s="128">
        <v>20.0</v>
      </c>
      <c r="Q624" s="128">
        <v>995.7477723927486</v>
      </c>
      <c r="R624" s="44" t="s">
        <v>31</v>
      </c>
      <c r="S624" s="128">
        <v>1285.5103714105048</v>
      </c>
      <c r="T624" s="128">
        <v>34.0</v>
      </c>
      <c r="U624" s="128">
        <v>1285.5003714105048</v>
      </c>
      <c r="V624" s="44" t="s">
        <v>112</v>
      </c>
      <c r="W624" s="128">
        <v>920.5369910649498</v>
      </c>
      <c r="X624" s="128">
        <v>18.0</v>
      </c>
      <c r="Y624" s="128">
        <v>923.6286062979166</v>
      </c>
      <c r="Z624" s="44" t="s">
        <v>107</v>
      </c>
      <c r="AA624" s="128">
        <v>951.6530453414053</v>
      </c>
      <c r="AB624" s="128">
        <v>23.0</v>
      </c>
      <c r="AC624" s="128">
        <v>956.3153431578247</v>
      </c>
      <c r="AD624" s="44" t="s">
        <v>50</v>
      </c>
      <c r="AE624" s="128">
        <v>1002.3269295606218</v>
      </c>
      <c r="AF624" s="128">
        <v>18.0</v>
      </c>
      <c r="AG624" s="128">
        <v>1005.1965579702177</v>
      </c>
      <c r="AH624" s="44" t="s">
        <v>35</v>
      </c>
      <c r="AI624" s="128">
        <v>1097.594788315534</v>
      </c>
      <c r="AJ624" s="128">
        <v>27.0</v>
      </c>
      <c r="AK624" s="128">
        <v>1103.3185513167778</v>
      </c>
      <c r="AL624" s="44" t="s">
        <v>23</v>
      </c>
      <c r="AM624" s="128">
        <v>1250.1607686595082</v>
      </c>
      <c r="AN624" s="128">
        <v>21.0</v>
      </c>
      <c r="AO624" s="128">
        <v>1253.8134641992826</v>
      </c>
      <c r="AP624" s="128">
        <v>11.0</v>
      </c>
      <c r="AQ624" s="128">
        <v>16.0</v>
      </c>
      <c r="AS624" s="44" t="s">
        <v>229</v>
      </c>
      <c r="AT624" s="44">
        <v>623.0</v>
      </c>
      <c r="AU624" s="44"/>
      <c r="AW624" s="93"/>
      <c r="AY624" s="93"/>
      <c r="AZ624" s="93"/>
      <c r="BA624" s="93"/>
      <c r="BB624" s="155"/>
      <c r="BC624" s="93"/>
      <c r="BE624" s="93"/>
      <c r="BG624" s="93"/>
      <c r="BH624" s="93"/>
      <c r="BI624" s="93"/>
      <c r="BJ624" s="155"/>
      <c r="BK624" s="93"/>
    </row>
    <row r="625">
      <c r="A625" s="166">
        <v>44458.961173958334</v>
      </c>
      <c r="B625" s="44" t="s">
        <v>123</v>
      </c>
      <c r="C625" s="128">
        <v>827.8447609228236</v>
      </c>
      <c r="D625" s="128">
        <v>12.0</v>
      </c>
      <c r="E625" s="128">
        <v>821.2328697601245</v>
      </c>
      <c r="F625" s="44" t="s">
        <v>112</v>
      </c>
      <c r="G625" s="128">
        <v>923.6286062979166</v>
      </c>
      <c r="H625" s="128">
        <v>17.0</v>
      </c>
      <c r="I625" s="128">
        <v>918.7167038846111</v>
      </c>
      <c r="J625" s="44" t="s">
        <v>27</v>
      </c>
      <c r="K625" s="128">
        <v>1052.1161323062788</v>
      </c>
      <c r="L625" s="128">
        <v>18.0</v>
      </c>
      <c r="M625" s="128">
        <v>1047.3176820235644</v>
      </c>
      <c r="N625" s="44" t="s">
        <v>23</v>
      </c>
      <c r="O625" s="128">
        <v>1253.8134641992826</v>
      </c>
      <c r="P625" s="128">
        <v>21.0</v>
      </c>
      <c r="Q625" s="128">
        <v>1250.1357080580015</v>
      </c>
      <c r="V625" s="44" t="s">
        <v>92</v>
      </c>
      <c r="W625" s="128">
        <v>908.1768101365706</v>
      </c>
      <c r="X625" s="128">
        <v>14.0</v>
      </c>
      <c r="Y625" s="128">
        <v>910.4566559764561</v>
      </c>
      <c r="Z625" s="44" t="s">
        <v>107</v>
      </c>
      <c r="AA625" s="128">
        <v>956.3153431578247</v>
      </c>
      <c r="AB625" s="128">
        <v>12.0</v>
      </c>
      <c r="AC625" s="128">
        <v>957.5746259189864</v>
      </c>
      <c r="AD625" s="44" t="s">
        <v>47</v>
      </c>
      <c r="AE625" s="128">
        <v>1091.5299382612097</v>
      </c>
      <c r="AF625" s="128">
        <v>28.0</v>
      </c>
      <c r="AG625" s="128">
        <v>1099.1427093205002</v>
      </c>
      <c r="AH625" s="44" t="s">
        <v>35</v>
      </c>
      <c r="AI625" s="128">
        <v>1103.3185513167778</v>
      </c>
      <c r="AJ625" s="128">
        <v>31.0</v>
      </c>
      <c r="AK625" s="128">
        <v>1112.16665165644</v>
      </c>
      <c r="AP625" s="128">
        <v>10.0</v>
      </c>
      <c r="AQ625" s="128">
        <v>18.0</v>
      </c>
      <c r="AS625" s="44" t="s">
        <v>229</v>
      </c>
      <c r="AT625" s="44">
        <v>624.0</v>
      </c>
      <c r="AU625" s="44"/>
      <c r="AW625" s="93"/>
      <c r="AY625" s="93"/>
      <c r="AZ625" s="93"/>
      <c r="BA625" s="93"/>
      <c r="BB625" s="155"/>
      <c r="BC625" s="93"/>
      <c r="BE625" s="93"/>
      <c r="BG625" s="93"/>
      <c r="BH625" s="93"/>
      <c r="BI625" s="93"/>
      <c r="BJ625" s="155"/>
      <c r="BK625" s="93"/>
    </row>
    <row r="626">
      <c r="A626" s="166">
        <v>44458.98969967593</v>
      </c>
      <c r="B626" s="44" t="s">
        <v>123</v>
      </c>
      <c r="C626" s="128">
        <v>821.2328697601245</v>
      </c>
      <c r="D626" s="128">
        <v>6.0</v>
      </c>
      <c r="E626" s="128">
        <v>810.8314700858443</v>
      </c>
      <c r="F626" s="44" t="s">
        <v>107</v>
      </c>
      <c r="G626" s="128">
        <v>957.5746259189864</v>
      </c>
      <c r="H626" s="128">
        <v>15.0</v>
      </c>
      <c r="I626" s="128">
        <v>950.7015510169119</v>
      </c>
      <c r="J626" s="44" t="s">
        <v>27</v>
      </c>
      <c r="K626" s="128">
        <v>1047.3176820235644</v>
      </c>
      <c r="L626" s="128">
        <v>18.0</v>
      </c>
      <c r="M626" s="128">
        <v>1041.5966666338825</v>
      </c>
      <c r="N626" s="44" t="s">
        <v>23</v>
      </c>
      <c r="O626" s="128">
        <v>1250.1357080580015</v>
      </c>
      <c r="P626" s="128">
        <v>33.0</v>
      </c>
      <c r="Q626" s="128">
        <v>1250.1257080580015</v>
      </c>
      <c r="V626" s="44" t="s">
        <v>92</v>
      </c>
      <c r="W626" s="128">
        <v>910.4566559764561</v>
      </c>
      <c r="X626" s="128">
        <v>23.0</v>
      </c>
      <c r="Y626" s="128">
        <v>916.8244330718487</v>
      </c>
      <c r="Z626" s="44" t="s">
        <v>112</v>
      </c>
      <c r="AA626" s="128">
        <v>918.7167038846111</v>
      </c>
      <c r="AB626" s="128">
        <v>20.0</v>
      </c>
      <c r="AC626" s="128">
        <v>923.6704587086523</v>
      </c>
      <c r="AD626" s="44" t="s">
        <v>47</v>
      </c>
      <c r="AE626" s="128">
        <v>1099.1427093205002</v>
      </c>
      <c r="AF626" s="128">
        <v>22.0</v>
      </c>
      <c r="AG626" s="128">
        <v>1104.4903899397912</v>
      </c>
      <c r="AH626" s="44" t="s">
        <v>35</v>
      </c>
      <c r="AI626" s="128">
        <v>1112.16665165644</v>
      </c>
      <c r="AJ626" s="128">
        <v>22.0</v>
      </c>
      <c r="AK626" s="128">
        <v>1117.4974391177152</v>
      </c>
      <c r="AP626" s="128">
        <v>11.0</v>
      </c>
      <c r="AQ626" s="128">
        <v>17.0</v>
      </c>
      <c r="AS626" s="44" t="s">
        <v>287</v>
      </c>
      <c r="AT626" s="44">
        <v>625.0</v>
      </c>
      <c r="AU626" s="44"/>
      <c r="AW626" s="93"/>
      <c r="AY626" s="93"/>
      <c r="AZ626" s="93"/>
      <c r="BA626" s="93"/>
      <c r="BB626" s="155"/>
      <c r="BC626" s="93"/>
      <c r="BE626" s="93"/>
      <c r="BG626" s="93"/>
      <c r="BH626" s="93"/>
      <c r="BI626" s="93"/>
      <c r="BJ626" s="155"/>
      <c r="BK626" s="93"/>
    </row>
    <row r="627">
      <c r="A627" s="166">
        <v>44459.92095547453</v>
      </c>
      <c r="B627" s="44" t="s">
        <v>34</v>
      </c>
      <c r="C627" s="128">
        <v>954.0786020601635</v>
      </c>
      <c r="D627" s="128">
        <v>6.0</v>
      </c>
      <c r="E627" s="128">
        <v>954.0886020601635</v>
      </c>
      <c r="F627" s="44" t="s">
        <v>110</v>
      </c>
      <c r="G627" s="128">
        <v>970.6073466191465</v>
      </c>
      <c r="H627" s="128">
        <v>17.0</v>
      </c>
      <c r="I627" s="128">
        <v>972.5941785488125</v>
      </c>
      <c r="J627" s="44" t="s">
        <v>47</v>
      </c>
      <c r="K627" s="128">
        <v>1104.4903899397912</v>
      </c>
      <c r="L627" s="128">
        <v>20.0</v>
      </c>
      <c r="M627" s="128">
        <v>1106.973451256415</v>
      </c>
      <c r="N627" s="44" t="s">
        <v>35</v>
      </c>
      <c r="O627" s="128">
        <v>1117.4974391177152</v>
      </c>
      <c r="P627" s="128">
        <v>36.0</v>
      </c>
      <c r="Q627" s="128">
        <v>1123.3072954163167</v>
      </c>
      <c r="V627" s="44" t="s">
        <v>92</v>
      </c>
      <c r="W627" s="128">
        <v>916.8244330718487</v>
      </c>
      <c r="X627" s="128">
        <v>15.0</v>
      </c>
      <c r="Y627" s="128">
        <v>913.4971967502009</v>
      </c>
      <c r="Z627" s="44" t="s">
        <v>112</v>
      </c>
      <c r="AA627" s="128">
        <v>923.6704587086523</v>
      </c>
      <c r="AB627" s="128">
        <v>20.0</v>
      </c>
      <c r="AC627" s="128">
        <v>921.3721645819996</v>
      </c>
      <c r="AD627" s="44" t="s">
        <v>27</v>
      </c>
      <c r="AE627" s="128">
        <v>1041.5966666338825</v>
      </c>
      <c r="AF627" s="128">
        <v>15.0</v>
      </c>
      <c r="AG627" s="128">
        <v>1038.096544079101</v>
      </c>
      <c r="AH627" s="44" t="s">
        <v>23</v>
      </c>
      <c r="AI627" s="128">
        <v>1250.1257080580015</v>
      </c>
      <c r="AJ627" s="128">
        <v>28.0</v>
      </c>
      <c r="AK627" s="128">
        <v>1249.2513610610833</v>
      </c>
      <c r="AP627" s="128">
        <v>15.0</v>
      </c>
      <c r="AQ627" s="128">
        <v>13.0</v>
      </c>
      <c r="AS627" s="44" t="s">
        <v>243</v>
      </c>
      <c r="AT627" s="44">
        <v>626.0</v>
      </c>
      <c r="AU627" s="44"/>
      <c r="AW627" s="93"/>
      <c r="AY627" s="93"/>
      <c r="AZ627" s="93"/>
      <c r="BA627" s="93"/>
      <c r="BB627" s="155"/>
      <c r="BC627" s="93"/>
      <c r="BE627" s="93"/>
      <c r="BG627" s="93"/>
      <c r="BH627" s="93"/>
      <c r="BI627" s="93"/>
      <c r="BJ627" s="155"/>
      <c r="BK627" s="93"/>
    </row>
    <row r="628">
      <c r="A628" s="166">
        <v>44459.96826912037</v>
      </c>
      <c r="B628" s="44" t="s">
        <v>112</v>
      </c>
      <c r="C628" s="128">
        <v>921.3721645819996</v>
      </c>
      <c r="D628" s="128">
        <v>14.0</v>
      </c>
      <c r="E628" s="128">
        <v>926.5137380012268</v>
      </c>
      <c r="F628" s="44" t="s">
        <v>110</v>
      </c>
      <c r="G628" s="128">
        <v>972.5941785488125</v>
      </c>
      <c r="H628" s="128">
        <v>22.0</v>
      </c>
      <c r="I628" s="128">
        <v>984.053673460659</v>
      </c>
      <c r="J628" s="44" t="s">
        <v>35</v>
      </c>
      <c r="K628" s="128">
        <v>1123.3072954163167</v>
      </c>
      <c r="L628" s="128">
        <v>25.0</v>
      </c>
      <c r="M628" s="128">
        <v>1136.7062270852432</v>
      </c>
      <c r="N628" s="44"/>
      <c r="O628" s="128"/>
      <c r="P628" s="128"/>
      <c r="Q628" s="128"/>
      <c r="V628" s="44" t="s">
        <v>92</v>
      </c>
      <c r="W628" s="128">
        <v>913.4971967502009</v>
      </c>
      <c r="X628" s="128">
        <v>18.0</v>
      </c>
      <c r="Y628" s="128">
        <v>902.9589325629684</v>
      </c>
      <c r="Z628" s="44" t="s">
        <v>27</v>
      </c>
      <c r="AA628" s="128">
        <v>1038.096544079101</v>
      </c>
      <c r="AB628" s="128">
        <v>19.0</v>
      </c>
      <c r="AC628" s="128">
        <v>1027.7012216183791</v>
      </c>
      <c r="AD628" s="44" t="s">
        <v>23</v>
      </c>
      <c r="AE628" s="128">
        <v>1249.2513610610833</v>
      </c>
      <c r="AF628" s="128">
        <v>21.0</v>
      </c>
      <c r="AG628" s="128">
        <v>1240.1849477090377</v>
      </c>
      <c r="AH628" s="44"/>
      <c r="AI628" s="128"/>
      <c r="AJ628" s="128"/>
      <c r="AK628" s="128"/>
      <c r="AP628" s="128">
        <v>17.0</v>
      </c>
      <c r="AQ628" s="128">
        <v>11.0</v>
      </c>
      <c r="AS628" s="44" t="s">
        <v>339</v>
      </c>
      <c r="AT628" s="44">
        <v>627.0</v>
      </c>
      <c r="AU628" s="44"/>
      <c r="AW628" s="93"/>
      <c r="AY628" s="93"/>
      <c r="AZ628" s="93"/>
      <c r="BA628" s="93"/>
      <c r="BB628" s="155"/>
      <c r="BC628" s="93"/>
      <c r="BE628" s="93"/>
      <c r="BG628" s="93"/>
      <c r="BH628" s="93"/>
      <c r="BI628" s="93"/>
      <c r="BJ628" s="155"/>
      <c r="BK628" s="93"/>
    </row>
    <row r="629">
      <c r="A629" s="166">
        <v>44460.913248171295</v>
      </c>
      <c r="B629" s="44" t="s">
        <v>107</v>
      </c>
      <c r="C629" s="128">
        <v>950.7015510169119</v>
      </c>
      <c r="D629" s="128">
        <v>10.0</v>
      </c>
      <c r="E629" s="128">
        <v>952.7261048367377</v>
      </c>
      <c r="F629" s="44" t="s">
        <v>47</v>
      </c>
      <c r="G629" s="128">
        <v>1106.973451256415</v>
      </c>
      <c r="H629" s="128">
        <v>22.0</v>
      </c>
      <c r="I629" s="128">
        <v>1114.9493639182983</v>
      </c>
      <c r="J629" s="44" t="s">
        <v>35</v>
      </c>
      <c r="K629" s="128">
        <v>1136.7062270852432</v>
      </c>
      <c r="L629" s="128">
        <v>24.0</v>
      </c>
      <c r="M629" s="128">
        <v>1145.7057606035341</v>
      </c>
      <c r="N629" s="44"/>
      <c r="O629" s="128"/>
      <c r="P629" s="128"/>
      <c r="Q629" s="128"/>
      <c r="V629" s="44" t="s">
        <v>92</v>
      </c>
      <c r="W629" s="128">
        <v>902.9589325629684</v>
      </c>
      <c r="X629" s="128">
        <v>13.0</v>
      </c>
      <c r="Y629" s="128">
        <v>894.8569502290989</v>
      </c>
      <c r="Z629" s="44" t="s">
        <v>27</v>
      </c>
      <c r="AA629" s="128">
        <v>1027.7012216183791</v>
      </c>
      <c r="AB629" s="128">
        <v>17.0</v>
      </c>
      <c r="AC629" s="128">
        <v>1021.3012031619807</v>
      </c>
      <c r="AD629" s="44" t="s">
        <v>23</v>
      </c>
      <c r="AE629" s="128">
        <v>1240.1849477090377</v>
      </c>
      <c r="AF629" s="128">
        <v>21.0</v>
      </c>
      <c r="AG629" s="128">
        <v>1235.6869484993056</v>
      </c>
      <c r="AH629" s="44"/>
      <c r="AI629" s="128"/>
      <c r="AJ629" s="128"/>
      <c r="AK629" s="128"/>
      <c r="AP629" s="128">
        <v>17.0</v>
      </c>
      <c r="AQ629" s="128">
        <v>11.0</v>
      </c>
      <c r="AT629" s="44">
        <v>628.0</v>
      </c>
      <c r="AU629" s="44"/>
      <c r="AW629" s="93"/>
      <c r="AY629" s="93"/>
      <c r="AZ629" s="93"/>
      <c r="BA629" s="93"/>
      <c r="BB629" s="155"/>
      <c r="BC629" s="93"/>
      <c r="BE629" s="93"/>
      <c r="BG629" s="93"/>
      <c r="BH629" s="93"/>
      <c r="BI629" s="93"/>
      <c r="BJ629" s="155"/>
      <c r="BK629" s="93"/>
    </row>
    <row r="630">
      <c r="A630" s="166">
        <v>44460.95317341435</v>
      </c>
      <c r="B630" s="44" t="s">
        <v>123</v>
      </c>
      <c r="C630" s="128">
        <v>810.8314700858443</v>
      </c>
      <c r="D630" s="128">
        <v>12.0</v>
      </c>
      <c r="E630" s="128">
        <v>812.336042416783</v>
      </c>
      <c r="F630" s="44" t="s">
        <v>110</v>
      </c>
      <c r="G630" s="128">
        <v>984.053673460659</v>
      </c>
      <c r="H630" s="128">
        <v>25.0</v>
      </c>
      <c r="I630" s="128">
        <v>988.6804709569764</v>
      </c>
      <c r="J630" s="44" t="s">
        <v>23</v>
      </c>
      <c r="K630" s="128">
        <v>1235.6869484993056</v>
      </c>
      <c r="L630" s="128">
        <v>23.0</v>
      </c>
      <c r="M630" s="128">
        <v>1239.5555786720495</v>
      </c>
      <c r="N630" s="44"/>
      <c r="O630" s="128"/>
      <c r="P630" s="128"/>
      <c r="Q630" s="128"/>
      <c r="V630" s="44" t="s">
        <v>92</v>
      </c>
      <c r="W630" s="128">
        <v>894.8569502290989</v>
      </c>
      <c r="X630" s="128">
        <v>8.0</v>
      </c>
      <c r="Y630" s="128">
        <v>889.2907771618661</v>
      </c>
      <c r="Z630" s="44" t="s">
        <v>27</v>
      </c>
      <c r="AA630" s="128">
        <v>1021.3012031619807</v>
      </c>
      <c r="AB630" s="128">
        <v>15.0</v>
      </c>
      <c r="AC630" s="128">
        <v>1017.4575740224694</v>
      </c>
      <c r="AD630" s="44" t="s">
        <v>47</v>
      </c>
      <c r="AE630" s="128">
        <v>1114.9493639182983</v>
      </c>
      <c r="AF630" s="128">
        <v>27.0</v>
      </c>
      <c r="AG630" s="128">
        <v>1114.3591661250423</v>
      </c>
      <c r="AH630" s="44"/>
      <c r="AI630" s="128"/>
      <c r="AJ630" s="128"/>
      <c r="AK630" s="128"/>
      <c r="AP630" s="128">
        <v>15.0</v>
      </c>
      <c r="AQ630" s="128">
        <v>13.0</v>
      </c>
      <c r="AT630" s="44">
        <v>629.0</v>
      </c>
      <c r="AU630" s="44"/>
      <c r="AW630" s="93"/>
      <c r="AY630" s="93"/>
      <c r="AZ630" s="93"/>
      <c r="BA630" s="93"/>
      <c r="BB630" s="155"/>
      <c r="BC630" s="93"/>
      <c r="BE630" s="93"/>
      <c r="BG630" s="93"/>
      <c r="BH630" s="93"/>
      <c r="BI630" s="93"/>
      <c r="BJ630" s="155"/>
      <c r="BK630" s="93"/>
    </row>
    <row r="631">
      <c r="A631" s="166">
        <v>44460.98668540509</v>
      </c>
      <c r="B631" s="44" t="s">
        <v>123</v>
      </c>
      <c r="C631" s="128">
        <v>812.336042416783</v>
      </c>
      <c r="D631" s="128">
        <v>15.0</v>
      </c>
      <c r="E631" s="128">
        <v>817.1515452687445</v>
      </c>
      <c r="F631" s="44" t="s">
        <v>110</v>
      </c>
      <c r="G631" s="128">
        <v>988.6804709569764</v>
      </c>
      <c r="H631" s="128">
        <v>24.0</v>
      </c>
      <c r="I631" s="128">
        <v>997.5316668248846</v>
      </c>
      <c r="J631" s="44" t="s">
        <v>47</v>
      </c>
      <c r="K631" s="128">
        <v>1114.3591661250423</v>
      </c>
      <c r="L631" s="128">
        <v>20.0</v>
      </c>
      <c r="M631" s="128">
        <v>1120.6924674051725</v>
      </c>
      <c r="N631" s="44"/>
      <c r="O631" s="128"/>
      <c r="P631" s="128"/>
      <c r="Q631" s="128"/>
      <c r="V631" s="44" t="s">
        <v>129</v>
      </c>
      <c r="W631" s="128">
        <v>704.52</v>
      </c>
      <c r="X631" s="128">
        <v>9.0</v>
      </c>
      <c r="Y631" s="128">
        <v>694.4529878131085</v>
      </c>
      <c r="Z631" s="44" t="s">
        <v>121</v>
      </c>
      <c r="AA631" s="128">
        <v>972.68</v>
      </c>
      <c r="AB631" s="128">
        <v>8.0</v>
      </c>
      <c r="AC631" s="128">
        <v>960.4138911109727</v>
      </c>
      <c r="AD631" s="44" t="s">
        <v>23</v>
      </c>
      <c r="AE631" s="128">
        <v>1239.5555786720495</v>
      </c>
      <c r="AF631" s="128">
        <v>35.0</v>
      </c>
      <c r="AG631" s="128">
        <v>1241.888699747968</v>
      </c>
      <c r="AH631" s="44"/>
      <c r="AI631" s="128"/>
      <c r="AJ631" s="128"/>
      <c r="AK631" s="128"/>
      <c r="AP631" s="128">
        <v>16.0</v>
      </c>
      <c r="AQ631" s="128">
        <v>12.0</v>
      </c>
      <c r="AT631" s="44">
        <v>630.0</v>
      </c>
      <c r="AU631" s="44"/>
      <c r="AW631" s="93"/>
      <c r="AY631" s="93"/>
      <c r="AZ631" s="93"/>
      <c r="BA631" s="93"/>
      <c r="BB631" s="155"/>
      <c r="BC631" s="93"/>
      <c r="BE631" s="93"/>
      <c r="BG631" s="93"/>
      <c r="BH631" s="93"/>
      <c r="BI631" s="93"/>
      <c r="BJ631" s="155"/>
      <c r="BK631" s="93"/>
    </row>
    <row r="632">
      <c r="A632" s="166">
        <v>44461.9524890625</v>
      </c>
      <c r="B632" s="44" t="s">
        <v>92</v>
      </c>
      <c r="C632" s="128">
        <v>889.2907771618661</v>
      </c>
      <c r="D632" s="128">
        <v>19.0</v>
      </c>
      <c r="E632" s="128">
        <v>896.0545916611143</v>
      </c>
      <c r="F632" s="44" t="s">
        <v>47</v>
      </c>
      <c r="G632" s="128">
        <v>1120.6924674051725</v>
      </c>
      <c r="H632" s="128">
        <v>18.0</v>
      </c>
      <c r="I632" s="128">
        <v>1126.0751137285426</v>
      </c>
      <c r="J632" s="44" t="s">
        <v>35</v>
      </c>
      <c r="K632" s="128">
        <v>1145.7057606035341</v>
      </c>
      <c r="L632" s="128">
        <v>24.0</v>
      </c>
      <c r="M632" s="128">
        <v>1154.5592997809158</v>
      </c>
      <c r="N632" s="44"/>
      <c r="O632" s="128"/>
      <c r="P632" s="128"/>
      <c r="Q632" s="128"/>
      <c r="V632" s="44" t="s">
        <v>112</v>
      </c>
      <c r="W632" s="128">
        <v>926.5137380012268</v>
      </c>
      <c r="X632" s="128">
        <v>12.0</v>
      </c>
      <c r="Y632" s="128">
        <v>916.1148139365096</v>
      </c>
      <c r="Z632" s="44" t="s">
        <v>110</v>
      </c>
      <c r="AA632" s="128">
        <v>997.5316668248846</v>
      </c>
      <c r="AB632" s="128">
        <v>23.0</v>
      </c>
      <c r="AC632" s="128">
        <v>993.2744177482895</v>
      </c>
      <c r="AD632" s="44" t="s">
        <v>23</v>
      </c>
      <c r="AE632" s="128">
        <v>1241.888699747968</v>
      </c>
      <c r="AF632" s="128">
        <v>20.0</v>
      </c>
      <c r="AG632" s="128">
        <v>1235.5448728892804</v>
      </c>
      <c r="AH632" s="44"/>
      <c r="AI632" s="128"/>
      <c r="AJ632" s="128"/>
      <c r="AK632" s="128"/>
      <c r="AP632" s="128">
        <v>16.0</v>
      </c>
      <c r="AQ632" s="128">
        <v>10.0</v>
      </c>
      <c r="AS632" s="44" t="s">
        <v>229</v>
      </c>
      <c r="AT632" s="44">
        <v>631.0</v>
      </c>
      <c r="AU632" s="44"/>
      <c r="AW632" s="93"/>
      <c r="AY632" s="93"/>
      <c r="AZ632" s="93"/>
      <c r="BA632" s="93"/>
      <c r="BB632" s="155"/>
      <c r="BC632" s="93"/>
      <c r="BE632" s="93"/>
      <c r="BG632" s="93"/>
      <c r="BH632" s="93"/>
      <c r="BI632" s="93"/>
      <c r="BJ632" s="155"/>
      <c r="BK632" s="93"/>
    </row>
    <row r="633">
      <c r="A633" s="166">
        <v>44461.99706905092</v>
      </c>
      <c r="B633" s="44" t="s">
        <v>112</v>
      </c>
      <c r="C633" s="128">
        <v>916.1148139365096</v>
      </c>
      <c r="D633" s="128">
        <v>17.0</v>
      </c>
      <c r="E633" s="128">
        <v>912.5943603901917</v>
      </c>
      <c r="F633" s="44" t="s">
        <v>110</v>
      </c>
      <c r="G633" s="128">
        <v>993.2744177482895</v>
      </c>
      <c r="H633" s="128">
        <v>23.0</v>
      </c>
      <c r="I633" s="128">
        <v>991.1145110217676</v>
      </c>
      <c r="J633" s="44" t="s">
        <v>23</v>
      </c>
      <c r="K633" s="128">
        <v>1235.5448728892804</v>
      </c>
      <c r="L633" s="128">
        <v>19.0</v>
      </c>
      <c r="M633" s="128">
        <v>1232.22523316212</v>
      </c>
      <c r="N633" s="44"/>
      <c r="O633" s="128"/>
      <c r="P633" s="128"/>
      <c r="Q633" s="128"/>
      <c r="V633" s="44" t="s">
        <v>92</v>
      </c>
      <c r="W633" s="128">
        <v>896.0545916611143</v>
      </c>
      <c r="X633" s="128">
        <v>17.0</v>
      </c>
      <c r="Y633" s="128">
        <v>898.9181322992204</v>
      </c>
      <c r="Z633" s="44" t="s">
        <v>47</v>
      </c>
      <c r="AA633" s="128">
        <v>1126.0751137285426</v>
      </c>
      <c r="AB633" s="128">
        <v>18.0</v>
      </c>
      <c r="AC633" s="128">
        <v>1128.899327778488</v>
      </c>
      <c r="AD633" s="44" t="s">
        <v>35</v>
      </c>
      <c r="AE633" s="128">
        <v>1154.5592997809158</v>
      </c>
      <c r="AF633" s="128">
        <v>20.0</v>
      </c>
      <c r="AG633" s="128">
        <v>1157.8715450928644</v>
      </c>
      <c r="AH633" s="44"/>
      <c r="AI633" s="128"/>
      <c r="AJ633" s="128"/>
      <c r="AK633" s="128"/>
      <c r="AP633" s="128">
        <v>13.0</v>
      </c>
      <c r="AQ633" s="128">
        <v>14.0</v>
      </c>
      <c r="AS633" s="44" t="s">
        <v>515</v>
      </c>
      <c r="AT633" s="44">
        <v>632.0</v>
      </c>
      <c r="AU633" s="44"/>
      <c r="AW633" s="93"/>
      <c r="AY633" s="93"/>
      <c r="AZ633" s="93"/>
      <c r="BA633" s="93"/>
      <c r="BB633" s="155"/>
      <c r="BC633" s="93"/>
      <c r="BE633" s="93"/>
      <c r="BG633" s="93"/>
      <c r="BH633" s="93"/>
      <c r="BI633" s="93"/>
      <c r="BJ633" s="155"/>
      <c r="BK633" s="93"/>
    </row>
    <row r="634">
      <c r="A634" s="166">
        <v>44462.950614409725</v>
      </c>
      <c r="B634" s="44" t="s">
        <v>34</v>
      </c>
      <c r="C634" s="128">
        <v>954.0886020601635</v>
      </c>
      <c r="D634" s="128">
        <v>17.0</v>
      </c>
      <c r="E634" s="128">
        <v>945.9576000614534</v>
      </c>
      <c r="F634" s="44" t="s">
        <v>110</v>
      </c>
      <c r="G634" s="128">
        <v>991.1145110217676</v>
      </c>
      <c r="H634" s="128">
        <v>19.0</v>
      </c>
      <c r="I634" s="128">
        <v>984.2265517846394</v>
      </c>
      <c r="J634" s="44" t="s">
        <v>47</v>
      </c>
      <c r="K634" s="128">
        <v>1128.899327778488</v>
      </c>
      <c r="L634" s="128">
        <v>15.0</v>
      </c>
      <c r="M634" s="128">
        <v>1118.9182890143263</v>
      </c>
      <c r="N634" s="44"/>
      <c r="O634" s="128"/>
      <c r="P634" s="128"/>
      <c r="Q634" s="128"/>
      <c r="V634" s="44" t="s">
        <v>123</v>
      </c>
      <c r="W634" s="128">
        <v>817.1515452687445</v>
      </c>
      <c r="X634" s="128">
        <v>13.0</v>
      </c>
      <c r="Y634" s="128">
        <v>820.6882205632199</v>
      </c>
      <c r="Z634" s="44" t="s">
        <v>27</v>
      </c>
      <c r="AA634" s="128">
        <v>1017.4575740224694</v>
      </c>
      <c r="AB634" s="128">
        <v>17.0</v>
      </c>
      <c r="AC634" s="128">
        <v>1022.4522770473733</v>
      </c>
      <c r="AD634" s="44" t="s">
        <v>35</v>
      </c>
      <c r="AE634" s="128">
        <v>1157.8715450928644</v>
      </c>
      <c r="AF634" s="128">
        <v>34.0</v>
      </c>
      <c r="AG634" s="128">
        <v>1174.340166773485</v>
      </c>
      <c r="AH634" s="44"/>
      <c r="AI634" s="128"/>
      <c r="AJ634" s="128"/>
      <c r="AK634" s="128"/>
      <c r="AP634" s="128">
        <v>10.0</v>
      </c>
      <c r="AQ634" s="128">
        <v>18.0</v>
      </c>
      <c r="AT634" s="44">
        <v>633.0</v>
      </c>
      <c r="AU634" s="44"/>
      <c r="AW634" s="93"/>
      <c r="AY634" s="93"/>
      <c r="AZ634" s="93"/>
      <c r="BA634" s="93"/>
      <c r="BB634" s="155"/>
      <c r="BC634" s="93"/>
      <c r="BE634" s="93"/>
      <c r="BG634" s="93"/>
      <c r="BH634" s="93"/>
      <c r="BI634" s="93"/>
      <c r="BJ634" s="155"/>
      <c r="BK634" s="93"/>
    </row>
    <row r="635">
      <c r="A635" s="166">
        <v>44462.9819111574</v>
      </c>
      <c r="B635" s="44" t="s">
        <v>34</v>
      </c>
      <c r="C635" s="128">
        <v>945.9576000614534</v>
      </c>
      <c r="D635" s="128">
        <v>12.0</v>
      </c>
      <c r="E635" s="128">
        <v>935.55641585446</v>
      </c>
      <c r="F635" s="44" t="s">
        <v>110</v>
      </c>
      <c r="G635" s="128">
        <v>984.2265517846394</v>
      </c>
      <c r="H635" s="128">
        <v>19.0</v>
      </c>
      <c r="I635" s="128">
        <v>977.9628301411922</v>
      </c>
      <c r="J635" s="44" t="s">
        <v>47</v>
      </c>
      <c r="K635" s="128">
        <v>1118.9182890143263</v>
      </c>
      <c r="L635" s="128">
        <v>21.0</v>
      </c>
      <c r="M635" s="128">
        <v>1113.583194864767</v>
      </c>
      <c r="N635" s="44"/>
      <c r="O635" s="128"/>
      <c r="P635" s="128"/>
      <c r="Q635" s="128"/>
      <c r="V635" s="44" t="s">
        <v>123</v>
      </c>
      <c r="W635" s="128">
        <v>820.6882205632199</v>
      </c>
      <c r="X635" s="128">
        <v>10.0</v>
      </c>
      <c r="Y635" s="128">
        <v>822.7137672052625</v>
      </c>
      <c r="Z635" s="44" t="s">
        <v>27</v>
      </c>
      <c r="AA635" s="128">
        <v>1022.4522770473733</v>
      </c>
      <c r="AB635" s="128">
        <v>23.0</v>
      </c>
      <c r="AC635" s="128">
        <v>1031.3529260357682</v>
      </c>
      <c r="AD635" s="44" t="s">
        <v>35</v>
      </c>
      <c r="AE635" s="128">
        <v>1174.340166773485</v>
      </c>
      <c r="AF635" s="128">
        <v>27.0</v>
      </c>
      <c r="AG635" s="128">
        <v>1185.4139711430475</v>
      </c>
      <c r="AH635" s="44"/>
      <c r="AI635" s="128"/>
      <c r="AJ635" s="128"/>
      <c r="AK635" s="128"/>
      <c r="AP635" s="128">
        <v>10.0</v>
      </c>
      <c r="AQ635" s="128">
        <v>18.0</v>
      </c>
      <c r="AT635" s="44">
        <v>634.0</v>
      </c>
      <c r="AU635" s="44"/>
      <c r="AW635" s="93"/>
      <c r="AY635" s="93"/>
      <c r="AZ635" s="93"/>
      <c r="BA635" s="93"/>
      <c r="BB635" s="155"/>
      <c r="BC635" s="93"/>
      <c r="BE635" s="93"/>
      <c r="BG635" s="93"/>
      <c r="BH635" s="93"/>
      <c r="BI635" s="93"/>
      <c r="BJ635" s="155"/>
      <c r="BK635" s="93"/>
    </row>
    <row r="636">
      <c r="A636" s="166">
        <v>44463.89976450232</v>
      </c>
      <c r="B636" s="44" t="s">
        <v>34</v>
      </c>
      <c r="C636" s="128">
        <v>935.55641585446</v>
      </c>
      <c r="D636" s="128">
        <v>10.0</v>
      </c>
      <c r="E636" s="128">
        <v>938.2441194968102</v>
      </c>
      <c r="F636" s="44" t="s">
        <v>47</v>
      </c>
      <c r="G636" s="128">
        <v>1113.583194864767</v>
      </c>
      <c r="H636" s="128">
        <v>24.0</v>
      </c>
      <c r="I636" s="128">
        <v>1122.8954912224167</v>
      </c>
      <c r="J636" s="44"/>
      <c r="K636" s="128"/>
      <c r="L636" s="128"/>
      <c r="M636" s="128"/>
      <c r="N636" s="44"/>
      <c r="O636" s="128"/>
      <c r="P636" s="128"/>
      <c r="Q636" s="128"/>
      <c r="V636" s="44" t="s">
        <v>92</v>
      </c>
      <c r="W636" s="128">
        <v>898.9181322992204</v>
      </c>
      <c r="X636" s="128">
        <v>7.0</v>
      </c>
      <c r="Y636" s="128">
        <v>888.6910563464284</v>
      </c>
      <c r="Z636" s="44" t="s">
        <v>23</v>
      </c>
      <c r="AA636" s="128">
        <v>1232.22523316212</v>
      </c>
      <c r="AB636" s="128">
        <v>25.0</v>
      </c>
      <c r="AC636" s="128">
        <v>1230.452309114912</v>
      </c>
      <c r="AD636" s="44"/>
      <c r="AE636" s="128"/>
      <c r="AF636" s="128"/>
      <c r="AG636" s="128"/>
      <c r="AH636" s="44"/>
      <c r="AI636" s="128"/>
      <c r="AJ636" s="128"/>
      <c r="AK636" s="128"/>
      <c r="AP636" s="128">
        <v>15.0</v>
      </c>
      <c r="AQ636" s="128">
        <v>13.0</v>
      </c>
      <c r="AT636" s="44">
        <v>635.0</v>
      </c>
      <c r="AU636" s="44"/>
      <c r="AW636" s="93"/>
      <c r="AY636" s="93"/>
      <c r="AZ636" s="93"/>
      <c r="BA636" s="93"/>
      <c r="BB636" s="155"/>
      <c r="BC636" s="93"/>
      <c r="BE636" s="93"/>
      <c r="BG636" s="93"/>
      <c r="BH636" s="93"/>
      <c r="BI636" s="93"/>
      <c r="BJ636" s="155"/>
      <c r="BK636" s="93"/>
    </row>
    <row r="637">
      <c r="A637" s="166">
        <v>44463.93627475694</v>
      </c>
      <c r="B637" s="44" t="s">
        <v>123</v>
      </c>
      <c r="C637" s="128">
        <v>822.7137672052625</v>
      </c>
      <c r="D637" s="128">
        <v>16.0</v>
      </c>
      <c r="E637" s="128">
        <v>825.3103397272127</v>
      </c>
      <c r="F637" s="44" t="s">
        <v>34</v>
      </c>
      <c r="G637" s="128">
        <v>938.2441194968102</v>
      </c>
      <c r="H637" s="128">
        <v>18.0</v>
      </c>
      <c r="I637" s="128">
        <v>941.0826774597386</v>
      </c>
      <c r="J637" s="44" t="s">
        <v>23</v>
      </c>
      <c r="K637" s="128">
        <v>1230.452309114912</v>
      </c>
      <c r="L637" s="128">
        <v>28.0</v>
      </c>
      <c r="M637" s="128">
        <v>1236.0171786300332</v>
      </c>
      <c r="N637" s="44"/>
      <c r="O637" s="128"/>
      <c r="P637" s="128"/>
      <c r="Q637" s="128"/>
      <c r="V637" s="44" t="s">
        <v>92</v>
      </c>
      <c r="W637" s="128">
        <v>888.6910563464284</v>
      </c>
      <c r="X637" s="128">
        <v>11.0</v>
      </c>
      <c r="Y637" s="128">
        <v>883.0007051352087</v>
      </c>
      <c r="Z637" s="44" t="s">
        <v>27</v>
      </c>
      <c r="AA637" s="128">
        <v>1031.3529260357682</v>
      </c>
      <c r="AB637" s="128">
        <v>27.0</v>
      </c>
      <c r="AC637" s="128">
        <v>1030.2688421523937</v>
      </c>
      <c r="AD637" s="44" t="s">
        <v>47</v>
      </c>
      <c r="AE637" s="128">
        <v>1122.8954912224167</v>
      </c>
      <c r="AF637" s="128">
        <v>17.0</v>
      </c>
      <c r="AG637" s="128">
        <v>1118.6699263170108</v>
      </c>
      <c r="AH637" s="44"/>
      <c r="AI637" s="128"/>
      <c r="AJ637" s="128"/>
      <c r="AK637" s="128"/>
      <c r="AP637" s="128">
        <v>15.0</v>
      </c>
      <c r="AQ637" s="128">
        <v>13.0</v>
      </c>
      <c r="AR637" s="44" t="s">
        <v>516</v>
      </c>
      <c r="AS637" s="44" t="s">
        <v>231</v>
      </c>
      <c r="AT637" s="44">
        <v>636.0</v>
      </c>
      <c r="AU637" s="44"/>
      <c r="AW637" s="93"/>
      <c r="AY637" s="93"/>
      <c r="AZ637" s="93"/>
      <c r="BA637" s="93"/>
      <c r="BB637" s="155"/>
      <c r="BC637" s="93"/>
      <c r="BE637" s="93"/>
      <c r="BG637" s="93"/>
      <c r="BH637" s="93"/>
      <c r="BI637" s="93"/>
      <c r="BJ637" s="155"/>
      <c r="BK637" s="93"/>
    </row>
    <row r="638">
      <c r="A638" s="166">
        <v>44463.98863290509</v>
      </c>
      <c r="B638" s="44" t="s">
        <v>123</v>
      </c>
      <c r="C638" s="128">
        <v>825.3103397272127</v>
      </c>
      <c r="D638" s="128">
        <v>15.0</v>
      </c>
      <c r="E638" s="128">
        <v>819.7482300842934</v>
      </c>
      <c r="F638" s="44" t="s">
        <v>34</v>
      </c>
      <c r="G638" s="128">
        <v>941.0826774597386</v>
      </c>
      <c r="H638" s="128">
        <v>14.0</v>
      </c>
      <c r="I638" s="128">
        <v>934.7120237079556</v>
      </c>
      <c r="J638" s="44" t="s">
        <v>47</v>
      </c>
      <c r="K638" s="128">
        <v>1118.6699263170108</v>
      </c>
      <c r="L638" s="128">
        <v>19.0</v>
      </c>
      <c r="M638" s="128">
        <v>1113.9690144451897</v>
      </c>
      <c r="N638" s="44" t="s">
        <v>35</v>
      </c>
      <c r="O638" s="128">
        <v>1185.4139711430475</v>
      </c>
      <c r="P638" s="128">
        <v>25.0</v>
      </c>
      <c r="Q638" s="128">
        <v>1183.0476464095711</v>
      </c>
      <c r="V638" s="44" t="s">
        <v>92</v>
      </c>
      <c r="W638" s="128">
        <v>883.0007051352087</v>
      </c>
      <c r="X638" s="128">
        <v>21.0</v>
      </c>
      <c r="Y638" s="128">
        <v>888.1614229641418</v>
      </c>
      <c r="Z638" s="44" t="s">
        <v>98</v>
      </c>
      <c r="AA638" s="128">
        <v>934.6847818055497</v>
      </c>
      <c r="AB638" s="128">
        <v>16.0</v>
      </c>
      <c r="AC638" s="128">
        <v>937.6774503309039</v>
      </c>
      <c r="AD638" s="44" t="s">
        <v>27</v>
      </c>
      <c r="AE638" s="128">
        <v>1030.2688421523937</v>
      </c>
      <c r="AF638" s="128">
        <v>11.0</v>
      </c>
      <c r="AG638" s="128">
        <v>1031.035791313101</v>
      </c>
      <c r="AH638" s="44" t="s">
        <v>23</v>
      </c>
      <c r="AI638" s="128">
        <v>1236.0171786300332</v>
      </c>
      <c r="AJ638" s="128">
        <v>35.0</v>
      </c>
      <c r="AK638" s="128">
        <v>1246.0968431150386</v>
      </c>
      <c r="AP638" s="128">
        <v>12.0</v>
      </c>
      <c r="AQ638" s="128">
        <v>16.0</v>
      </c>
      <c r="AR638" s="44" t="s">
        <v>517</v>
      </c>
      <c r="AS638" s="44" t="s">
        <v>266</v>
      </c>
      <c r="AT638" s="44">
        <v>637.0</v>
      </c>
      <c r="AU638" s="44"/>
      <c r="AW638" s="93"/>
      <c r="AY638" s="93"/>
      <c r="AZ638" s="93"/>
      <c r="BA638" s="93"/>
      <c r="BB638" s="155"/>
      <c r="BC638" s="93"/>
      <c r="BE638" s="93"/>
      <c r="BG638" s="93"/>
      <c r="BH638" s="93"/>
      <c r="BI638" s="93"/>
      <c r="BJ638" s="155"/>
      <c r="BK638" s="93"/>
    </row>
    <row r="639">
      <c r="A639" s="166">
        <v>44464.02110987269</v>
      </c>
      <c r="B639" s="44" t="s">
        <v>123</v>
      </c>
      <c r="C639" s="128">
        <v>819.7482300842934</v>
      </c>
      <c r="D639" s="128">
        <v>8.0</v>
      </c>
      <c r="E639" s="128">
        <v>811.5800752805021</v>
      </c>
      <c r="F639" s="44" t="s">
        <v>92</v>
      </c>
      <c r="G639" s="128">
        <v>888.1614229641418</v>
      </c>
      <c r="H639" s="128">
        <v>18.0</v>
      </c>
      <c r="I639" s="128">
        <v>883.6895231932547</v>
      </c>
      <c r="J639" s="44" t="s">
        <v>47</v>
      </c>
      <c r="K639" s="128">
        <v>1113.9690144451897</v>
      </c>
      <c r="L639" s="128">
        <v>16.0</v>
      </c>
      <c r="M639" s="128">
        <v>1108.2463305042777</v>
      </c>
      <c r="N639" s="44" t="s">
        <v>23</v>
      </c>
      <c r="O639" s="128">
        <v>1246.0968431150386</v>
      </c>
      <c r="P639" s="128">
        <v>29.0</v>
      </c>
      <c r="Q639" s="128">
        <v>1245.459581630629</v>
      </c>
      <c r="V639" s="44" t="s">
        <v>34</v>
      </c>
      <c r="W639" s="128">
        <v>934.7120237079556</v>
      </c>
      <c r="X639" s="128">
        <v>25.0</v>
      </c>
      <c r="Y639" s="128">
        <v>941.7955749475148</v>
      </c>
      <c r="Z639" s="44" t="s">
        <v>98</v>
      </c>
      <c r="AA639" s="128">
        <v>937.6774503309039</v>
      </c>
      <c r="AB639" s="128">
        <v>15.0</v>
      </c>
      <c r="AC639" s="128">
        <v>940.7937430861774</v>
      </c>
      <c r="AD639" s="44" t="s">
        <v>27</v>
      </c>
      <c r="AE639" s="128">
        <v>1031.035791313101</v>
      </c>
      <c r="AF639" s="128">
        <v>22.0</v>
      </c>
      <c r="AG639" s="128">
        <v>1036.7016354180087</v>
      </c>
      <c r="AH639" s="44" t="s">
        <v>35</v>
      </c>
      <c r="AI639" s="128">
        <v>1183.0476464095711</v>
      </c>
      <c r="AJ639" s="128">
        <v>16.0</v>
      </c>
      <c r="AK639" s="128">
        <v>1186.181958309831</v>
      </c>
      <c r="AP639" s="128">
        <v>11.0</v>
      </c>
      <c r="AQ639" s="128">
        <v>17.0</v>
      </c>
      <c r="AR639" s="44" t="s">
        <v>518</v>
      </c>
      <c r="AS639" s="44" t="s">
        <v>519</v>
      </c>
      <c r="AT639" s="44">
        <v>638.0</v>
      </c>
      <c r="AU639" s="44"/>
      <c r="AW639" s="93"/>
      <c r="AY639" s="93"/>
      <c r="AZ639" s="93"/>
      <c r="BA639" s="93"/>
      <c r="BB639" s="155"/>
      <c r="BC639" s="93"/>
      <c r="BE639" s="93"/>
      <c r="BG639" s="93"/>
      <c r="BH639" s="93"/>
      <c r="BI639" s="93"/>
      <c r="BJ639" s="155"/>
      <c r="BK639" s="93"/>
    </row>
    <row r="640">
      <c r="A640" s="166">
        <v>44464.956915891205</v>
      </c>
      <c r="B640" s="44" t="s">
        <v>123</v>
      </c>
      <c r="C640" s="128">
        <v>811.5800752805021</v>
      </c>
      <c r="D640" s="128">
        <v>9.0</v>
      </c>
      <c r="E640" s="128">
        <v>803.0471878304639</v>
      </c>
      <c r="F640" s="44" t="s">
        <v>27</v>
      </c>
      <c r="G640" s="128">
        <v>1036.7016354180087</v>
      </c>
      <c r="H640" s="128">
        <v>16.0</v>
      </c>
      <c r="I640" s="128">
        <v>1030.3318790938406</v>
      </c>
      <c r="J640" s="44" t="s">
        <v>47</v>
      </c>
      <c r="K640" s="128">
        <v>1108.2463305042777</v>
      </c>
      <c r="L640" s="128">
        <v>21.0</v>
      </c>
      <c r="M640" s="128">
        <v>1103.861387953922</v>
      </c>
      <c r="N640" s="44" t="s">
        <v>31</v>
      </c>
      <c r="O640" s="128">
        <v>1285.5003714105048</v>
      </c>
      <c r="P640" s="128">
        <v>30.0</v>
      </c>
      <c r="Q640" s="128">
        <v>1284.7879577350668</v>
      </c>
      <c r="V640" s="44" t="s">
        <v>92</v>
      </c>
      <c r="W640" s="128">
        <v>883.6895231932547</v>
      </c>
      <c r="X640" s="128">
        <v>21.0</v>
      </c>
      <c r="Y640" s="128">
        <v>888.8132649327999</v>
      </c>
      <c r="Z640" s="44" t="s">
        <v>245</v>
      </c>
      <c r="AA640" s="128">
        <v>1056.972406591017</v>
      </c>
      <c r="AB640" s="128">
        <v>15.0</v>
      </c>
      <c r="AC640" s="128">
        <v>1059.0671941127468</v>
      </c>
      <c r="AD640" s="44" t="s">
        <v>61</v>
      </c>
      <c r="AE640" s="128">
        <v>1058.7019932949252</v>
      </c>
      <c r="AF640" s="128">
        <v>20.0</v>
      </c>
      <c r="AG640" s="128">
        <v>1062.8771076805367</v>
      </c>
      <c r="AH640" s="44" t="s">
        <v>23</v>
      </c>
      <c r="AI640" s="128">
        <v>1245.459581630629</v>
      </c>
      <c r="AJ640" s="128">
        <v>31.0</v>
      </c>
      <c r="AK640" s="128">
        <v>1254.0659379837423</v>
      </c>
      <c r="AP640" s="128">
        <v>11.0</v>
      </c>
      <c r="AQ640" s="128">
        <v>17.0</v>
      </c>
      <c r="AR640" s="44" t="s">
        <v>520</v>
      </c>
      <c r="AS640" s="44" t="s">
        <v>229</v>
      </c>
      <c r="AT640" s="44">
        <v>639.0</v>
      </c>
      <c r="AU640" s="44"/>
      <c r="AW640" s="93"/>
      <c r="AY640" s="93"/>
      <c r="AZ640" s="93"/>
      <c r="BA640" s="93"/>
      <c r="BB640" s="155"/>
      <c r="BC640" s="93"/>
      <c r="BE640" s="93"/>
      <c r="BG640" s="93"/>
      <c r="BH640" s="93"/>
      <c r="BI640" s="93"/>
      <c r="BJ640" s="155"/>
      <c r="BK640" s="93"/>
    </row>
    <row r="641">
      <c r="A641" s="166">
        <v>44465.00435422454</v>
      </c>
      <c r="B641" s="44" t="s">
        <v>123</v>
      </c>
      <c r="C641" s="128">
        <v>803.0471878304639</v>
      </c>
      <c r="D641" s="128">
        <v>7.0</v>
      </c>
      <c r="E641" s="128">
        <v>795.4230624367738</v>
      </c>
      <c r="F641" s="44" t="s">
        <v>245</v>
      </c>
      <c r="G641" s="128">
        <v>1059.0671941127468</v>
      </c>
      <c r="H641" s="128">
        <v>20.0</v>
      </c>
      <c r="I641" s="128">
        <v>1055.098097547062</v>
      </c>
      <c r="J641" s="44" t="s">
        <v>61</v>
      </c>
      <c r="K641" s="128">
        <v>1062.8771076805367</v>
      </c>
      <c r="L641" s="128">
        <v>23.0</v>
      </c>
      <c r="M641" s="128">
        <v>1059.903343792626</v>
      </c>
      <c r="N641" s="44" t="s">
        <v>47</v>
      </c>
      <c r="O641" s="128">
        <v>1103.861387953922</v>
      </c>
      <c r="P641" s="128">
        <v>23.0</v>
      </c>
      <c r="Q641" s="128">
        <v>1100.8454558255353</v>
      </c>
      <c r="R641" s="44" t="s">
        <v>31</v>
      </c>
      <c r="S641" s="128">
        <v>1284.7879577350668</v>
      </c>
      <c r="T641" s="128">
        <v>25.0</v>
      </c>
      <c r="U641" s="128">
        <v>1282.3708757107395</v>
      </c>
      <c r="V641" s="44" t="s">
        <v>92</v>
      </c>
      <c r="W641" s="128">
        <v>888.8132649327999</v>
      </c>
      <c r="X641" s="128">
        <v>10.0</v>
      </c>
      <c r="Y641" s="128">
        <v>889.3906953557919</v>
      </c>
      <c r="Z641" s="44" t="s">
        <v>107</v>
      </c>
      <c r="AA641" s="128">
        <v>952.7261048367377</v>
      </c>
      <c r="AB641" s="128">
        <v>18.0</v>
      </c>
      <c r="AC641" s="128">
        <v>955.7804812811476</v>
      </c>
      <c r="AD641" s="44" t="s">
        <v>27</v>
      </c>
      <c r="AE641" s="128">
        <v>1030.3318790938406</v>
      </c>
      <c r="AF641" s="128">
        <v>24.0</v>
      </c>
      <c r="AG641" s="128">
        <v>1035.2239556360487</v>
      </c>
      <c r="AH641" s="44" t="s">
        <v>35</v>
      </c>
      <c r="AI641" s="128">
        <v>1186.181958309831</v>
      </c>
      <c r="AJ641" s="128">
        <v>31.0</v>
      </c>
      <c r="AK641" s="128">
        <v>1193.2620115546822</v>
      </c>
      <c r="AL641" s="44" t="s">
        <v>23</v>
      </c>
      <c r="AM641" s="128">
        <v>1254.0659379837423</v>
      </c>
      <c r="AN641" s="128">
        <v>23.0</v>
      </c>
      <c r="AO641" s="128">
        <v>1258.4620013292815</v>
      </c>
      <c r="AP641" s="128">
        <v>12.0</v>
      </c>
      <c r="AQ641" s="128">
        <v>16.0</v>
      </c>
      <c r="AT641" s="44">
        <v>640.0</v>
      </c>
      <c r="AU641" s="44"/>
      <c r="AW641" s="93"/>
      <c r="AY641" s="93"/>
      <c r="AZ641" s="93"/>
      <c r="BA641" s="93"/>
      <c r="BB641" s="155"/>
      <c r="BC641" s="93"/>
      <c r="BE641" s="93"/>
      <c r="BG641" s="93"/>
      <c r="BH641" s="93"/>
      <c r="BI641" s="93"/>
      <c r="BJ641" s="155"/>
      <c r="BK641" s="93"/>
    </row>
    <row r="642">
      <c r="A642" s="166">
        <v>44465.05811131945</v>
      </c>
      <c r="B642" s="44" t="s">
        <v>123</v>
      </c>
      <c r="C642" s="128">
        <v>795.4230624367738</v>
      </c>
      <c r="D642" s="128">
        <v>11.0</v>
      </c>
      <c r="E642" s="128">
        <v>795.4330624367738</v>
      </c>
      <c r="F642" s="44" t="s">
        <v>98</v>
      </c>
      <c r="G642" s="128">
        <v>940.7937430861774</v>
      </c>
      <c r="H642" s="128">
        <v>12.0</v>
      </c>
      <c r="I642" s="128">
        <v>940.8037430861774</v>
      </c>
      <c r="J642" s="44" t="s">
        <v>35</v>
      </c>
      <c r="K642" s="128">
        <v>1193.2620115546822</v>
      </c>
      <c r="L642" s="128">
        <v>40.0</v>
      </c>
      <c r="M642" s="128">
        <v>1193.2720115546822</v>
      </c>
      <c r="N642" s="44" t="s">
        <v>23</v>
      </c>
      <c r="O642" s="128">
        <v>1258.4620013292815</v>
      </c>
      <c r="P642" s="128">
        <v>31.0</v>
      </c>
      <c r="Q642" s="128">
        <v>1258.4720013292815</v>
      </c>
      <c r="V642" s="44" t="s">
        <v>107</v>
      </c>
      <c r="W642" s="128">
        <v>955.7804812811476</v>
      </c>
      <c r="X642" s="128">
        <v>19.0</v>
      </c>
      <c r="Y642" s="128">
        <v>955.7804812811476</v>
      </c>
      <c r="Z642" s="44" t="s">
        <v>245</v>
      </c>
      <c r="AA642" s="128">
        <v>1055.098097547062</v>
      </c>
      <c r="AB642" s="128">
        <v>22.0</v>
      </c>
      <c r="AC642" s="128">
        <v>1055.098097547062</v>
      </c>
      <c r="AD642" s="44" t="s">
        <v>61</v>
      </c>
      <c r="AE642" s="128">
        <v>1059.903343792626</v>
      </c>
      <c r="AF642" s="128">
        <v>32.0</v>
      </c>
      <c r="AG642" s="128">
        <v>1059.903343792626</v>
      </c>
      <c r="AH642" s="44" t="s">
        <v>47</v>
      </c>
      <c r="AI642" s="128">
        <v>1100.8454558255353</v>
      </c>
      <c r="AJ642" s="128">
        <v>36.0</v>
      </c>
      <c r="AK642" s="128">
        <v>1100.8454558255353</v>
      </c>
      <c r="AP642" s="128">
        <v>21.0</v>
      </c>
      <c r="AQ642" s="128">
        <v>21.0</v>
      </c>
      <c r="AT642" s="44">
        <v>641.0</v>
      </c>
      <c r="AU642" s="44"/>
      <c r="AW642" s="93"/>
      <c r="AY642" s="93"/>
      <c r="AZ642" s="93"/>
      <c r="BA642" s="93"/>
      <c r="BB642" s="155"/>
      <c r="BC642" s="93"/>
      <c r="BE642" s="93"/>
      <c r="BG642" s="93"/>
      <c r="BH642" s="93"/>
      <c r="BI642" s="93"/>
      <c r="BJ642" s="155"/>
      <c r="BK642" s="93"/>
    </row>
    <row r="643">
      <c r="A643" s="166">
        <v>44465.11605146991</v>
      </c>
      <c r="B643" s="44" t="s">
        <v>123</v>
      </c>
      <c r="C643" s="128">
        <v>795.4330624367738</v>
      </c>
      <c r="D643" s="128">
        <v>8.0</v>
      </c>
      <c r="E643" s="128">
        <v>789.6266253789587</v>
      </c>
      <c r="F643" s="44" t="s">
        <v>47</v>
      </c>
      <c r="G643" s="128">
        <v>1100.8454558255353</v>
      </c>
      <c r="H643" s="128">
        <v>26.0</v>
      </c>
      <c r="I643" s="128">
        <v>1098.1621635706506</v>
      </c>
      <c r="J643" s="44" t="s">
        <v>35</v>
      </c>
      <c r="K643" s="128">
        <v>1193.2720115546822</v>
      </c>
      <c r="L643" s="128">
        <v>38.0</v>
      </c>
      <c r="M643" s="128">
        <v>1193.043760199417</v>
      </c>
      <c r="N643" s="44" t="s">
        <v>23</v>
      </c>
      <c r="O643" s="128">
        <v>1258.4720013292815</v>
      </c>
      <c r="P643" s="128">
        <v>33.0</v>
      </c>
      <c r="Q643" s="128">
        <v>1257.1899819972466</v>
      </c>
      <c r="V643" s="44" t="s">
        <v>98</v>
      </c>
      <c r="W643" s="128">
        <v>940.8037430861774</v>
      </c>
      <c r="X643" s="128">
        <v>21.0</v>
      </c>
      <c r="Y643" s="128">
        <v>941.5589486123356</v>
      </c>
      <c r="Z643" s="44" t="s">
        <v>245</v>
      </c>
      <c r="AA643" s="128">
        <v>1055.098097547062</v>
      </c>
      <c r="AB643" s="128">
        <v>36.0</v>
      </c>
      <c r="AC643" s="128">
        <v>1058.77523581191</v>
      </c>
      <c r="AD643" s="44" t="s">
        <v>61</v>
      </c>
      <c r="AE643" s="128">
        <v>1059.903343792626</v>
      </c>
      <c r="AF643" s="128">
        <v>28.0</v>
      </c>
      <c r="AG643" s="128">
        <v>1061.9080765186482</v>
      </c>
      <c r="AH643" s="44" t="s">
        <v>31</v>
      </c>
      <c r="AI643" s="128">
        <v>1282.3708757107395</v>
      </c>
      <c r="AJ643" s="128">
        <v>36.0</v>
      </c>
      <c r="AK643" s="128">
        <v>1285.9337991937111</v>
      </c>
      <c r="AP643" s="128">
        <v>20.0</v>
      </c>
      <c r="AQ643" s="128">
        <v>22.0</v>
      </c>
      <c r="AT643" s="44">
        <v>642.0</v>
      </c>
      <c r="AU643" s="44"/>
      <c r="AW643" s="93"/>
      <c r="AY643" s="93"/>
      <c r="AZ643" s="93"/>
      <c r="BA643" s="93"/>
      <c r="BB643" s="155"/>
      <c r="BC643" s="93"/>
      <c r="BE643" s="93"/>
      <c r="BG643" s="93"/>
      <c r="BH643" s="93"/>
      <c r="BI643" s="93"/>
      <c r="BJ643" s="155"/>
      <c r="BK643" s="93"/>
    </row>
    <row r="644">
      <c r="A644" s="166">
        <v>44469.91147604167</v>
      </c>
      <c r="B644" s="44" t="s">
        <v>92</v>
      </c>
      <c r="C644" s="128">
        <v>889.3906953557919</v>
      </c>
      <c r="D644" s="128">
        <v>10.0</v>
      </c>
      <c r="E644" s="128">
        <v>883.9630095075612</v>
      </c>
      <c r="F644" s="44" t="s">
        <v>112</v>
      </c>
      <c r="G644" s="128">
        <v>912.5943603901917</v>
      </c>
      <c r="H644" s="128">
        <v>12.0</v>
      </c>
      <c r="I644" s="128">
        <v>907.7832912300364</v>
      </c>
      <c r="J644" s="44" t="s">
        <v>514</v>
      </c>
      <c r="K644" s="128">
        <v>995.7477723927486</v>
      </c>
      <c r="L644" s="128">
        <v>5.0</v>
      </c>
      <c r="M644" s="128">
        <v>988.4606996039536</v>
      </c>
      <c r="N644" s="44" t="s">
        <v>61</v>
      </c>
      <c r="O644" s="128">
        <v>1061.9080765186482</v>
      </c>
      <c r="P644" s="128">
        <v>23.0</v>
      </c>
      <c r="Q644" s="128">
        <v>1060.5458412665637</v>
      </c>
      <c r="R644" s="44" t="s">
        <v>23</v>
      </c>
      <c r="S644" s="128">
        <v>1257.1899819972466</v>
      </c>
      <c r="T644" s="128">
        <v>24.0</v>
      </c>
      <c r="U644" s="128">
        <v>1256.078045046512</v>
      </c>
      <c r="V644" s="44" t="s">
        <v>123</v>
      </c>
      <c r="W644" s="128">
        <v>789.6266253789587</v>
      </c>
      <c r="X644" s="128">
        <v>12.0</v>
      </c>
      <c r="Y644" s="128">
        <v>790.747740113109</v>
      </c>
      <c r="Z644" s="44" t="s">
        <v>513</v>
      </c>
      <c r="AA644" s="128">
        <v>998.4144390594153</v>
      </c>
      <c r="AB644" s="128">
        <v>22.0</v>
      </c>
      <c r="AC644" s="128">
        <v>1002.161085358564</v>
      </c>
      <c r="AD644" s="44" t="s">
        <v>27</v>
      </c>
      <c r="AE644" s="128">
        <v>1035.2239556360487</v>
      </c>
      <c r="AF644" s="128">
        <v>27.0</v>
      </c>
      <c r="AG644" s="128">
        <v>1040.5684430735434</v>
      </c>
      <c r="AH644" s="44" t="s">
        <v>47</v>
      </c>
      <c r="AI644" s="128">
        <v>1098.1621635706506</v>
      </c>
      <c r="AJ644" s="128">
        <v>19.0</v>
      </c>
      <c r="AK644" s="128">
        <v>1100.7555193660774</v>
      </c>
      <c r="AL644" s="44" t="s">
        <v>35</v>
      </c>
      <c r="AM644" s="128">
        <v>1193.043760199417</v>
      </c>
      <c r="AN644" s="128">
        <v>33.0</v>
      </c>
      <c r="AO644" s="128">
        <v>1200.2381559331966</v>
      </c>
      <c r="AP644" s="128">
        <v>10.0</v>
      </c>
      <c r="AQ644" s="128">
        <v>18.0</v>
      </c>
      <c r="AR644" s="44" t="s">
        <v>521</v>
      </c>
      <c r="AT644" s="44">
        <v>643.0</v>
      </c>
      <c r="AU644" s="44"/>
      <c r="AW644" s="93"/>
      <c r="AY644" s="93"/>
      <c r="AZ644" s="93"/>
      <c r="BA644" s="93"/>
      <c r="BB644" s="155"/>
      <c r="BC644" s="93"/>
      <c r="BE644" s="93"/>
      <c r="BG644" s="93"/>
      <c r="BH644" s="93"/>
      <c r="BI644" s="93"/>
      <c r="BJ644" s="155"/>
      <c r="BK644" s="93"/>
    </row>
    <row r="645">
      <c r="A645" s="166">
        <v>44469.97066619213</v>
      </c>
      <c r="B645" s="44" t="s">
        <v>92</v>
      </c>
      <c r="C645" s="128">
        <v>883.9630095075612</v>
      </c>
      <c r="D645" s="128">
        <v>31.0</v>
      </c>
      <c r="E645" s="128">
        <v>885.984382341415</v>
      </c>
      <c r="F645" s="44" t="s">
        <v>112</v>
      </c>
      <c r="G645" s="128">
        <v>907.7832912300364</v>
      </c>
      <c r="H645" s="128">
        <v>29.0</v>
      </c>
      <c r="I645" s="128">
        <v>909.4150666787127</v>
      </c>
      <c r="J645" s="44" t="s">
        <v>110</v>
      </c>
      <c r="K645" s="128">
        <v>977.9628301411922</v>
      </c>
      <c r="L645" s="128">
        <v>25.0</v>
      </c>
      <c r="M645" s="128">
        <v>978.7916053742803</v>
      </c>
      <c r="N645" s="44" t="s">
        <v>61</v>
      </c>
      <c r="O645" s="128">
        <v>1060.5458412665637</v>
      </c>
      <c r="P645" s="128">
        <v>34.0</v>
      </c>
      <c r="Q645" s="128">
        <v>1062.7672071853538</v>
      </c>
      <c r="R645" s="44" t="s">
        <v>23</v>
      </c>
      <c r="S645" s="128">
        <v>1256.078045046512</v>
      </c>
      <c r="T645" s="128">
        <v>41.0</v>
      </c>
      <c r="U645" s="128">
        <v>1259.3747556121036</v>
      </c>
      <c r="V645" s="44" t="s">
        <v>123</v>
      </c>
      <c r="W645" s="128">
        <v>790.747740113109</v>
      </c>
      <c r="X645" s="128">
        <v>34.0</v>
      </c>
      <c r="Y645" s="128">
        <v>789.644047539927</v>
      </c>
      <c r="Z645" s="44" t="s">
        <v>34</v>
      </c>
      <c r="AA645" s="128">
        <v>941.7955749475148</v>
      </c>
      <c r="AB645" s="128">
        <v>34.0</v>
      </c>
      <c r="AC645" s="128">
        <v>940.3041533153412</v>
      </c>
      <c r="AD645" s="44" t="s">
        <v>27</v>
      </c>
      <c r="AE645" s="128">
        <v>1040.5684430735434</v>
      </c>
      <c r="AF645" s="128">
        <v>20.0</v>
      </c>
      <c r="AG645" s="128">
        <v>1036.595879561494</v>
      </c>
      <c r="AH645" s="44" t="s">
        <v>47</v>
      </c>
      <c r="AI645" s="128">
        <v>1100.7555193660774</v>
      </c>
      <c r="AJ645" s="128">
        <v>28.0</v>
      </c>
      <c r="AK645" s="128">
        <v>1098.0621713960343</v>
      </c>
      <c r="AL645" s="44" t="s">
        <v>35</v>
      </c>
      <c r="AM645" s="128">
        <v>1200.2381559331966</v>
      </c>
      <c r="AN645" s="128">
        <v>40.0</v>
      </c>
      <c r="AO645" s="128">
        <v>1199.4991816206445</v>
      </c>
      <c r="AP645" s="128">
        <v>22.0</v>
      </c>
      <c r="AQ645" s="128">
        <v>20.0</v>
      </c>
      <c r="AR645" s="168" t="s">
        <v>522</v>
      </c>
      <c r="AT645" s="44">
        <v>644.0</v>
      </c>
      <c r="AU645" s="44"/>
      <c r="AW645" s="93"/>
      <c r="AY645" s="93"/>
      <c r="AZ645" s="93"/>
      <c r="BA645" s="93"/>
      <c r="BB645" s="155"/>
      <c r="BC645" s="93"/>
      <c r="BE645" s="93"/>
      <c r="BG645" s="93"/>
      <c r="BH645" s="93"/>
      <c r="BI645" s="93"/>
      <c r="BJ645" s="155"/>
      <c r="BK645" s="93"/>
    </row>
    <row r="646">
      <c r="A646" s="166">
        <v>44470.000139386575</v>
      </c>
      <c r="B646" s="44" t="s">
        <v>112</v>
      </c>
      <c r="C646" s="128">
        <v>909.4150666787127</v>
      </c>
      <c r="D646" s="128">
        <v>23.0</v>
      </c>
      <c r="E646" s="128">
        <v>920.3305312479594</v>
      </c>
      <c r="F646" s="44" t="s">
        <v>27</v>
      </c>
      <c r="G646" s="128">
        <v>1036.595879561494</v>
      </c>
      <c r="H646" s="128">
        <v>27.0</v>
      </c>
      <c r="I646" s="128">
        <v>1050.093741597816</v>
      </c>
      <c r="J646" s="44" t="s">
        <v>47</v>
      </c>
      <c r="K646" s="128">
        <v>1098.0621713960343</v>
      </c>
      <c r="L646" s="128">
        <v>19.0</v>
      </c>
      <c r="M646" s="128">
        <v>1104.6904136948062</v>
      </c>
      <c r="N646" s="44" t="s">
        <v>35</v>
      </c>
      <c r="O646" s="128">
        <v>1199.4991816206445</v>
      </c>
      <c r="P646" s="128">
        <v>22.0</v>
      </c>
      <c r="Q646" s="128">
        <v>1208.457612716304</v>
      </c>
      <c r="V646" s="44" t="s">
        <v>34</v>
      </c>
      <c r="W646" s="128">
        <v>940.3041533153412</v>
      </c>
      <c r="X646" s="128">
        <v>12.0</v>
      </c>
      <c r="Y646" s="128">
        <v>926.8807649146493</v>
      </c>
      <c r="Z646" s="44" t="s">
        <v>110</v>
      </c>
      <c r="AA646" s="128">
        <v>978.7916053742803</v>
      </c>
      <c r="AB646" s="128">
        <v>18.0</v>
      </c>
      <c r="AC646" s="128">
        <v>970.1924157566954</v>
      </c>
      <c r="AD646" s="44" t="s">
        <v>61</v>
      </c>
      <c r="AE646" s="128">
        <v>1062.7672071853538</v>
      </c>
      <c r="AF646" s="128">
        <v>13.0</v>
      </c>
      <c r="AG646" s="128">
        <v>1049.72590788781</v>
      </c>
      <c r="AH646" s="44" t="s">
        <v>23</v>
      </c>
      <c r="AI646" s="128">
        <v>1259.3747556121036</v>
      </c>
      <c r="AJ646" s="128">
        <v>23.0</v>
      </c>
      <c r="AK646" s="128">
        <v>1254.4386329279241</v>
      </c>
      <c r="AP646" s="128">
        <v>20.0</v>
      </c>
      <c r="AQ646" s="128">
        <v>8.0</v>
      </c>
      <c r="AR646" s="44" t="s">
        <v>523</v>
      </c>
      <c r="AT646" s="44">
        <v>645.0</v>
      </c>
      <c r="AU646" s="44"/>
      <c r="AW646" s="93"/>
      <c r="AY646" s="93"/>
      <c r="AZ646" s="93"/>
      <c r="BA646" s="93"/>
      <c r="BB646" s="155"/>
      <c r="BC646" s="93"/>
      <c r="BE646" s="93"/>
      <c r="BG646" s="93"/>
      <c r="BH646" s="93"/>
      <c r="BI646" s="93"/>
      <c r="BJ646" s="155"/>
      <c r="BK646" s="93"/>
    </row>
    <row r="647">
      <c r="A647" s="166">
        <v>44471.032121979166</v>
      </c>
      <c r="B647" s="44" t="s">
        <v>98</v>
      </c>
      <c r="C647" s="128">
        <v>941.5589486123356</v>
      </c>
      <c r="D647" s="128">
        <v>19.0</v>
      </c>
      <c r="E647" s="128">
        <v>938.4537105045441</v>
      </c>
      <c r="F647" s="44" t="s">
        <v>27</v>
      </c>
      <c r="G647" s="128">
        <v>1050.093741597816</v>
      </c>
      <c r="H647" s="128">
        <v>16.0</v>
      </c>
      <c r="I647" s="128">
        <v>1046.0007042938175</v>
      </c>
      <c r="J647" s="44" t="s">
        <v>23</v>
      </c>
      <c r="K647" s="128">
        <v>1254.4386329279241</v>
      </c>
      <c r="L647" s="128">
        <v>21.0</v>
      </c>
      <c r="M647" s="128">
        <v>1251.636908339714</v>
      </c>
      <c r="N647" s="44"/>
      <c r="O647" s="128"/>
      <c r="P647" s="128"/>
      <c r="Q647" s="128"/>
      <c r="V647" s="44" t="s">
        <v>112</v>
      </c>
      <c r="W647" s="128">
        <v>920.3305312479594</v>
      </c>
      <c r="X647" s="128">
        <v>6.0</v>
      </c>
      <c r="Y647" s="128">
        <v>920.4999446112855</v>
      </c>
      <c r="Z647" s="44" t="s">
        <v>47</v>
      </c>
      <c r="AA647" s="128">
        <v>1104.6904136948062</v>
      </c>
      <c r="AB647" s="128">
        <v>22.0</v>
      </c>
      <c r="AC647" s="128">
        <v>1109.0713985370853</v>
      </c>
      <c r="AD647" s="44" t="s">
        <v>35</v>
      </c>
      <c r="AE647" s="128">
        <v>1208.457612716304</v>
      </c>
      <c r="AF647" s="128">
        <v>26.0</v>
      </c>
      <c r="AG647" s="128">
        <v>1213.9072145106989</v>
      </c>
      <c r="AH647" s="44"/>
      <c r="AI647" s="128"/>
      <c r="AJ647" s="128"/>
      <c r="AK647" s="128"/>
      <c r="AP647" s="128">
        <v>13.0</v>
      </c>
      <c r="AQ647" s="128">
        <v>15.0</v>
      </c>
      <c r="AS647" s="44" t="s">
        <v>229</v>
      </c>
      <c r="AT647" s="44">
        <v>646.0</v>
      </c>
      <c r="AU647" s="44"/>
      <c r="AW647" s="93"/>
      <c r="AY647" s="93"/>
      <c r="AZ647" s="93"/>
      <c r="BA647" s="93"/>
      <c r="BB647" s="155"/>
      <c r="BC647" s="93"/>
      <c r="BE647" s="93"/>
      <c r="BG647" s="93"/>
      <c r="BH647" s="93"/>
      <c r="BI647" s="93"/>
      <c r="BJ647" s="155"/>
      <c r="BK647" s="93"/>
    </row>
    <row r="648">
      <c r="A648" s="166">
        <v>44473.933368541664</v>
      </c>
      <c r="B648" s="44" t="s">
        <v>112</v>
      </c>
      <c r="C648" s="128">
        <v>920.4999446112855</v>
      </c>
      <c r="D648" s="128">
        <v>19.0</v>
      </c>
      <c r="E648" s="128">
        <v>925.6796487072608</v>
      </c>
      <c r="F648" s="44" t="s">
        <v>27</v>
      </c>
      <c r="G648" s="128">
        <v>1046.0007042938175</v>
      </c>
      <c r="H648" s="128">
        <v>16.0</v>
      </c>
      <c r="I648" s="128">
        <v>1049.4033829562352</v>
      </c>
      <c r="J648" s="44" t="s">
        <v>35</v>
      </c>
      <c r="K648" s="128">
        <v>1213.9072145106989</v>
      </c>
      <c r="L648" s="128">
        <v>27.0</v>
      </c>
      <c r="M648" s="128">
        <v>1222.324831752306</v>
      </c>
      <c r="N648" s="44"/>
      <c r="O648" s="128"/>
      <c r="P648" s="128"/>
      <c r="Q648" s="128"/>
      <c r="V648" s="44" t="s">
        <v>110</v>
      </c>
      <c r="W648" s="128">
        <v>970.1924157566954</v>
      </c>
      <c r="X648" s="128">
        <v>19.0</v>
      </c>
      <c r="Y648" s="128">
        <v>965.7575384571239</v>
      </c>
      <c r="Z648" s="44" t="s">
        <v>61</v>
      </c>
      <c r="AA648" s="128">
        <v>1049.72590788781</v>
      </c>
      <c r="AB648" s="128">
        <v>17.0</v>
      </c>
      <c r="AC648" s="128">
        <v>1044.1887017509698</v>
      </c>
      <c r="AD648" s="44" t="s">
        <v>47</v>
      </c>
      <c r="AE648" s="128">
        <v>1109.0713985370853</v>
      </c>
      <c r="AF648" s="128">
        <v>14.0</v>
      </c>
      <c r="AG648" s="128">
        <v>1102.0434819734971</v>
      </c>
      <c r="AH648" s="44"/>
      <c r="AI648" s="128"/>
      <c r="AJ648" s="128"/>
      <c r="AK648" s="128"/>
      <c r="AP648" s="128">
        <v>16.0</v>
      </c>
      <c r="AQ648" s="128">
        <v>12.0</v>
      </c>
      <c r="AR648" s="44" t="s">
        <v>524</v>
      </c>
      <c r="AS648" s="44" t="s">
        <v>229</v>
      </c>
      <c r="AT648" s="44">
        <v>647.0</v>
      </c>
      <c r="AU648" s="44"/>
      <c r="AW648" s="93"/>
      <c r="AY648" s="93"/>
      <c r="AZ648" s="93"/>
      <c r="BA648" s="93"/>
      <c r="BB648" s="155"/>
      <c r="BC648" s="93"/>
      <c r="BE648" s="93"/>
      <c r="BG648" s="93"/>
      <c r="BH648" s="93"/>
      <c r="BI648" s="93"/>
      <c r="BJ648" s="155"/>
      <c r="BK648" s="93"/>
    </row>
    <row r="649">
      <c r="A649" s="166">
        <v>44473.958190509264</v>
      </c>
      <c r="B649" s="44" t="s">
        <v>112</v>
      </c>
      <c r="C649" s="128">
        <v>925.6796487072608</v>
      </c>
      <c r="D649" s="128">
        <v>24.0</v>
      </c>
      <c r="E649" s="128">
        <v>937.1762833796329</v>
      </c>
      <c r="F649" s="44" t="s">
        <v>61</v>
      </c>
      <c r="G649" s="128">
        <v>1044.1887017509698</v>
      </c>
      <c r="H649" s="128">
        <v>14.0</v>
      </c>
      <c r="I649" s="128">
        <v>1046.3820802678467</v>
      </c>
      <c r="J649" s="44" t="s">
        <v>35</v>
      </c>
      <c r="K649" s="128">
        <v>1222.324831752306</v>
      </c>
      <c r="L649" s="128">
        <v>32.0</v>
      </c>
      <c r="M649" s="128">
        <v>1239.6348185630568</v>
      </c>
      <c r="N649" s="44"/>
      <c r="O649" s="128"/>
      <c r="P649" s="128"/>
      <c r="Q649" s="128"/>
      <c r="V649" s="44" t="s">
        <v>110</v>
      </c>
      <c r="W649" s="128">
        <v>965.7575384571239</v>
      </c>
      <c r="X649" s="128">
        <v>5.0</v>
      </c>
      <c r="Y649" s="128">
        <v>949.0089417193374</v>
      </c>
      <c r="Z649" s="44" t="s">
        <v>27</v>
      </c>
      <c r="AA649" s="128">
        <v>1049.4033829562352</v>
      </c>
      <c r="AB649" s="128">
        <v>21.0</v>
      </c>
      <c r="AC649" s="128">
        <v>1046.1994264475059</v>
      </c>
      <c r="AD649" s="44" t="s">
        <v>47</v>
      </c>
      <c r="AE649" s="128">
        <v>1102.0434819734971</v>
      </c>
      <c r="AF649" s="128">
        <v>12.0</v>
      </c>
      <c r="AG649" s="128">
        <v>1090.996035220013</v>
      </c>
      <c r="AH649" s="44"/>
      <c r="AI649" s="128"/>
      <c r="AJ649" s="128"/>
      <c r="AK649" s="128"/>
      <c r="AP649" s="128">
        <v>21.0</v>
      </c>
      <c r="AQ649" s="128">
        <v>7.0</v>
      </c>
      <c r="AR649" s="44" t="s">
        <v>525</v>
      </c>
      <c r="AS649" s="44" t="s">
        <v>526</v>
      </c>
      <c r="AT649" s="44">
        <v>648.0</v>
      </c>
      <c r="AU649" s="44"/>
      <c r="AW649" s="93"/>
      <c r="AY649" s="93"/>
      <c r="AZ649" s="93"/>
      <c r="BA649" s="93"/>
      <c r="BB649" s="155"/>
      <c r="BC649" s="93"/>
      <c r="BE649" s="93"/>
      <c r="BG649" s="93"/>
      <c r="BH649" s="93"/>
      <c r="BI649" s="93"/>
      <c r="BJ649" s="155"/>
      <c r="BK649" s="93"/>
    </row>
    <row r="650">
      <c r="A650" s="166">
        <v>44474.00078732639</v>
      </c>
      <c r="B650" s="44" t="s">
        <v>112</v>
      </c>
      <c r="C650" s="128">
        <v>937.1762833796329</v>
      </c>
      <c r="D650" s="128">
        <v>24.0</v>
      </c>
      <c r="E650" s="128">
        <v>944.4340921202178</v>
      </c>
      <c r="F650" s="44" t="s">
        <v>110</v>
      </c>
      <c r="G650" s="128">
        <v>949.0089417193374</v>
      </c>
      <c r="H650" s="128">
        <v>18.0</v>
      </c>
      <c r="I650" s="128">
        <v>953.4772613275549</v>
      </c>
      <c r="J650" s="44" t="s">
        <v>27</v>
      </c>
      <c r="K650" s="128">
        <v>1046.1994264475059</v>
      </c>
      <c r="L650" s="128">
        <v>13.0</v>
      </c>
      <c r="M650" s="128">
        <v>1048.1282015546483</v>
      </c>
      <c r="N650" s="44" t="s">
        <v>61</v>
      </c>
      <c r="O650" s="128">
        <v>1046.3820802678467</v>
      </c>
      <c r="P650" s="128">
        <v>27.0</v>
      </c>
      <c r="Q650" s="128">
        <v>1054.727176811902</v>
      </c>
      <c r="V650" s="44" t="s">
        <v>123</v>
      </c>
      <c r="W650" s="128">
        <v>789.644047539927</v>
      </c>
      <c r="X650" s="128">
        <v>23.0</v>
      </c>
      <c r="Y650" s="128">
        <v>786.1759284470511</v>
      </c>
      <c r="Z650" s="44" t="s">
        <v>92</v>
      </c>
      <c r="AA650" s="128">
        <v>885.984382341415</v>
      </c>
      <c r="AB650" s="128">
        <v>9.0</v>
      </c>
      <c r="AC650" s="128">
        <v>875.6277385089481</v>
      </c>
      <c r="AD650" s="44" t="s">
        <v>47</v>
      </c>
      <c r="AE650" s="128">
        <v>1090.996035220013</v>
      </c>
      <c r="AF650" s="128">
        <v>14.0</v>
      </c>
      <c r="AG650" s="128">
        <v>1082.379673617098</v>
      </c>
      <c r="AH650" s="44" t="s">
        <v>35</v>
      </c>
      <c r="AI650" s="128">
        <v>1239.6348185630568</v>
      </c>
      <c r="AJ650" s="128">
        <v>34.0</v>
      </c>
      <c r="AK650" s="128">
        <v>1240.0759430913147</v>
      </c>
      <c r="AP650" s="128">
        <v>16.0</v>
      </c>
      <c r="AQ650" s="128">
        <v>12.0</v>
      </c>
      <c r="AR650" s="44" t="s">
        <v>527</v>
      </c>
      <c r="AS650" s="44" t="s">
        <v>253</v>
      </c>
      <c r="AT650" s="44">
        <v>649.0</v>
      </c>
      <c r="AU650" s="44"/>
      <c r="AW650" s="93"/>
      <c r="AY650" s="93"/>
      <c r="AZ650" s="93"/>
      <c r="BA650" s="93"/>
      <c r="BB650" s="155"/>
      <c r="BC650" s="93"/>
      <c r="BE650" s="93"/>
      <c r="BG650" s="93"/>
      <c r="BH650" s="93"/>
      <c r="BI650" s="93"/>
      <c r="BJ650" s="155"/>
      <c r="BK650" s="93"/>
    </row>
    <row r="651">
      <c r="A651" s="166">
        <v>44474.030918958335</v>
      </c>
      <c r="B651" s="44" t="s">
        <v>123</v>
      </c>
      <c r="C651" s="128">
        <v>786.1759284470511</v>
      </c>
      <c r="D651" s="128">
        <v>9.0</v>
      </c>
      <c r="E651" s="128">
        <v>787.2469462087845</v>
      </c>
      <c r="F651" s="44" t="s">
        <v>61</v>
      </c>
      <c r="G651" s="128">
        <v>1054.727176811902</v>
      </c>
      <c r="H651" s="128">
        <v>19.0</v>
      </c>
      <c r="I651" s="128">
        <v>1060.1285260825073</v>
      </c>
      <c r="J651" s="44" t="s">
        <v>35</v>
      </c>
      <c r="K651" s="128">
        <v>1240.0759430913147</v>
      </c>
      <c r="L651" s="128">
        <v>34.0</v>
      </c>
      <c r="M651" s="128">
        <v>1253.603576058976</v>
      </c>
      <c r="N651" s="44"/>
      <c r="O651" s="128"/>
      <c r="P651" s="128"/>
      <c r="Q651" s="128"/>
      <c r="V651" s="44" t="s">
        <v>110</v>
      </c>
      <c r="W651" s="128">
        <v>953.4772613275549</v>
      </c>
      <c r="X651" s="128">
        <v>18.0</v>
      </c>
      <c r="Y651" s="128">
        <v>947.7238844167623</v>
      </c>
      <c r="Z651" s="44" t="s">
        <v>27</v>
      </c>
      <c r="AA651" s="128">
        <v>1048.1282015546483</v>
      </c>
      <c r="AB651" s="128">
        <v>21.0</v>
      </c>
      <c r="AC651" s="128">
        <v>1043.8104137712376</v>
      </c>
      <c r="AD651" s="44" t="s">
        <v>47</v>
      </c>
      <c r="AE651" s="128">
        <v>1082.379673617098</v>
      </c>
      <c r="AF651" s="128">
        <v>11.0</v>
      </c>
      <c r="AG651" s="128">
        <v>1072.4508383113011</v>
      </c>
      <c r="AH651" s="44"/>
      <c r="AI651" s="128"/>
      <c r="AJ651" s="128"/>
      <c r="AK651" s="128"/>
      <c r="AP651" s="128">
        <v>17.0</v>
      </c>
      <c r="AQ651" s="128">
        <v>11.0</v>
      </c>
      <c r="AR651" s="44" t="s">
        <v>528</v>
      </c>
      <c r="AS651" s="44" t="s">
        <v>253</v>
      </c>
      <c r="AT651" s="44">
        <v>650.0</v>
      </c>
      <c r="AU651" s="44"/>
      <c r="AW651" s="93"/>
      <c r="AY651" s="93"/>
      <c r="AZ651" s="93"/>
      <c r="BA651" s="93"/>
      <c r="BB651" s="155"/>
      <c r="BC651" s="93"/>
      <c r="BE651" s="93"/>
      <c r="BG651" s="93"/>
      <c r="BH651" s="93"/>
      <c r="BI651" s="93"/>
      <c r="BJ651" s="155"/>
      <c r="BK651" s="93"/>
    </row>
    <row r="652">
      <c r="A652" s="166">
        <v>44474.935829270835</v>
      </c>
      <c r="B652" s="44" t="s">
        <v>27</v>
      </c>
      <c r="C652" s="128">
        <v>1043.8104137712376</v>
      </c>
      <c r="D652" s="128">
        <v>19.0</v>
      </c>
      <c r="E652" s="128">
        <v>1048.5600423472501</v>
      </c>
      <c r="F652" s="44" t="s">
        <v>61</v>
      </c>
      <c r="G652" s="128">
        <v>1060.1285260825073</v>
      </c>
      <c r="H652" s="128">
        <v>21.0</v>
      </c>
      <c r="I652" s="128">
        <v>1065.7919663014072</v>
      </c>
      <c r="J652" s="44" t="s">
        <v>47</v>
      </c>
      <c r="K652" s="128">
        <v>1072.4508383113011</v>
      </c>
      <c r="L652" s="128">
        <v>23.0</v>
      </c>
      <c r="M652" s="128">
        <v>1079.0377695163886</v>
      </c>
      <c r="N652" s="44"/>
      <c r="O652" s="128"/>
      <c r="P652" s="128"/>
      <c r="Q652" s="128"/>
      <c r="V652" s="44" t="s">
        <v>34</v>
      </c>
      <c r="W652" s="128">
        <v>926.8807649146493</v>
      </c>
      <c r="X652" s="128">
        <v>7.0</v>
      </c>
      <c r="Y652" s="128">
        <v>917.7328544723428</v>
      </c>
      <c r="Z652" s="44" t="s">
        <v>112</v>
      </c>
      <c r="AA652" s="128">
        <v>944.4340921202178</v>
      </c>
      <c r="AB652" s="128">
        <v>10.0</v>
      </c>
      <c r="AC652" s="128">
        <v>936.6587892005168</v>
      </c>
      <c r="AD652" s="44" t="s">
        <v>35</v>
      </c>
      <c r="AE652" s="128">
        <v>1253.603576058976</v>
      </c>
      <c r="AF652" s="128">
        <v>27.0</v>
      </c>
      <c r="AG652" s="128">
        <v>1253.5267894209833</v>
      </c>
      <c r="AH652" s="44"/>
      <c r="AI652" s="128"/>
      <c r="AJ652" s="128"/>
      <c r="AK652" s="128"/>
      <c r="AP652" s="128">
        <v>17.0</v>
      </c>
      <c r="AQ652" s="128">
        <v>11.0</v>
      </c>
      <c r="AR652" s="44" t="s">
        <v>529</v>
      </c>
      <c r="AS652" s="44" t="s">
        <v>229</v>
      </c>
      <c r="AT652" s="44">
        <v>651.0</v>
      </c>
      <c r="AU652" s="44"/>
      <c r="AW652" s="93"/>
      <c r="AY652" s="93"/>
      <c r="AZ652" s="93"/>
      <c r="BA652" s="93"/>
      <c r="BB652" s="155"/>
      <c r="BC652" s="93"/>
      <c r="BE652" s="93"/>
      <c r="BG652" s="93"/>
      <c r="BH652" s="93"/>
      <c r="BI652" s="93"/>
      <c r="BJ652" s="155"/>
      <c r="BK652" s="93"/>
    </row>
    <row r="653">
      <c r="A653" s="166">
        <v>44474.969153576385</v>
      </c>
      <c r="B653" s="44" t="s">
        <v>92</v>
      </c>
      <c r="C653" s="128">
        <v>875.6277385089481</v>
      </c>
      <c r="D653" s="128">
        <v>13.0</v>
      </c>
      <c r="E653" s="128">
        <v>876.9011912346691</v>
      </c>
      <c r="F653" s="44" t="s">
        <v>27</v>
      </c>
      <c r="G653" s="128">
        <v>1048.5600423472501</v>
      </c>
      <c r="H653" s="128">
        <v>21.0</v>
      </c>
      <c r="I653" s="128">
        <v>1051.2722977000446</v>
      </c>
      <c r="J653" s="44" t="s">
        <v>61</v>
      </c>
      <c r="K653" s="128">
        <v>1065.7919663014072</v>
      </c>
      <c r="L653" s="128">
        <v>19.0</v>
      </c>
      <c r="M653" s="128">
        <v>1068.0744665698114</v>
      </c>
      <c r="N653" s="44" t="s">
        <v>47</v>
      </c>
      <c r="O653" s="128">
        <v>1079.0377695163886</v>
      </c>
      <c r="P653" s="128">
        <v>26.0</v>
      </c>
      <c r="Q653" s="128">
        <v>1082.769561169469</v>
      </c>
      <c r="V653" s="44" t="s">
        <v>34</v>
      </c>
      <c r="W653" s="128">
        <v>917.7328544723428</v>
      </c>
      <c r="X653" s="128">
        <v>15.0</v>
      </c>
      <c r="Y653" s="128">
        <v>914.4742671574033</v>
      </c>
      <c r="Z653" s="44" t="s">
        <v>112</v>
      </c>
      <c r="AA653" s="128">
        <v>936.6587892005168</v>
      </c>
      <c r="AB653" s="128">
        <v>23.0</v>
      </c>
      <c r="AC653" s="128">
        <v>935.0387909029114</v>
      </c>
      <c r="AD653" s="44" t="s">
        <v>110</v>
      </c>
      <c r="AE653" s="128">
        <v>947.7238844167623</v>
      </c>
      <c r="AF653" s="128">
        <v>13.0</v>
      </c>
      <c r="AG653" s="128">
        <v>944.0051663009879</v>
      </c>
      <c r="AH653" s="44" t="s">
        <v>35</v>
      </c>
      <c r="AI653" s="128">
        <v>1253.5267894209833</v>
      </c>
      <c r="AJ653" s="128">
        <v>25.0</v>
      </c>
      <c r="AK653" s="128">
        <v>1252.1240931493026</v>
      </c>
      <c r="AP653" s="128">
        <v>15.0</v>
      </c>
      <c r="AQ653" s="128">
        <v>13.0</v>
      </c>
      <c r="AT653" s="44">
        <v>652.0</v>
      </c>
      <c r="AU653" s="44"/>
      <c r="AW653" s="93"/>
      <c r="AY653" s="93"/>
      <c r="AZ653" s="93"/>
      <c r="BA653" s="93"/>
      <c r="BB653" s="155"/>
      <c r="BC653" s="93"/>
      <c r="BE653" s="93"/>
      <c r="BG653" s="93"/>
      <c r="BH653" s="93"/>
      <c r="BI653" s="93"/>
      <c r="BJ653" s="155"/>
      <c r="BK653" s="93"/>
    </row>
    <row r="654">
      <c r="A654" s="166">
        <v>44474.99702314815</v>
      </c>
      <c r="B654" s="44" t="s">
        <v>27</v>
      </c>
      <c r="C654" s="128">
        <v>1051.2722977000446</v>
      </c>
      <c r="D654" s="128">
        <v>15.0</v>
      </c>
      <c r="E654" s="128">
        <v>1046.2889989583741</v>
      </c>
      <c r="F654" s="44" t="s">
        <v>61</v>
      </c>
      <c r="G654" s="128">
        <v>1068.0744665698114</v>
      </c>
      <c r="H654" s="128">
        <v>15.0</v>
      </c>
      <c r="I654" s="128">
        <v>1063.0731614397034</v>
      </c>
      <c r="J654" s="44" t="s">
        <v>47</v>
      </c>
      <c r="K654" s="128">
        <v>1082.769561169469</v>
      </c>
      <c r="L654" s="128">
        <v>24.0</v>
      </c>
      <c r="M654" s="128">
        <v>1080.7541650412475</v>
      </c>
      <c r="N654" s="44"/>
      <c r="O654" s="128"/>
      <c r="P654" s="128"/>
      <c r="Q654" s="128"/>
      <c r="V654" s="44" t="s">
        <v>112</v>
      </c>
      <c r="W654" s="128">
        <v>935.0387909029114</v>
      </c>
      <c r="X654" s="128">
        <v>17.0</v>
      </c>
      <c r="Y654" s="128">
        <v>938.5946956505409</v>
      </c>
      <c r="Z654" s="44" t="s">
        <v>110</v>
      </c>
      <c r="AA654" s="128">
        <v>944.0051663009879</v>
      </c>
      <c r="AB654" s="128">
        <v>15.0</v>
      </c>
      <c r="AC654" s="128">
        <v>946.8747256299123</v>
      </c>
      <c r="AD654" s="44" t="s">
        <v>35</v>
      </c>
      <c r="AE654" s="128">
        <v>1252.1240931493026</v>
      </c>
      <c r="AF654" s="128">
        <v>24.0</v>
      </c>
      <c r="AG654" s="128">
        <v>1257.6986290727486</v>
      </c>
      <c r="AH654" s="44"/>
      <c r="AI654" s="128"/>
      <c r="AJ654" s="128"/>
      <c r="AK654" s="128"/>
      <c r="AP654" s="128">
        <v>13.0</v>
      </c>
      <c r="AQ654" s="128">
        <v>15.0</v>
      </c>
      <c r="AR654" s="44" t="s">
        <v>530</v>
      </c>
      <c r="AS654" s="44" t="s">
        <v>497</v>
      </c>
      <c r="AT654" s="44">
        <v>653.0</v>
      </c>
      <c r="AU654" s="44"/>
      <c r="AW654" s="93"/>
      <c r="AY654" s="93"/>
      <c r="AZ654" s="93"/>
      <c r="BA654" s="93"/>
      <c r="BB654" s="155"/>
      <c r="BC654" s="93"/>
      <c r="BE654" s="93"/>
      <c r="BG654" s="93"/>
      <c r="BH654" s="93"/>
      <c r="BI654" s="93"/>
      <c r="BJ654" s="155"/>
      <c r="BK654" s="93"/>
    </row>
    <row r="655">
      <c r="A655" s="166">
        <v>44476.92870884259</v>
      </c>
      <c r="B655" s="44" t="s">
        <v>92</v>
      </c>
      <c r="C655" s="128">
        <v>876.9011912346691</v>
      </c>
      <c r="D655" s="128">
        <v>19.0</v>
      </c>
      <c r="E655" s="128">
        <v>877.0076400689242</v>
      </c>
      <c r="F655" s="44" t="s">
        <v>34</v>
      </c>
      <c r="G655" s="128">
        <v>914.4742671574033</v>
      </c>
      <c r="H655" s="128">
        <v>20.0</v>
      </c>
      <c r="I655" s="128">
        <v>914.5964395295931</v>
      </c>
      <c r="J655" s="44" t="s">
        <v>35</v>
      </c>
      <c r="K655" s="128">
        <v>1257.6986290727486</v>
      </c>
      <c r="L655" s="128">
        <v>45.0</v>
      </c>
      <c r="M655" s="128">
        <v>1258.4700078663038</v>
      </c>
      <c r="N655" s="44"/>
      <c r="O655" s="128"/>
      <c r="P655" s="128"/>
      <c r="Q655" s="128"/>
      <c r="V655" s="44" t="s">
        <v>110</v>
      </c>
      <c r="W655" s="128">
        <v>946.8747256299123</v>
      </c>
      <c r="X655" s="128">
        <v>27.0</v>
      </c>
      <c r="Y655" s="128">
        <v>946.5648986345569</v>
      </c>
      <c r="Z655" s="44" t="s">
        <v>27</v>
      </c>
      <c r="AA655" s="128">
        <v>1046.2889989583741</v>
      </c>
      <c r="AB655" s="128">
        <v>28.0</v>
      </c>
      <c r="AC655" s="128">
        <v>1045.9877956063167</v>
      </c>
      <c r="AD655" s="44" t="s">
        <v>47</v>
      </c>
      <c r="AE655" s="128">
        <v>1080.7541650412475</v>
      </c>
      <c r="AF655" s="128">
        <v>25.0</v>
      </c>
      <c r="AG655" s="128">
        <v>1080.3651953886604</v>
      </c>
      <c r="AH655" s="44"/>
      <c r="AI655" s="128"/>
      <c r="AJ655" s="128"/>
      <c r="AK655" s="128"/>
      <c r="AP655" s="128">
        <v>21.0</v>
      </c>
      <c r="AQ655" s="128">
        <v>21.0</v>
      </c>
      <c r="AR655" s="44" t="s">
        <v>531</v>
      </c>
      <c r="AS655" s="44" t="s">
        <v>229</v>
      </c>
      <c r="AT655" s="44">
        <v>654.0</v>
      </c>
      <c r="AU655" s="44"/>
      <c r="AW655" s="93"/>
      <c r="AY655" s="93"/>
      <c r="AZ655" s="93"/>
      <c r="BA655" s="93"/>
      <c r="BB655" s="155"/>
      <c r="BC655" s="93"/>
      <c r="BE655" s="93"/>
      <c r="BG655" s="93"/>
      <c r="BH655" s="93"/>
      <c r="BI655" s="93"/>
      <c r="BJ655" s="155"/>
      <c r="BK655" s="93"/>
    </row>
    <row r="656">
      <c r="A656" s="166">
        <v>44476.99077523148</v>
      </c>
      <c r="B656" s="44" t="s">
        <v>34</v>
      </c>
      <c r="C656" s="128">
        <v>914.5964395295931</v>
      </c>
      <c r="D656" s="128">
        <v>19.0</v>
      </c>
      <c r="E656" s="128">
        <v>905.1473821395113</v>
      </c>
      <c r="F656" s="44" t="s">
        <v>112</v>
      </c>
      <c r="G656" s="128">
        <v>938.5946956505409</v>
      </c>
      <c r="H656" s="128">
        <v>34.0</v>
      </c>
      <c r="I656" s="128">
        <v>935.9080011757196</v>
      </c>
      <c r="J656" s="44" t="s">
        <v>27</v>
      </c>
      <c r="K656" s="128">
        <v>1045.9877956063167</v>
      </c>
      <c r="L656" s="128">
        <v>29.0</v>
      </c>
      <c r="M656" s="128">
        <v>1040.636392061669</v>
      </c>
      <c r="N656" s="44" t="s">
        <v>47</v>
      </c>
      <c r="O656" s="128">
        <v>1080.3651953886604</v>
      </c>
      <c r="P656" s="128">
        <v>31.0</v>
      </c>
      <c r="Q656" s="128">
        <v>1075.852350798211</v>
      </c>
      <c r="V656" s="44" t="s">
        <v>123</v>
      </c>
      <c r="W656" s="128">
        <v>787.2469462087845</v>
      </c>
      <c r="X656" s="128">
        <v>15.0</v>
      </c>
      <c r="Y656" s="128">
        <v>785.9437413406033</v>
      </c>
      <c r="Z656" s="44" t="s">
        <v>110</v>
      </c>
      <c r="AA656" s="128">
        <v>946.5648986345569</v>
      </c>
      <c r="AB656" s="128">
        <v>36.0</v>
      </c>
      <c r="AC656" s="128">
        <v>953.8135685791818</v>
      </c>
      <c r="AD656" s="44" t="s">
        <v>107</v>
      </c>
      <c r="AE656" s="128">
        <v>955.7804812811476</v>
      </c>
      <c r="AF656" s="128">
        <v>32.0</v>
      </c>
      <c r="AG656" s="128">
        <v>961.1509890078858</v>
      </c>
      <c r="AH656" s="44" t="s">
        <v>35</v>
      </c>
      <c r="AI656" s="128">
        <v>1258.4700078663038</v>
      </c>
      <c r="AJ656" s="128">
        <v>45.0</v>
      </c>
      <c r="AK656" s="128">
        <v>1269.154035063122</v>
      </c>
      <c r="AP656" s="128">
        <v>18.0</v>
      </c>
      <c r="AQ656" s="128">
        <v>24.0</v>
      </c>
      <c r="AR656" s="44" t="s">
        <v>532</v>
      </c>
      <c r="AS656" s="44" t="s">
        <v>533</v>
      </c>
      <c r="AT656" s="44">
        <v>655.0</v>
      </c>
      <c r="AU656" s="44"/>
      <c r="AW656" s="93"/>
      <c r="AY656" s="93"/>
      <c r="AZ656" s="93"/>
      <c r="BA656" s="93"/>
      <c r="BB656" s="155"/>
      <c r="BC656" s="93"/>
      <c r="BE656" s="93"/>
      <c r="BG656" s="93"/>
      <c r="BH656" s="93"/>
      <c r="BI656" s="93"/>
      <c r="BJ656" s="155"/>
      <c r="BK656" s="93"/>
    </row>
    <row r="657">
      <c r="A657" s="166">
        <v>44477.01699892362</v>
      </c>
      <c r="B657" s="44" t="s">
        <v>112</v>
      </c>
      <c r="C657" s="128">
        <v>935.9080011757196</v>
      </c>
      <c r="D657" s="128">
        <v>13.0</v>
      </c>
      <c r="E657" s="128">
        <v>937.5253361696014</v>
      </c>
      <c r="F657" s="44" t="s">
        <v>35</v>
      </c>
      <c r="G657" s="128">
        <v>1269.154035063122</v>
      </c>
      <c r="H657" s="128">
        <v>25.0</v>
      </c>
      <c r="I657" s="128">
        <v>1273.5367000692402</v>
      </c>
      <c r="J657" s="44"/>
      <c r="K657" s="128"/>
      <c r="L657" s="128"/>
      <c r="M657" s="128"/>
      <c r="N657" s="44"/>
      <c r="O657" s="128"/>
      <c r="P657" s="128"/>
      <c r="Q657" s="128"/>
      <c r="V657" s="44" t="s">
        <v>107</v>
      </c>
      <c r="W657" s="128">
        <v>961.1509890078858</v>
      </c>
      <c r="X657" s="128">
        <v>14.0</v>
      </c>
      <c r="Y657" s="128">
        <v>957.4570243428245</v>
      </c>
      <c r="Z657" s="44" t="s">
        <v>47</v>
      </c>
      <c r="AA657" s="128">
        <v>1075.852350798211</v>
      </c>
      <c r="AB657" s="128">
        <v>20.0</v>
      </c>
      <c r="AC657" s="128">
        <v>1073.5463154632723</v>
      </c>
      <c r="AD657" s="44"/>
      <c r="AE657" s="128"/>
      <c r="AF657" s="128"/>
      <c r="AG657" s="128"/>
      <c r="AH657" s="44"/>
      <c r="AI657" s="128"/>
      <c r="AJ657" s="128"/>
      <c r="AK657" s="128"/>
      <c r="AP657" s="128">
        <v>15.0</v>
      </c>
      <c r="AQ657" s="128">
        <v>13.0</v>
      </c>
      <c r="AR657" s="44" t="s">
        <v>534</v>
      </c>
      <c r="AS657" s="44" t="s">
        <v>229</v>
      </c>
      <c r="AT657" s="44">
        <v>656.0</v>
      </c>
      <c r="AU657" s="44"/>
      <c r="AW657" s="93"/>
      <c r="AY657" s="93"/>
      <c r="AZ657" s="93"/>
      <c r="BA657" s="93"/>
      <c r="BB657" s="155"/>
      <c r="BC657" s="93"/>
      <c r="BE657" s="93"/>
      <c r="BG657" s="93"/>
      <c r="BH657" s="93"/>
      <c r="BI657" s="93"/>
      <c r="BJ657" s="155"/>
      <c r="BK657" s="93"/>
    </row>
    <row r="658">
      <c r="A658" s="166">
        <v>44477.9184575463</v>
      </c>
      <c r="B658" s="44" t="s">
        <v>107</v>
      </c>
      <c r="C658" s="128">
        <v>957.4570243428245</v>
      </c>
      <c r="D658" s="128">
        <v>18.0</v>
      </c>
      <c r="E658" s="128">
        <v>957.4670243428245</v>
      </c>
      <c r="F658" s="44" t="s">
        <v>47</v>
      </c>
      <c r="G658" s="128">
        <v>1073.5463154632723</v>
      </c>
      <c r="H658" s="128">
        <v>26.0</v>
      </c>
      <c r="I658" s="128">
        <v>1073.5563154632723</v>
      </c>
      <c r="J658" s="44" t="s">
        <v>23</v>
      </c>
      <c r="K658" s="128">
        <v>1251.636908339714</v>
      </c>
      <c r="L658" s="128">
        <v>16.0</v>
      </c>
      <c r="M658" s="128">
        <v>1251.646908339714</v>
      </c>
      <c r="N658" s="44"/>
      <c r="O658" s="128"/>
      <c r="P658" s="128"/>
      <c r="Q658" s="128"/>
      <c r="V658" s="44" t="s">
        <v>110</v>
      </c>
      <c r="W658" s="128">
        <v>953.8135685791818</v>
      </c>
      <c r="X658" s="128">
        <v>17.0</v>
      </c>
      <c r="Y658" s="128">
        <v>953.8135685791818</v>
      </c>
      <c r="Z658" s="44" t="s">
        <v>61</v>
      </c>
      <c r="AA658" s="128">
        <v>1063.0731614397034</v>
      </c>
      <c r="AB658" s="128">
        <v>18.0</v>
      </c>
      <c r="AC658" s="128">
        <v>1063.0731614397034</v>
      </c>
      <c r="AD658" s="44" t="s">
        <v>35</v>
      </c>
      <c r="AE658" s="128">
        <v>1273.5367000692402</v>
      </c>
      <c r="AF658" s="128">
        <v>22.0</v>
      </c>
      <c r="AG658" s="128">
        <v>1273.5367000692402</v>
      </c>
      <c r="AH658" s="44"/>
      <c r="AI658" s="128"/>
      <c r="AJ658" s="128"/>
      <c r="AK658" s="128"/>
      <c r="AP658" s="128">
        <v>14.0</v>
      </c>
      <c r="AQ658" s="128">
        <v>14.0</v>
      </c>
      <c r="AR658" s="44" t="s">
        <v>535</v>
      </c>
      <c r="AS658" s="44" t="s">
        <v>232</v>
      </c>
      <c r="AT658" s="44">
        <v>657.0</v>
      </c>
      <c r="AU658" s="44"/>
      <c r="AW658" s="93"/>
      <c r="AY658" s="93"/>
      <c r="AZ658" s="93"/>
      <c r="BA658" s="93"/>
      <c r="BB658" s="155"/>
      <c r="BC658" s="93"/>
      <c r="BE658" s="93"/>
      <c r="BG658" s="93"/>
      <c r="BH658" s="93"/>
      <c r="BI658" s="93"/>
      <c r="BJ658" s="155"/>
      <c r="BK658" s="93"/>
    </row>
    <row r="659">
      <c r="A659" s="166">
        <v>44477.96047815972</v>
      </c>
      <c r="B659" s="44" t="s">
        <v>107</v>
      </c>
      <c r="C659" s="128">
        <v>957.4670243428245</v>
      </c>
      <c r="D659" s="128">
        <v>8.0</v>
      </c>
      <c r="E659" s="128">
        <v>951.717844421186</v>
      </c>
      <c r="F659" s="44" t="s">
        <v>61</v>
      </c>
      <c r="G659" s="128">
        <v>1063.0731614397034</v>
      </c>
      <c r="H659" s="128">
        <v>23.0</v>
      </c>
      <c r="I659" s="128">
        <v>1060.95197445972</v>
      </c>
      <c r="J659" s="44" t="s">
        <v>47</v>
      </c>
      <c r="K659" s="128">
        <v>1073.5563154632723</v>
      </c>
      <c r="L659" s="128">
        <v>27.0</v>
      </c>
      <c r="M659" s="128">
        <v>1072.426682364894</v>
      </c>
      <c r="N659" s="44"/>
      <c r="O659" s="128"/>
      <c r="P659" s="128"/>
      <c r="Q659" s="128"/>
      <c r="V659" s="44" t="s">
        <v>98</v>
      </c>
      <c r="W659" s="128">
        <v>938.4537105045441</v>
      </c>
      <c r="X659" s="128">
        <v>13.0</v>
      </c>
      <c r="Y659" s="128">
        <v>939.8744787272832</v>
      </c>
      <c r="Z659" s="44" t="s">
        <v>110</v>
      </c>
      <c r="AA659" s="128">
        <v>953.8135685791818</v>
      </c>
      <c r="AB659" s="128">
        <v>24.0</v>
      </c>
      <c r="AC659" s="128">
        <v>957.9595598838747</v>
      </c>
      <c r="AD659" s="44" t="s">
        <v>23</v>
      </c>
      <c r="AE659" s="128">
        <v>1251.646908339714</v>
      </c>
      <c r="AF659" s="128">
        <v>22.0</v>
      </c>
      <c r="AG659" s="128">
        <v>1255.080148812282</v>
      </c>
      <c r="AH659" s="44"/>
      <c r="AI659" s="128"/>
      <c r="AJ659" s="128"/>
      <c r="AK659" s="128"/>
      <c r="AP659" s="128">
        <v>13.0</v>
      </c>
      <c r="AQ659" s="128">
        <v>15.0</v>
      </c>
      <c r="AT659" s="44">
        <v>658.0</v>
      </c>
      <c r="AU659" s="44"/>
      <c r="AW659" s="93"/>
      <c r="AY659" s="93"/>
      <c r="AZ659" s="93"/>
      <c r="BA659" s="93"/>
      <c r="BB659" s="155"/>
      <c r="BC659" s="93"/>
      <c r="BE659" s="93"/>
      <c r="BG659" s="93"/>
      <c r="BH659" s="93"/>
      <c r="BI659" s="93"/>
      <c r="BJ659" s="155"/>
      <c r="BK659" s="93"/>
    </row>
    <row r="660">
      <c r="A660" s="166">
        <v>44477.99865873843</v>
      </c>
      <c r="B660" s="44" t="s">
        <v>98</v>
      </c>
      <c r="C660" s="128">
        <v>939.8744787272832</v>
      </c>
      <c r="D660" s="128">
        <v>20.0</v>
      </c>
      <c r="E660" s="128">
        <v>934.3119041947939</v>
      </c>
      <c r="F660" s="44" t="s">
        <v>107</v>
      </c>
      <c r="G660" s="128">
        <v>951.717844421186</v>
      </c>
      <c r="H660" s="128">
        <v>10.0</v>
      </c>
      <c r="I660" s="128">
        <v>939.7241981165471</v>
      </c>
      <c r="J660" s="44" t="s">
        <v>23</v>
      </c>
      <c r="K660" s="128">
        <v>1255.080148812282</v>
      </c>
      <c r="L660" s="128">
        <v>21.0</v>
      </c>
      <c r="M660" s="128">
        <v>1249.6363696494102</v>
      </c>
      <c r="N660" s="44"/>
      <c r="O660" s="128"/>
      <c r="P660" s="128"/>
      <c r="Q660" s="128"/>
      <c r="V660" s="44" t="s">
        <v>110</v>
      </c>
      <c r="W660" s="128">
        <v>957.9595598838747</v>
      </c>
      <c r="X660" s="128">
        <v>11.0</v>
      </c>
      <c r="Y660" s="128">
        <v>960.3040811154551</v>
      </c>
      <c r="Z660" s="44" t="s">
        <v>61</v>
      </c>
      <c r="AA660" s="128">
        <v>1060.95197445972</v>
      </c>
      <c r="AB660" s="128">
        <v>24.0</v>
      </c>
      <c r="AC660" s="128">
        <v>1071.2918549184662</v>
      </c>
      <c r="AD660" s="44" t="s">
        <v>47</v>
      </c>
      <c r="AE660" s="128">
        <v>1072.426682364894</v>
      </c>
      <c r="AF660" s="128">
        <v>24.0</v>
      </c>
      <c r="AG660" s="128">
        <v>1082.7422806745676</v>
      </c>
      <c r="AH660" s="44"/>
      <c r="AI660" s="128"/>
      <c r="AJ660" s="128"/>
      <c r="AK660" s="128"/>
      <c r="AP660" s="128">
        <v>11.0</v>
      </c>
      <c r="AQ660" s="128">
        <v>17.0</v>
      </c>
      <c r="AT660" s="44">
        <v>659.0</v>
      </c>
      <c r="AU660" s="44"/>
      <c r="AW660" s="93"/>
      <c r="AY660" s="93"/>
      <c r="AZ660" s="93"/>
      <c r="BA660" s="93"/>
      <c r="BB660" s="155"/>
      <c r="BC660" s="93"/>
      <c r="BE660" s="93"/>
      <c r="BG660" s="93"/>
      <c r="BH660" s="93"/>
      <c r="BI660" s="93"/>
      <c r="BJ660" s="155"/>
      <c r="BK660" s="93"/>
    </row>
    <row r="661">
      <c r="A661" s="166">
        <v>44478.04411646991</v>
      </c>
      <c r="B661" s="44" t="s">
        <v>98</v>
      </c>
      <c r="C661" s="128">
        <v>934.3119041947939</v>
      </c>
      <c r="D661" s="128">
        <v>23.0</v>
      </c>
      <c r="E661" s="128">
        <v>943.370598479443</v>
      </c>
      <c r="F661" s="44" t="s">
        <v>112</v>
      </c>
      <c r="G661" s="128">
        <v>937.5253361696014</v>
      </c>
      <c r="H661" s="128">
        <v>19.0</v>
      </c>
      <c r="I661" s="128">
        <v>943.7892171203412</v>
      </c>
      <c r="J661" s="44" t="s">
        <v>23</v>
      </c>
      <c r="K661" s="128">
        <v>1249.6363696494102</v>
      </c>
      <c r="L661" s="128">
        <v>25.0</v>
      </c>
      <c r="M661" s="128">
        <v>1259.3137944140212</v>
      </c>
      <c r="N661" s="44"/>
      <c r="O661" s="128"/>
      <c r="P661" s="128"/>
      <c r="Q661" s="128"/>
      <c r="V661" s="44" t="s">
        <v>107</v>
      </c>
      <c r="W661" s="128">
        <v>939.7241981165471</v>
      </c>
      <c r="X661" s="128">
        <v>17.0</v>
      </c>
      <c r="Y661" s="128">
        <v>933.6069743238588</v>
      </c>
      <c r="Z661" s="44" t="s">
        <v>110</v>
      </c>
      <c r="AA661" s="128">
        <v>960.3040811154551</v>
      </c>
      <c r="AB661" s="128">
        <v>7.0</v>
      </c>
      <c r="AC661" s="128">
        <v>947.1779600749011</v>
      </c>
      <c r="AD661" s="44" t="s">
        <v>47</v>
      </c>
      <c r="AE661" s="128">
        <v>1082.7422806745676</v>
      </c>
      <c r="AF661" s="128">
        <v>18.0</v>
      </c>
      <c r="AG661" s="128">
        <v>1076.9856255078098</v>
      </c>
      <c r="AH661" s="44"/>
      <c r="AI661" s="128"/>
      <c r="AJ661" s="128"/>
      <c r="AK661" s="128"/>
      <c r="AP661" s="128">
        <v>21.0</v>
      </c>
      <c r="AQ661" s="128">
        <v>7.0</v>
      </c>
      <c r="AS661" s="44" t="s">
        <v>271</v>
      </c>
      <c r="AT661" s="44">
        <v>660.0</v>
      </c>
      <c r="AU661" s="44"/>
      <c r="AW661" s="93"/>
      <c r="AY661" s="93"/>
      <c r="AZ661" s="93"/>
      <c r="BA661" s="93"/>
      <c r="BB661" s="155"/>
      <c r="BC661" s="93"/>
      <c r="BE661" s="93"/>
      <c r="BG661" s="93"/>
      <c r="BH661" s="93"/>
      <c r="BI661" s="93"/>
      <c r="BJ661" s="155"/>
      <c r="BK661" s="93"/>
    </row>
    <row r="662">
      <c r="A662" s="166">
        <v>44478.069049432874</v>
      </c>
      <c r="B662" s="44" t="s">
        <v>107</v>
      </c>
      <c r="C662" s="128">
        <v>933.6069743238588</v>
      </c>
      <c r="D662" s="128">
        <v>22.0</v>
      </c>
      <c r="E662" s="128">
        <v>937.993265244195</v>
      </c>
      <c r="F662" s="44" t="s">
        <v>98</v>
      </c>
      <c r="G662" s="128">
        <v>943.370598479443</v>
      </c>
      <c r="H662" s="128">
        <v>17.0</v>
      </c>
      <c r="I662" s="128">
        <v>946.2090770929591</v>
      </c>
      <c r="J662" s="44" t="s">
        <v>23</v>
      </c>
      <c r="K662" s="128">
        <v>1259.3137944140212</v>
      </c>
      <c r="L662" s="128">
        <v>21.0</v>
      </c>
      <c r="M662" s="128">
        <v>1263.0890248801688</v>
      </c>
      <c r="N662" s="44"/>
      <c r="O662" s="128"/>
      <c r="P662" s="128"/>
      <c r="Q662" s="128"/>
      <c r="V662" s="44" t="s">
        <v>112</v>
      </c>
      <c r="W662" s="128">
        <v>943.7892171203412</v>
      </c>
      <c r="X662" s="128">
        <v>14.0</v>
      </c>
      <c r="Y662" s="128">
        <v>939.8675413259965</v>
      </c>
      <c r="Z662" s="44" t="s">
        <v>110</v>
      </c>
      <c r="AA662" s="128">
        <v>947.1779600749011</v>
      </c>
      <c r="AB662" s="128">
        <v>9.0</v>
      </c>
      <c r="AC662" s="128">
        <v>941.7234283077033</v>
      </c>
      <c r="AD662" s="44" t="s">
        <v>47</v>
      </c>
      <c r="AE662" s="128">
        <v>1076.9856255078098</v>
      </c>
      <c r="AF662" s="128">
        <v>22.0</v>
      </c>
      <c r="AG662" s="128">
        <v>1075.3618330693523</v>
      </c>
      <c r="AH662" s="44"/>
      <c r="AI662" s="128"/>
      <c r="AJ662" s="128"/>
      <c r="AK662" s="128"/>
      <c r="AP662" s="128">
        <v>18.0</v>
      </c>
      <c r="AQ662" s="128">
        <v>10.0</v>
      </c>
      <c r="AS662" s="44" t="s">
        <v>408</v>
      </c>
      <c r="AT662" s="44">
        <v>661.0</v>
      </c>
      <c r="AU662" s="44"/>
      <c r="AW662" s="93"/>
      <c r="AY662" s="93"/>
      <c r="AZ662" s="93"/>
      <c r="BA662" s="93"/>
      <c r="BB662" s="155"/>
      <c r="BC662" s="93"/>
      <c r="BE662" s="93"/>
      <c r="BG662" s="93"/>
      <c r="BH662" s="93"/>
      <c r="BI662" s="93"/>
      <c r="BJ662" s="155"/>
      <c r="BK662" s="93"/>
    </row>
    <row r="663">
      <c r="A663" s="166">
        <v>44478.150300925925</v>
      </c>
      <c r="B663" s="44" t="s">
        <v>34</v>
      </c>
      <c r="C663" s="128">
        <v>905.1473821395113</v>
      </c>
      <c r="D663" s="128">
        <v>25.0</v>
      </c>
      <c r="E663" s="128">
        <v>899.9037792196052</v>
      </c>
      <c r="F663" s="44" t="s">
        <v>107</v>
      </c>
      <c r="G663" s="128">
        <v>937.993265244195</v>
      </c>
      <c r="H663" s="128">
        <v>29.0</v>
      </c>
      <c r="I663" s="128">
        <v>933.6466564495076</v>
      </c>
      <c r="J663" s="44" t="s">
        <v>47</v>
      </c>
      <c r="K663" s="128">
        <v>1075.3618330693523</v>
      </c>
      <c r="L663" s="128">
        <v>45.0</v>
      </c>
      <c r="M663" s="128">
        <v>1074.722801476197</v>
      </c>
      <c r="N663" s="44" t="s">
        <v>23</v>
      </c>
      <c r="O663" s="128">
        <v>1263.0890248801688</v>
      </c>
      <c r="P663" s="128">
        <v>41.0</v>
      </c>
      <c r="Q663" s="128">
        <v>1261.3182681879175</v>
      </c>
      <c r="V663" s="44" t="s">
        <v>112</v>
      </c>
      <c r="W663" s="128">
        <v>939.8675413259965</v>
      </c>
      <c r="X663" s="128">
        <v>28.0</v>
      </c>
      <c r="Y663" s="128">
        <v>941.0440145367938</v>
      </c>
      <c r="Z663" s="44" t="s">
        <v>110</v>
      </c>
      <c r="AA663" s="128">
        <v>941.7234283077033</v>
      </c>
      <c r="AB663" s="128">
        <v>35.0</v>
      </c>
      <c r="AC663" s="128">
        <v>944.6443862085945</v>
      </c>
      <c r="AD663" s="44" t="s">
        <v>98</v>
      </c>
      <c r="AE663" s="128">
        <v>946.2090770929591</v>
      </c>
      <c r="AF663" s="128">
        <v>32.0</v>
      </c>
      <c r="AG663" s="128">
        <v>948.3668842851118</v>
      </c>
      <c r="AH663" s="44" t="s">
        <v>35</v>
      </c>
      <c r="AI663" s="128">
        <v>1273.5367000692402</v>
      </c>
      <c r="AJ663" s="128">
        <v>48.0</v>
      </c>
      <c r="AK663" s="128">
        <v>1279.2814617653992</v>
      </c>
      <c r="AP663" s="128">
        <v>27.0</v>
      </c>
      <c r="AQ663" s="128">
        <v>29.0</v>
      </c>
      <c r="AR663" s="44" t="s">
        <v>536</v>
      </c>
      <c r="AS663" s="44" t="s">
        <v>537</v>
      </c>
      <c r="AT663" s="44">
        <v>662.0</v>
      </c>
      <c r="AU663" s="44"/>
      <c r="AW663" s="93"/>
      <c r="AY663" s="93"/>
      <c r="AZ663" s="93"/>
      <c r="BA663" s="93"/>
      <c r="BB663" s="155"/>
      <c r="BC663" s="93"/>
      <c r="BE663" s="93"/>
      <c r="BG663" s="93"/>
      <c r="BH663" s="93"/>
      <c r="BI663" s="93"/>
      <c r="BJ663" s="155"/>
      <c r="BK663" s="93"/>
    </row>
    <row r="664">
      <c r="A664" s="166">
        <v>44478.91674728009</v>
      </c>
      <c r="B664" s="44" t="s">
        <v>107</v>
      </c>
      <c r="C664" s="128">
        <v>933.6466564495076</v>
      </c>
      <c r="D664" s="128">
        <v>8.0</v>
      </c>
      <c r="E664" s="128">
        <v>911.8613941389625</v>
      </c>
      <c r="F664" s="44" t="s">
        <v>112</v>
      </c>
      <c r="G664" s="128">
        <v>941.0440145367938</v>
      </c>
      <c r="H664" s="128">
        <v>12.0</v>
      </c>
      <c r="I664" s="128">
        <v>924.2164224563528</v>
      </c>
      <c r="J664" s="44" t="s">
        <v>23</v>
      </c>
      <c r="K664" s="128">
        <v>1261.3182681879175</v>
      </c>
      <c r="L664" s="128">
        <v>21.0</v>
      </c>
      <c r="M664" s="128">
        <v>1254.9311225789036</v>
      </c>
      <c r="N664" s="44"/>
      <c r="O664" s="128"/>
      <c r="P664" s="128"/>
      <c r="Q664" s="128"/>
      <c r="V664" s="44" t="s">
        <v>110</v>
      </c>
      <c r="W664" s="128">
        <v>944.6443862085945</v>
      </c>
      <c r="X664" s="128">
        <v>19.0</v>
      </c>
      <c r="Y664" s="128">
        <v>956.046793252051</v>
      </c>
      <c r="Z664" s="44" t="s">
        <v>61</v>
      </c>
      <c r="AA664" s="128">
        <v>1071.2918549184662</v>
      </c>
      <c r="AB664" s="128">
        <v>25.0</v>
      </c>
      <c r="AC664" s="128">
        <v>1089.3483306614091</v>
      </c>
      <c r="AD664" s="44" t="s">
        <v>47</v>
      </c>
      <c r="AE664" s="128">
        <v>1074.722801476197</v>
      </c>
      <c r="AF664" s="128">
        <v>23.0</v>
      </c>
      <c r="AG664" s="128">
        <v>1090.2639186897975</v>
      </c>
      <c r="AH664" s="44"/>
      <c r="AI664" s="128"/>
      <c r="AJ664" s="128"/>
      <c r="AK664" s="128"/>
      <c r="AP664" s="128">
        <v>7.0</v>
      </c>
      <c r="AQ664" s="128">
        <v>21.0</v>
      </c>
      <c r="AS664" s="44" t="s">
        <v>229</v>
      </c>
      <c r="AT664" s="44">
        <v>663.0</v>
      </c>
      <c r="AU664" s="44"/>
      <c r="AW664" s="93"/>
      <c r="AY664" s="93"/>
      <c r="AZ664" s="93"/>
      <c r="BA664" s="93"/>
      <c r="BB664" s="155"/>
      <c r="BC664" s="93"/>
      <c r="BE664" s="93"/>
      <c r="BG664" s="93"/>
      <c r="BH664" s="93"/>
      <c r="BI664" s="93"/>
      <c r="BJ664" s="155"/>
      <c r="BK664" s="93"/>
    </row>
    <row r="665">
      <c r="A665" s="166">
        <v>44478.95967145833</v>
      </c>
      <c r="B665" s="44" t="s">
        <v>107</v>
      </c>
      <c r="C665" s="128">
        <v>911.8613941389625</v>
      </c>
      <c r="D665" s="128">
        <v>16.0</v>
      </c>
      <c r="E665" s="128">
        <v>922.5299102753746</v>
      </c>
      <c r="F665" s="44" t="s">
        <v>110</v>
      </c>
      <c r="G665" s="128">
        <v>956.046793252051</v>
      </c>
      <c r="H665" s="128">
        <v>9.0</v>
      </c>
      <c r="I665" s="128">
        <v>959.0384663549918</v>
      </c>
      <c r="J665" s="44" t="s">
        <v>23</v>
      </c>
      <c r="K665" s="128">
        <v>1254.9311225789036</v>
      </c>
      <c r="L665" s="128">
        <v>30.0</v>
      </c>
      <c r="M665" s="128">
        <v>1279.2709333395505</v>
      </c>
      <c r="N665" s="44"/>
      <c r="O665" s="128"/>
      <c r="P665" s="128"/>
      <c r="Q665" s="128"/>
      <c r="V665" s="44" t="s">
        <v>112</v>
      </c>
      <c r="W665" s="128">
        <v>924.2164224563528</v>
      </c>
      <c r="X665" s="128">
        <v>18.0</v>
      </c>
      <c r="Y665" s="128">
        <v>916.1632865691712</v>
      </c>
      <c r="Z665" s="44" t="s">
        <v>61</v>
      </c>
      <c r="AA665" s="128">
        <v>1089.3483306614091</v>
      </c>
      <c r="AB665" s="128">
        <v>10.0</v>
      </c>
      <c r="AC665" s="128">
        <v>1072.264750089115</v>
      </c>
      <c r="AD665" s="44" t="s">
        <v>47</v>
      </c>
      <c r="AE665" s="128">
        <v>1090.2639186897975</v>
      </c>
      <c r="AF665" s="128">
        <v>14.0</v>
      </c>
      <c r="AG665" s="128">
        <v>1077.400635149273</v>
      </c>
      <c r="AH665" s="44"/>
      <c r="AI665" s="128"/>
      <c r="AJ665" s="128"/>
      <c r="AK665" s="128"/>
      <c r="AP665" s="128">
        <v>20.0</v>
      </c>
      <c r="AQ665" s="128">
        <v>8.0</v>
      </c>
      <c r="AS665" s="44" t="s">
        <v>266</v>
      </c>
      <c r="AT665" s="44">
        <v>664.0</v>
      </c>
      <c r="AU665" s="44"/>
      <c r="AW665" s="93"/>
      <c r="AY665" s="93"/>
      <c r="AZ665" s="93"/>
      <c r="BA665" s="93"/>
      <c r="BB665" s="155"/>
      <c r="BC665" s="93"/>
      <c r="BE665" s="93"/>
      <c r="BG665" s="93"/>
      <c r="BH665" s="93"/>
      <c r="BI665" s="93"/>
      <c r="BJ665" s="155"/>
      <c r="BK665" s="93"/>
    </row>
    <row r="666">
      <c r="A666" s="166">
        <v>44479.015291296295</v>
      </c>
      <c r="B666" s="44" t="s">
        <v>112</v>
      </c>
      <c r="C666" s="128">
        <v>916.1632865691712</v>
      </c>
      <c r="D666" s="128">
        <v>13.0</v>
      </c>
      <c r="E666" s="128">
        <v>917.8732071671609</v>
      </c>
      <c r="F666" s="44" t="s">
        <v>107</v>
      </c>
      <c r="G666" s="128">
        <v>922.5299102753746</v>
      </c>
      <c r="H666" s="128">
        <v>20.0</v>
      </c>
      <c r="I666" s="128">
        <v>926.7507850014803</v>
      </c>
      <c r="J666" s="44" t="s">
        <v>23</v>
      </c>
      <c r="K666" s="128">
        <v>1279.2709333395505</v>
      </c>
      <c r="L666" s="128">
        <v>29.0</v>
      </c>
      <c r="M666" s="128">
        <v>1286.340138015455</v>
      </c>
      <c r="N666" s="44"/>
      <c r="O666" s="128"/>
      <c r="P666" s="128"/>
      <c r="Q666" s="128"/>
      <c r="V666" s="44" t="s">
        <v>98</v>
      </c>
      <c r="W666" s="128">
        <v>948.3668842851118</v>
      </c>
      <c r="X666" s="128">
        <v>11.0</v>
      </c>
      <c r="Y666" s="128">
        <v>942.5298856109462</v>
      </c>
      <c r="Z666" s="44" t="s">
        <v>110</v>
      </c>
      <c r="AA666" s="128">
        <v>959.0384663549918</v>
      </c>
      <c r="AB666" s="128">
        <v>18.0</v>
      </c>
      <c r="AC666" s="128">
        <v>955.7111363587582</v>
      </c>
      <c r="AD666" s="44" t="s">
        <v>47</v>
      </c>
      <c r="AE666" s="128">
        <v>1077.400635149273</v>
      </c>
      <c r="AF666" s="128">
        <v>17.0</v>
      </c>
      <c r="AG666" s="128">
        <v>1073.5649638196724</v>
      </c>
      <c r="AH666" s="44"/>
      <c r="AI666" s="128"/>
      <c r="AJ666" s="128"/>
      <c r="AK666" s="128"/>
      <c r="AP666" s="128">
        <v>17.0</v>
      </c>
      <c r="AQ666" s="128">
        <v>11.0</v>
      </c>
      <c r="AS666" s="44" t="s">
        <v>229</v>
      </c>
      <c r="AT666" s="44">
        <v>665.0</v>
      </c>
      <c r="AU666" s="44"/>
      <c r="AW666" s="93"/>
      <c r="AY666" s="93"/>
      <c r="AZ666" s="93"/>
      <c r="BA666" s="93"/>
      <c r="BB666" s="155"/>
      <c r="BC666" s="93"/>
      <c r="BE666" s="93"/>
      <c r="BG666" s="93"/>
      <c r="BH666" s="93"/>
      <c r="BI666" s="93"/>
      <c r="BJ666" s="155"/>
      <c r="BK666" s="93"/>
    </row>
    <row r="667">
      <c r="A667" s="166">
        <v>44479.05374725694</v>
      </c>
      <c r="B667" s="44" t="s">
        <v>34</v>
      </c>
      <c r="C667" s="128">
        <v>899.9037792196052</v>
      </c>
      <c r="D667" s="128">
        <v>16.0</v>
      </c>
      <c r="E667" s="128">
        <v>902.1350823868191</v>
      </c>
      <c r="F667" s="44" t="s">
        <v>112</v>
      </c>
      <c r="G667" s="128">
        <v>917.8732071671609</v>
      </c>
      <c r="H667" s="128">
        <v>20.0</v>
      </c>
      <c r="I667" s="128">
        <v>921.4956976780273</v>
      </c>
      <c r="J667" s="44" t="s">
        <v>23</v>
      </c>
      <c r="K667" s="128">
        <v>1286.340138015455</v>
      </c>
      <c r="L667" s="128">
        <v>31.0</v>
      </c>
      <c r="M667" s="128">
        <v>1293.4863443373747</v>
      </c>
      <c r="N667" s="44"/>
      <c r="O667" s="128"/>
      <c r="P667" s="128"/>
      <c r="Q667" s="128"/>
      <c r="V667" s="44" t="s">
        <v>98</v>
      </c>
      <c r="W667" s="128">
        <v>942.5298856109462</v>
      </c>
      <c r="X667" s="128">
        <v>12.0</v>
      </c>
      <c r="Y667" s="128">
        <v>936.2249686414484</v>
      </c>
      <c r="Z667" s="44" t="s">
        <v>110</v>
      </c>
      <c r="AA667" s="128">
        <v>955.7111363587582</v>
      </c>
      <c r="AB667" s="128">
        <v>17.0</v>
      </c>
      <c r="AC667" s="128">
        <v>951.1855793028164</v>
      </c>
      <c r="AD667" s="44" t="s">
        <v>47</v>
      </c>
      <c r="AE667" s="128">
        <v>1073.5649638196724</v>
      </c>
      <c r="AF667" s="128">
        <v>24.0</v>
      </c>
      <c r="AG667" s="128">
        <v>1071.3954378451117</v>
      </c>
      <c r="AH667" s="44"/>
      <c r="AI667" s="128"/>
      <c r="AJ667" s="128"/>
      <c r="AK667" s="128"/>
      <c r="AP667" s="128">
        <v>16.0</v>
      </c>
      <c r="AQ667" s="128">
        <v>12.0</v>
      </c>
      <c r="AS667" s="44" t="s">
        <v>538</v>
      </c>
      <c r="AT667" s="44">
        <v>666.0</v>
      </c>
      <c r="AU667" s="44"/>
      <c r="AW667" s="93"/>
      <c r="AY667" s="93"/>
      <c r="AZ667" s="93"/>
      <c r="BA667" s="93"/>
      <c r="BB667" s="155"/>
      <c r="BC667" s="93"/>
      <c r="BE667" s="93"/>
      <c r="BG667" s="93"/>
      <c r="BH667" s="93"/>
      <c r="BI667" s="93"/>
      <c r="BJ667" s="155"/>
      <c r="BK667" s="93"/>
    </row>
    <row r="668">
      <c r="A668" s="166">
        <v>44479.92729479166</v>
      </c>
      <c r="B668" s="44" t="s">
        <v>123</v>
      </c>
      <c r="C668" s="128">
        <v>785.9437413406033</v>
      </c>
      <c r="D668" s="128">
        <v>8.0</v>
      </c>
      <c r="E668" s="128">
        <v>780.8451387209795</v>
      </c>
      <c r="F668" s="44" t="s">
        <v>27</v>
      </c>
      <c r="G668" s="128">
        <v>1040.636392061669</v>
      </c>
      <c r="H668" s="128">
        <v>16.0</v>
      </c>
      <c r="I668" s="128">
        <v>1037.3642142047029</v>
      </c>
      <c r="J668" s="44" t="s">
        <v>47</v>
      </c>
      <c r="K668" s="128">
        <v>1071.3954378451117</v>
      </c>
      <c r="L668" s="128">
        <v>22.0</v>
      </c>
      <c r="M668" s="128">
        <v>1069.7662183217017</v>
      </c>
      <c r="N668" s="44"/>
      <c r="O668" s="128"/>
      <c r="P668" s="128"/>
      <c r="Q668" s="128"/>
      <c r="V668" s="44" t="s">
        <v>92</v>
      </c>
      <c r="W668" s="128">
        <v>877.0076400689242</v>
      </c>
      <c r="X668" s="128">
        <v>17.0</v>
      </c>
      <c r="Y668" s="128">
        <v>879.8502286686668</v>
      </c>
      <c r="Z668" s="44" t="s">
        <v>112</v>
      </c>
      <c r="AA668" s="128">
        <v>921.4956976780273</v>
      </c>
      <c r="AB668" s="128">
        <v>19.0</v>
      </c>
      <c r="AC668" s="128">
        <v>924.8031943564655</v>
      </c>
      <c r="AD668" s="44" t="s">
        <v>35</v>
      </c>
      <c r="AE668" s="128">
        <v>1279.2814617653992</v>
      </c>
      <c r="AF668" s="128">
        <v>22.0</v>
      </c>
      <c r="AG668" s="128">
        <v>1283.1313764872184</v>
      </c>
      <c r="AH668" s="44"/>
      <c r="AI668" s="128"/>
      <c r="AJ668" s="128"/>
      <c r="AK668" s="128"/>
      <c r="AP668" s="128">
        <v>12.0</v>
      </c>
      <c r="AQ668" s="128">
        <v>16.0</v>
      </c>
      <c r="AR668" s="44" t="s">
        <v>539</v>
      </c>
      <c r="AS668" s="44" t="s">
        <v>229</v>
      </c>
      <c r="AT668" s="44">
        <v>667.0</v>
      </c>
      <c r="AU668" s="44"/>
      <c r="AW668" s="93"/>
      <c r="AY668" s="93"/>
      <c r="AZ668" s="93"/>
      <c r="BA668" s="93"/>
      <c r="BB668" s="155"/>
      <c r="BC668" s="93"/>
      <c r="BE668" s="93"/>
      <c r="BG668" s="93"/>
      <c r="BH668" s="93"/>
      <c r="BI668" s="93"/>
      <c r="BJ668" s="155"/>
      <c r="BK668" s="93"/>
    </row>
    <row r="669">
      <c r="A669" s="166">
        <v>44479.972715254626</v>
      </c>
      <c r="B669" s="44" t="s">
        <v>123</v>
      </c>
      <c r="C669" s="128">
        <v>780.8451387209795</v>
      </c>
      <c r="D669" s="128">
        <v>5.0</v>
      </c>
      <c r="E669" s="128">
        <v>780.8551387209795</v>
      </c>
      <c r="F669" s="44" t="s">
        <v>112</v>
      </c>
      <c r="G669" s="128">
        <v>924.8031943564655</v>
      </c>
      <c r="H669" s="128">
        <v>27.0</v>
      </c>
      <c r="I669" s="128">
        <v>945.1040930617281</v>
      </c>
      <c r="J669" s="44" t="s">
        <v>35</v>
      </c>
      <c r="K669" s="128">
        <v>1283.1313764872184</v>
      </c>
      <c r="L669" s="128">
        <v>30.0</v>
      </c>
      <c r="M669" s="128">
        <v>1305.5501185064759</v>
      </c>
      <c r="N669" s="44"/>
      <c r="O669" s="128"/>
      <c r="P669" s="128"/>
      <c r="Q669" s="128"/>
      <c r="V669" s="44" t="s">
        <v>92</v>
      </c>
      <c r="W669" s="128">
        <v>879.8502286686668</v>
      </c>
      <c r="X669" s="128">
        <v>11.0</v>
      </c>
      <c r="Y669" s="128">
        <v>862.2518132371683</v>
      </c>
      <c r="Z669" s="44" t="s">
        <v>27</v>
      </c>
      <c r="AA669" s="128">
        <v>1037.3642142047029</v>
      </c>
      <c r="AB669" s="128">
        <v>14.0</v>
      </c>
      <c r="AC669" s="128">
        <v>1022.3235625454524</v>
      </c>
      <c r="AD669" s="44" t="s">
        <v>47</v>
      </c>
      <c r="AE669" s="128">
        <v>1069.7662183217017</v>
      </c>
      <c r="AF669" s="128">
        <v>21.0</v>
      </c>
      <c r="AG669" s="128">
        <v>1062.4052854124504</v>
      </c>
      <c r="AH669" s="44"/>
      <c r="AI669" s="128"/>
      <c r="AJ669" s="128"/>
      <c r="AK669" s="128"/>
      <c r="AP669" s="128">
        <v>19.0</v>
      </c>
      <c r="AQ669" s="128">
        <v>9.0</v>
      </c>
      <c r="AR669" s="44" t="s">
        <v>540</v>
      </c>
      <c r="AS669" s="44" t="s">
        <v>280</v>
      </c>
      <c r="AT669" s="44">
        <v>668.0</v>
      </c>
      <c r="AU669" s="44"/>
      <c r="AW669" s="93"/>
      <c r="AY669" s="93"/>
      <c r="AZ669" s="93"/>
      <c r="BA669" s="93"/>
      <c r="BB669" s="155"/>
      <c r="BC669" s="93"/>
      <c r="BE669" s="93"/>
      <c r="BG669" s="93"/>
      <c r="BH669" s="93"/>
      <c r="BI669" s="93"/>
      <c r="BJ669" s="155"/>
      <c r="BK669" s="93"/>
    </row>
    <row r="670">
      <c r="A670" s="166">
        <v>44480.01529195602</v>
      </c>
      <c r="B670" s="44" t="s">
        <v>123</v>
      </c>
      <c r="C670" s="128">
        <v>780.8551387209795</v>
      </c>
      <c r="D670" s="128">
        <v>7.0</v>
      </c>
      <c r="E670" s="128">
        <v>770.098300444569</v>
      </c>
      <c r="F670" s="44" t="s">
        <v>107</v>
      </c>
      <c r="G670" s="128">
        <v>926.7507850014803</v>
      </c>
      <c r="H670" s="128">
        <v>13.0</v>
      </c>
      <c r="I670" s="128">
        <v>918.6321981871596</v>
      </c>
      <c r="J670" s="44" t="s">
        <v>35</v>
      </c>
      <c r="K670" s="128">
        <v>1305.5501185064759</v>
      </c>
      <c r="L670" s="128">
        <v>29.0</v>
      </c>
      <c r="M670" s="128">
        <v>1305.425543597207</v>
      </c>
      <c r="N670" s="44"/>
      <c r="O670" s="128"/>
      <c r="P670" s="128"/>
      <c r="Q670" s="128"/>
      <c r="V670" s="44" t="s">
        <v>112</v>
      </c>
      <c r="W670" s="128">
        <v>945.1040930617281</v>
      </c>
      <c r="X670" s="128">
        <v>23.0</v>
      </c>
      <c r="Y670" s="128">
        <v>953.1838932340448</v>
      </c>
      <c r="Z670" s="44" t="s">
        <v>27</v>
      </c>
      <c r="AA670" s="128">
        <v>1022.3235625454524</v>
      </c>
      <c r="AB670" s="128">
        <v>16.0</v>
      </c>
      <c r="AC670" s="128">
        <v>1026.5036572529843</v>
      </c>
      <c r="AD670" s="44" t="s">
        <v>47</v>
      </c>
      <c r="AE670" s="128">
        <v>1062.4052854124504</v>
      </c>
      <c r="AF670" s="128">
        <v>21.0</v>
      </c>
      <c r="AG670" s="128">
        <v>1069.1453905326018</v>
      </c>
      <c r="AH670" s="44"/>
      <c r="AI670" s="128"/>
      <c r="AJ670" s="128"/>
      <c r="AK670" s="128"/>
      <c r="AP670" s="128">
        <v>11.0</v>
      </c>
      <c r="AQ670" s="128">
        <v>17.0</v>
      </c>
      <c r="AR670" s="44" t="s">
        <v>541</v>
      </c>
      <c r="AS670" s="44" t="s">
        <v>290</v>
      </c>
      <c r="AT670" s="44">
        <v>669.0</v>
      </c>
      <c r="AU670" s="44"/>
      <c r="AW670" s="93"/>
      <c r="AY670" s="93"/>
      <c r="AZ670" s="93"/>
      <c r="BA670" s="93"/>
      <c r="BB670" s="155"/>
      <c r="BC670" s="93"/>
      <c r="BE670" s="93"/>
      <c r="BG670" s="93"/>
      <c r="BH670" s="93"/>
      <c r="BI670" s="93"/>
      <c r="BJ670" s="155"/>
      <c r="BK670" s="93"/>
    </row>
    <row r="671">
      <c r="A671" s="166">
        <v>44480.932501076386</v>
      </c>
      <c r="B671" s="44" t="s">
        <v>110</v>
      </c>
      <c r="C671" s="128">
        <v>951.1855793028164</v>
      </c>
      <c r="D671" s="128">
        <v>18.0</v>
      </c>
      <c r="E671" s="128">
        <v>948.3342621947613</v>
      </c>
      <c r="F671" s="44" t="s">
        <v>27</v>
      </c>
      <c r="G671" s="128">
        <v>1026.5036572529843</v>
      </c>
      <c r="H671" s="128">
        <v>14.0</v>
      </c>
      <c r="I671" s="128">
        <v>1022.5712341178315</v>
      </c>
      <c r="J671" s="44" t="s">
        <v>47</v>
      </c>
      <c r="K671" s="128">
        <v>1069.1453905326018</v>
      </c>
      <c r="L671" s="128">
        <v>21.0</v>
      </c>
      <c r="M671" s="128">
        <v>1066.9291307758099</v>
      </c>
      <c r="N671" s="44"/>
      <c r="O671" s="128"/>
      <c r="P671" s="128"/>
      <c r="Q671" s="128"/>
      <c r="V671" s="44" t="s">
        <v>92</v>
      </c>
      <c r="W671" s="128">
        <v>862.2518132371683</v>
      </c>
      <c r="X671" s="128">
        <v>7.0</v>
      </c>
      <c r="Y671" s="128">
        <v>862.5641802113922</v>
      </c>
      <c r="Z671" s="44" t="s">
        <v>107</v>
      </c>
      <c r="AA671" s="128">
        <v>918.6321981871596</v>
      </c>
      <c r="AB671" s="128">
        <v>10.0</v>
      </c>
      <c r="AC671" s="128">
        <v>919.5999738214298</v>
      </c>
      <c r="AD671" s="44" t="s">
        <v>35</v>
      </c>
      <c r="AE671" s="128">
        <v>1305.425543597207</v>
      </c>
      <c r="AF671" s="128">
        <v>38.0</v>
      </c>
      <c r="AG671" s="128">
        <v>1313.145400988713</v>
      </c>
      <c r="AH671" s="44"/>
      <c r="AI671" s="128"/>
      <c r="AJ671" s="128"/>
      <c r="AK671" s="128"/>
      <c r="AP671" s="128">
        <v>13.0</v>
      </c>
      <c r="AQ671" s="128">
        <v>15.0</v>
      </c>
      <c r="AR671" s="44" t="s">
        <v>542</v>
      </c>
      <c r="AS671" s="44" t="s">
        <v>538</v>
      </c>
      <c r="AT671" s="44">
        <v>670.0</v>
      </c>
      <c r="AU671" s="44"/>
      <c r="AW671" s="93"/>
      <c r="AY671" s="93"/>
      <c r="AZ671" s="93"/>
      <c r="BA671" s="93"/>
      <c r="BB671" s="155"/>
      <c r="BC671" s="93"/>
      <c r="BE671" s="93"/>
      <c r="BG671" s="93"/>
      <c r="BH671" s="93"/>
      <c r="BI671" s="93"/>
      <c r="BJ671" s="155"/>
      <c r="BK671" s="93"/>
    </row>
    <row r="672">
      <c r="A672" s="166">
        <v>44480.96944642361</v>
      </c>
      <c r="B672" s="44" t="s">
        <v>110</v>
      </c>
      <c r="C672" s="128">
        <v>948.3342621947613</v>
      </c>
      <c r="D672" s="128">
        <v>13.0</v>
      </c>
      <c r="E672" s="128">
        <v>941.4406062215678</v>
      </c>
      <c r="F672" s="44" t="s">
        <v>112</v>
      </c>
      <c r="G672" s="128">
        <v>953.1838932340448</v>
      </c>
      <c r="H672" s="128">
        <v>24.0</v>
      </c>
      <c r="I672" s="128">
        <v>950.8632607677488</v>
      </c>
      <c r="J672" s="44" t="s">
        <v>27</v>
      </c>
      <c r="K672" s="128">
        <v>1022.5712341178315</v>
      </c>
      <c r="L672" s="128">
        <v>22.0</v>
      </c>
      <c r="M672" s="128">
        <v>1019.2917179275771</v>
      </c>
      <c r="N672" s="44" t="s">
        <v>47</v>
      </c>
      <c r="O672" s="128">
        <v>1066.9291307758099</v>
      </c>
      <c r="P672" s="128">
        <v>12.0</v>
      </c>
      <c r="Q672" s="128">
        <v>1059.4229354055537</v>
      </c>
      <c r="V672" s="44" t="s">
        <v>92</v>
      </c>
      <c r="W672" s="128">
        <v>862.5641802113922</v>
      </c>
      <c r="X672" s="128">
        <v>14.0</v>
      </c>
      <c r="Y672" s="128">
        <v>864.2812290704169</v>
      </c>
      <c r="Z672" s="44" t="s">
        <v>34</v>
      </c>
      <c r="AA672" s="128">
        <v>902.1350823868191</v>
      </c>
      <c r="AB672" s="128">
        <v>19.0</v>
      </c>
      <c r="AC672" s="128">
        <v>905.7962869836723</v>
      </c>
      <c r="AD672" s="44" t="s">
        <v>107</v>
      </c>
      <c r="AE672" s="128">
        <v>919.5999738214298</v>
      </c>
      <c r="AF672" s="128">
        <v>13.0</v>
      </c>
      <c r="AG672" s="128">
        <v>920.7055132471704</v>
      </c>
      <c r="AH672" s="44" t="s">
        <v>35</v>
      </c>
      <c r="AI672" s="128">
        <v>1313.145400988713</v>
      </c>
      <c r="AJ672" s="128">
        <v>44.0</v>
      </c>
      <c r="AK672" s="128">
        <v>1326.6616081070945</v>
      </c>
      <c r="AP672" s="128">
        <v>10.0</v>
      </c>
      <c r="AQ672" s="128">
        <v>18.0</v>
      </c>
      <c r="AS672" s="44" t="s">
        <v>293</v>
      </c>
      <c r="AT672" s="44">
        <v>671.0</v>
      </c>
      <c r="AU672" s="44"/>
      <c r="AW672" s="93"/>
      <c r="AY672" s="93"/>
      <c r="AZ672" s="93"/>
      <c r="BA672" s="93"/>
      <c r="BB672" s="155"/>
      <c r="BC672" s="93"/>
      <c r="BE672" s="93"/>
      <c r="BG672" s="93"/>
      <c r="BH672" s="93"/>
      <c r="BI672" s="93"/>
      <c r="BJ672" s="155"/>
      <c r="BK672" s="93"/>
    </row>
    <row r="673">
      <c r="A673" s="166">
        <v>44481.01573116898</v>
      </c>
      <c r="B673" s="44" t="s">
        <v>112</v>
      </c>
      <c r="C673" s="128">
        <v>950.8632607677488</v>
      </c>
      <c r="D673" s="128">
        <v>16.0</v>
      </c>
      <c r="E673" s="128">
        <v>951.3229040269906</v>
      </c>
      <c r="F673" s="44" t="s">
        <v>27</v>
      </c>
      <c r="G673" s="128">
        <v>1019.2917179275771</v>
      </c>
      <c r="H673" s="128">
        <v>16.0</v>
      </c>
      <c r="I673" s="128">
        <v>1019.7327268615113</v>
      </c>
      <c r="J673" s="44" t="s">
        <v>47</v>
      </c>
      <c r="K673" s="128">
        <v>1059.4229354055537</v>
      </c>
      <c r="L673" s="128">
        <v>28.0</v>
      </c>
      <c r="M673" s="128">
        <v>1060.5222832123777</v>
      </c>
      <c r="N673" s="44"/>
      <c r="O673" s="128"/>
      <c r="P673" s="128"/>
      <c r="Q673" s="128"/>
      <c r="V673" s="44" t="s">
        <v>92</v>
      </c>
      <c r="W673" s="128">
        <v>864.2812290704169</v>
      </c>
      <c r="X673" s="128">
        <v>11.0</v>
      </c>
      <c r="Y673" s="128">
        <v>863.2927672870005</v>
      </c>
      <c r="Z673" s="44" t="s">
        <v>107</v>
      </c>
      <c r="AA673" s="128">
        <v>920.7055132471704</v>
      </c>
      <c r="AB673" s="128">
        <v>16.0</v>
      </c>
      <c r="AC673" s="128">
        <v>919.9754219554908</v>
      </c>
      <c r="AD673" s="44" t="s">
        <v>35</v>
      </c>
      <c r="AE673" s="128">
        <v>1326.6616081070945</v>
      </c>
      <c r="AF673" s="128">
        <v>25.0</v>
      </c>
      <c r="AG673" s="128">
        <v>1326.3801611821905</v>
      </c>
      <c r="AH673" s="44"/>
      <c r="AI673" s="128"/>
      <c r="AJ673" s="128"/>
      <c r="AK673" s="128"/>
      <c r="AP673" s="128">
        <v>14.0</v>
      </c>
      <c r="AQ673" s="128">
        <v>14.0</v>
      </c>
      <c r="AR673" s="44" t="s">
        <v>543</v>
      </c>
      <c r="AS673" s="44" t="s">
        <v>229</v>
      </c>
      <c r="AT673" s="44">
        <v>672.0</v>
      </c>
      <c r="AU673" s="44"/>
      <c r="AW673" s="93"/>
      <c r="AY673" s="93"/>
      <c r="AZ673" s="93"/>
      <c r="BA673" s="93"/>
      <c r="BB673" s="155"/>
      <c r="BC673" s="93"/>
      <c r="BE673" s="93"/>
      <c r="BG673" s="93"/>
      <c r="BH673" s="93"/>
      <c r="BI673" s="93"/>
      <c r="BJ673" s="155"/>
      <c r="BK673" s="93"/>
    </row>
    <row r="674">
      <c r="A674" s="166">
        <v>44482.912740115746</v>
      </c>
      <c r="B674" s="44" t="s">
        <v>123</v>
      </c>
      <c r="C674" s="128">
        <v>770.098300444569</v>
      </c>
      <c r="D674" s="128">
        <v>13.0</v>
      </c>
      <c r="E674" s="128">
        <v>772.0174330421431</v>
      </c>
      <c r="F674" s="44" t="s">
        <v>110</v>
      </c>
      <c r="G674" s="128">
        <v>941.4406062215678</v>
      </c>
      <c r="H674" s="128">
        <v>16.0</v>
      </c>
      <c r="I674" s="128">
        <v>944.0272194609723</v>
      </c>
      <c r="J674" s="44" t="s">
        <v>112</v>
      </c>
      <c r="K674" s="128">
        <v>951.3229040269906</v>
      </c>
      <c r="L674" s="128">
        <v>23.0</v>
      </c>
      <c r="M674" s="128">
        <v>957.0881007082804</v>
      </c>
      <c r="N674" s="44" t="s">
        <v>35</v>
      </c>
      <c r="O674" s="128">
        <v>1326.3801611821905</v>
      </c>
      <c r="P674" s="128">
        <v>37.0</v>
      </c>
      <c r="Q674" s="128">
        <v>1338.109218663922</v>
      </c>
      <c r="V674" s="44" t="s">
        <v>92</v>
      </c>
      <c r="W674" s="128">
        <v>863.2927672870005</v>
      </c>
      <c r="X674" s="128">
        <v>15.0</v>
      </c>
      <c r="Y674" s="128">
        <v>856.9605400311714</v>
      </c>
      <c r="Z674" s="44" t="s">
        <v>27</v>
      </c>
      <c r="AA674" s="128">
        <v>1019.7327268615113</v>
      </c>
      <c r="AB674" s="128">
        <v>15.0</v>
      </c>
      <c r="AC674" s="128">
        <v>1013.0281229622774</v>
      </c>
      <c r="AD674" s="44" t="s">
        <v>47</v>
      </c>
      <c r="AE674" s="128">
        <v>1060.5222832123777</v>
      </c>
      <c r="AF674" s="128">
        <v>15.0</v>
      </c>
      <c r="AG674" s="128">
        <v>1053.7565951086</v>
      </c>
      <c r="AH674" s="44" t="s">
        <v>61</v>
      </c>
      <c r="AI674" s="128">
        <v>1072.264750089115</v>
      </c>
      <c r="AJ674" s="128">
        <v>25.0</v>
      </c>
      <c r="AK674" s="128">
        <v>1070.0672693479557</v>
      </c>
      <c r="AP674" s="128">
        <v>17.0</v>
      </c>
      <c r="AQ674" s="128">
        <v>11.0</v>
      </c>
      <c r="AR674" s="44" t="s">
        <v>544</v>
      </c>
      <c r="AS674" s="44" t="s">
        <v>229</v>
      </c>
      <c r="AT674" s="44">
        <v>673.0</v>
      </c>
      <c r="AU674" s="44"/>
      <c r="AW674" s="93"/>
      <c r="AY674" s="93"/>
      <c r="AZ674" s="93"/>
      <c r="BA674" s="93"/>
      <c r="BB674" s="155"/>
      <c r="BC674" s="93"/>
      <c r="BE674" s="93"/>
      <c r="BG674" s="93"/>
      <c r="BH674" s="93"/>
      <c r="BI674" s="93"/>
      <c r="BJ674" s="155"/>
      <c r="BK674" s="93"/>
    </row>
    <row r="675">
      <c r="A675" s="166">
        <v>44482.96688413194</v>
      </c>
      <c r="B675" s="44" t="s">
        <v>123</v>
      </c>
      <c r="C675" s="128">
        <v>772.0174330421431</v>
      </c>
      <c r="D675" s="128">
        <v>11.0</v>
      </c>
      <c r="E675" s="128">
        <v>766.5589295439787</v>
      </c>
      <c r="F675" s="44" t="s">
        <v>34</v>
      </c>
      <c r="G675" s="128">
        <v>905.7962869836723</v>
      </c>
      <c r="H675" s="128">
        <v>16.0</v>
      </c>
      <c r="I675" s="128">
        <v>901.6962791536743</v>
      </c>
      <c r="J675" s="44" t="s">
        <v>110</v>
      </c>
      <c r="K675" s="128">
        <v>944.0272194609723</v>
      </c>
      <c r="L675" s="128">
        <v>17.0</v>
      </c>
      <c r="M675" s="128">
        <v>940.1940143407849</v>
      </c>
      <c r="N675" s="44" t="s">
        <v>112</v>
      </c>
      <c r="O675" s="128">
        <v>957.0881007082804</v>
      </c>
      <c r="P675" s="128">
        <v>22.0</v>
      </c>
      <c r="Q675" s="128">
        <v>954.9009997033284</v>
      </c>
      <c r="R675" s="44" t="s">
        <v>35</v>
      </c>
      <c r="S675" s="128">
        <v>1338.109218663922</v>
      </c>
      <c r="T675" s="128">
        <v>16.0</v>
      </c>
      <c r="U675" s="128">
        <v>1333.688036117224</v>
      </c>
      <c r="V675" s="44" t="s">
        <v>92</v>
      </c>
      <c r="W675" s="128">
        <v>856.9605400311714</v>
      </c>
      <c r="X675" s="128">
        <v>24.0</v>
      </c>
      <c r="Y675" s="128">
        <v>862.3451130255817</v>
      </c>
      <c r="Z675" s="44" t="s">
        <v>107</v>
      </c>
      <c r="AA675" s="128">
        <v>919.9754219554908</v>
      </c>
      <c r="AB675" s="128">
        <v>10.0</v>
      </c>
      <c r="AC675" s="128">
        <v>920.5386519401866</v>
      </c>
      <c r="AD675" s="44" t="s">
        <v>27</v>
      </c>
      <c r="AE675" s="128">
        <v>1013.0281229622774</v>
      </c>
      <c r="AF675" s="128">
        <v>27.0</v>
      </c>
      <c r="AG675" s="128">
        <v>1019.0877524030967</v>
      </c>
      <c r="AH675" s="44" t="s">
        <v>47</v>
      </c>
      <c r="AI675" s="128">
        <v>1053.7565951086</v>
      </c>
      <c r="AJ675" s="128">
        <v>15.0</v>
      </c>
      <c r="AK675" s="128">
        <v>1055.7621188490357</v>
      </c>
      <c r="AL675" s="44" t="s">
        <v>61</v>
      </c>
      <c r="AM675" s="128">
        <v>1070.0672693479557</v>
      </c>
      <c r="AN675" s="128">
        <v>27.0</v>
      </c>
      <c r="AO675" s="128">
        <v>1076.0543131875947</v>
      </c>
      <c r="AP675" s="128">
        <v>11.0</v>
      </c>
      <c r="AQ675" s="128">
        <v>17.0</v>
      </c>
      <c r="AS675" s="44" t="s">
        <v>266</v>
      </c>
      <c r="AT675" s="44">
        <v>674.0</v>
      </c>
      <c r="AU675" s="44"/>
      <c r="AW675" s="93"/>
      <c r="AY675" s="93"/>
      <c r="AZ675" s="93"/>
      <c r="BA675" s="93"/>
      <c r="BB675" s="155"/>
      <c r="BC675" s="93"/>
      <c r="BE675" s="93"/>
      <c r="BG675" s="93"/>
      <c r="BH675" s="93"/>
      <c r="BI675" s="93"/>
      <c r="BJ675" s="155"/>
      <c r="BK675" s="93"/>
    </row>
    <row r="676">
      <c r="A676" s="166">
        <v>44483.00586445602</v>
      </c>
      <c r="B676" s="44" t="s">
        <v>123</v>
      </c>
      <c r="C676" s="128">
        <v>766.5589295439787</v>
      </c>
      <c r="D676" s="128">
        <v>14.0</v>
      </c>
      <c r="E676" s="128">
        <v>769.6811254256793</v>
      </c>
      <c r="F676" s="44" t="s">
        <v>27</v>
      </c>
      <c r="G676" s="128">
        <v>1019.0877524030967</v>
      </c>
      <c r="H676" s="128">
        <v>21.0</v>
      </c>
      <c r="I676" s="128">
        <v>1024.5393469049561</v>
      </c>
      <c r="J676" s="44" t="s">
        <v>35</v>
      </c>
      <c r="K676" s="128">
        <v>1333.688036117224</v>
      </c>
      <c r="L676" s="128">
        <v>26.0</v>
      </c>
      <c r="M676" s="128">
        <v>1341.1142457336641</v>
      </c>
      <c r="N676" s="44"/>
      <c r="O676" s="128"/>
      <c r="P676" s="128"/>
      <c r="Q676" s="128"/>
      <c r="V676" s="44" t="s">
        <v>107</v>
      </c>
      <c r="W676" s="128">
        <v>920.5386519401866</v>
      </c>
      <c r="X676" s="128">
        <v>11.0</v>
      </c>
      <c r="Y676" s="128">
        <v>914.0096865580397</v>
      </c>
      <c r="Z676" s="44" t="s">
        <v>47</v>
      </c>
      <c r="AA676" s="128">
        <v>1055.7621188490357</v>
      </c>
      <c r="AB676" s="128">
        <v>16.0</v>
      </c>
      <c r="AC676" s="128">
        <v>1051.2587375036612</v>
      </c>
      <c r="AD676" s="44" t="s">
        <v>61</v>
      </c>
      <c r="AE676" s="128">
        <v>1076.0543131875947</v>
      </c>
      <c r="AF676" s="128">
        <v>15.0</v>
      </c>
      <c r="AG676" s="128">
        <v>1071.0866599151161</v>
      </c>
      <c r="AH676" s="44"/>
      <c r="AI676" s="128"/>
      <c r="AJ676" s="128"/>
      <c r="AK676" s="128"/>
      <c r="AP676" s="128">
        <v>18.0</v>
      </c>
      <c r="AQ676" s="128">
        <v>10.0</v>
      </c>
      <c r="AR676" s="44" t="s">
        <v>545</v>
      </c>
      <c r="AS676" s="44" t="s">
        <v>229</v>
      </c>
      <c r="AT676" s="44">
        <v>675.0</v>
      </c>
      <c r="AU676" s="44"/>
      <c r="AW676" s="93"/>
      <c r="AY676" s="93"/>
      <c r="AZ676" s="93"/>
      <c r="BA676" s="93"/>
      <c r="BB676" s="155"/>
      <c r="BC676" s="93"/>
      <c r="BE676" s="93"/>
      <c r="BG676" s="93"/>
      <c r="BH676" s="93"/>
      <c r="BI676" s="93"/>
      <c r="BJ676" s="155"/>
      <c r="BK676" s="93"/>
    </row>
    <row r="677">
      <c r="A677" s="166">
        <v>44483.90586509259</v>
      </c>
      <c r="B677" s="44" t="s">
        <v>123</v>
      </c>
      <c r="C677" s="128">
        <v>769.6811254256793</v>
      </c>
      <c r="D677" s="128">
        <v>15.0</v>
      </c>
      <c r="E677" s="128">
        <v>771.6050490880267</v>
      </c>
      <c r="F677" s="44" t="s">
        <v>92</v>
      </c>
      <c r="G677" s="128">
        <v>862.3451130255817</v>
      </c>
      <c r="H677" s="128">
        <v>7.0</v>
      </c>
      <c r="I677" s="128">
        <v>862.3551130255817</v>
      </c>
      <c r="J677" s="44" t="s">
        <v>35</v>
      </c>
      <c r="K677" s="128">
        <v>1341.1142457336641</v>
      </c>
      <c r="L677" s="128">
        <v>36.0</v>
      </c>
      <c r="M677" s="128">
        <v>1347.216328895337</v>
      </c>
      <c r="N677" s="44"/>
      <c r="O677" s="128"/>
      <c r="P677" s="128"/>
      <c r="Q677" s="128"/>
      <c r="V677" s="44" t="s">
        <v>110</v>
      </c>
      <c r="W677" s="128">
        <v>940.1940143407849</v>
      </c>
      <c r="X677" s="128">
        <v>12.0</v>
      </c>
      <c r="Y677" s="128">
        <v>936.6672847276395</v>
      </c>
      <c r="Z677" s="44" t="s">
        <v>112</v>
      </c>
      <c r="AA677" s="128">
        <v>954.9009997033284</v>
      </c>
      <c r="AB677" s="128">
        <v>16.0</v>
      </c>
      <c r="AC677" s="128">
        <v>952.2486802431008</v>
      </c>
      <c r="AD677" s="44" t="s">
        <v>27</v>
      </c>
      <c r="AE677" s="128">
        <v>1024.5393469049561</v>
      </c>
      <c r="AF677" s="128">
        <v>20.0</v>
      </c>
      <c r="AG677" s="128">
        <v>1022.718395978329</v>
      </c>
      <c r="AH677" s="44"/>
      <c r="AI677" s="128"/>
      <c r="AJ677" s="128"/>
      <c r="AK677" s="128"/>
      <c r="AP677" s="128">
        <v>15.0</v>
      </c>
      <c r="AQ677" s="128">
        <v>13.0</v>
      </c>
      <c r="AR677" s="44" t="s">
        <v>546</v>
      </c>
      <c r="AS677" s="44" t="s">
        <v>506</v>
      </c>
      <c r="AT677" s="44">
        <v>676.0</v>
      </c>
      <c r="AU677" s="44"/>
      <c r="AW677" s="93"/>
      <c r="AY677" s="93"/>
      <c r="AZ677" s="93"/>
      <c r="BA677" s="93"/>
      <c r="BB677" s="155"/>
      <c r="BC677" s="93"/>
      <c r="BE677" s="93"/>
      <c r="BG677" s="93"/>
      <c r="BH677" s="93"/>
      <c r="BI677" s="93"/>
      <c r="BJ677" s="155"/>
      <c r="BK677" s="93"/>
    </row>
    <row r="678">
      <c r="A678" s="166">
        <v>44483.95078449074</v>
      </c>
      <c r="B678" s="44" t="s">
        <v>92</v>
      </c>
      <c r="C678" s="128">
        <v>862.3551130255817</v>
      </c>
      <c r="D678" s="128">
        <v>15.0</v>
      </c>
      <c r="E678" s="128">
        <v>863.5319703559277</v>
      </c>
      <c r="F678" s="44" t="s">
        <v>34</v>
      </c>
      <c r="G678" s="128">
        <v>901.6962791536743</v>
      </c>
      <c r="H678" s="128">
        <v>18.0</v>
      </c>
      <c r="I678" s="128">
        <v>903.2715964505978</v>
      </c>
      <c r="J678" s="44" t="s">
        <v>121</v>
      </c>
      <c r="K678" s="128">
        <v>960.4138911109727</v>
      </c>
      <c r="L678" s="128">
        <v>11.0</v>
      </c>
      <c r="M678" s="128">
        <v>960.9191498393965</v>
      </c>
      <c r="N678" s="44" t="s">
        <v>35</v>
      </c>
      <c r="O678" s="128">
        <v>1347.216328895337</v>
      </c>
      <c r="P678" s="128">
        <v>34.0</v>
      </c>
      <c r="Q678" s="128">
        <v>1350.9588955396437</v>
      </c>
      <c r="V678" s="44" t="s">
        <v>110</v>
      </c>
      <c r="W678" s="128">
        <v>936.6672847276395</v>
      </c>
      <c r="X678" s="128">
        <v>17.0</v>
      </c>
      <c r="Y678" s="128">
        <v>934.411402197432</v>
      </c>
      <c r="Z678" s="44" t="s">
        <v>112</v>
      </c>
      <c r="AA678" s="128">
        <v>952.2486802431008</v>
      </c>
      <c r="AB678" s="128">
        <v>28.0</v>
      </c>
      <c r="AC678" s="128">
        <v>951.5838742899568</v>
      </c>
      <c r="AD678" s="44" t="s">
        <v>27</v>
      </c>
      <c r="AE678" s="128">
        <v>1022.718395978329</v>
      </c>
      <c r="AF678" s="128">
        <v>17.0</v>
      </c>
      <c r="AG678" s="128">
        <v>1020.3998252129383</v>
      </c>
      <c r="AH678" s="44" t="s">
        <v>61</v>
      </c>
      <c r="AI678" s="128">
        <v>1071.0866599151161</v>
      </c>
      <c r="AJ678" s="128">
        <v>21.0</v>
      </c>
      <c r="AK678" s="128">
        <v>1069.3259191638583</v>
      </c>
      <c r="AP678" s="128">
        <v>15.0</v>
      </c>
      <c r="AQ678" s="128">
        <v>13.0</v>
      </c>
      <c r="AR678" s="44" t="s">
        <v>547</v>
      </c>
      <c r="AS678" s="44" t="s">
        <v>231</v>
      </c>
      <c r="AT678" s="44">
        <v>677.0</v>
      </c>
      <c r="AU678" s="44"/>
      <c r="AW678" s="93"/>
      <c r="AY678" s="93"/>
      <c r="AZ678" s="93"/>
      <c r="BA678" s="93"/>
      <c r="BB678" s="155"/>
      <c r="BC678" s="93"/>
      <c r="BE678" s="93"/>
      <c r="BG678" s="93"/>
      <c r="BH678" s="93"/>
      <c r="BI678" s="93"/>
      <c r="BJ678" s="155"/>
      <c r="BK678" s="93"/>
    </row>
    <row r="679">
      <c r="A679" s="166">
        <v>44483.989338009254</v>
      </c>
      <c r="B679" s="44" t="s">
        <v>92</v>
      </c>
      <c r="C679" s="128">
        <v>863.5319703559277</v>
      </c>
      <c r="D679" s="128">
        <v>18.0</v>
      </c>
      <c r="E679" s="128">
        <v>865.1316308041806</v>
      </c>
      <c r="F679" s="44" t="s">
        <v>34</v>
      </c>
      <c r="G679" s="128">
        <v>903.2715964505978</v>
      </c>
      <c r="H679" s="128">
        <v>9.0</v>
      </c>
      <c r="I679" s="128">
        <v>903.3230539842158</v>
      </c>
      <c r="J679" s="44" t="s">
        <v>35</v>
      </c>
      <c r="K679" s="128">
        <v>1350.9588955396437</v>
      </c>
      <c r="L679" s="128">
        <v>36.0</v>
      </c>
      <c r="M679" s="128">
        <v>1355.3077775577729</v>
      </c>
      <c r="N679" s="44"/>
      <c r="O679" s="128"/>
      <c r="P679" s="128"/>
      <c r="Q679" s="128"/>
      <c r="V679" s="44" t="s">
        <v>110</v>
      </c>
      <c r="W679" s="128">
        <v>934.411402197432</v>
      </c>
      <c r="X679" s="128">
        <v>14.0</v>
      </c>
      <c r="Y679" s="128">
        <v>931.3946399116853</v>
      </c>
      <c r="Z679" s="44" t="s">
        <v>112</v>
      </c>
      <c r="AA679" s="128">
        <v>951.5838742899568</v>
      </c>
      <c r="AB679" s="128">
        <v>29.0</v>
      </c>
      <c r="AC679" s="128">
        <v>951.0508583454028</v>
      </c>
      <c r="AD679" s="44" t="s">
        <v>61</v>
      </c>
      <c r="AE679" s="128">
        <v>1069.3259191638583</v>
      </c>
      <c r="AF679" s="128">
        <v>18.0</v>
      </c>
      <c r="AG679" s="128">
        <v>1066.875697394159</v>
      </c>
      <c r="AH679" s="44"/>
      <c r="AI679" s="128"/>
      <c r="AJ679" s="128"/>
      <c r="AK679" s="128"/>
      <c r="AP679" s="128">
        <v>15.0</v>
      </c>
      <c r="AQ679" s="128">
        <v>13.0</v>
      </c>
      <c r="AR679" s="44" t="s">
        <v>548</v>
      </c>
      <c r="AS679" s="44" t="s">
        <v>384</v>
      </c>
      <c r="AT679" s="44">
        <v>678.0</v>
      </c>
      <c r="AU679" s="44"/>
      <c r="AW679" s="93"/>
      <c r="AY679" s="93"/>
      <c r="AZ679" s="93"/>
      <c r="BA679" s="93"/>
      <c r="BB679" s="155"/>
      <c r="BC679" s="93"/>
      <c r="BE679" s="93"/>
      <c r="BG679" s="93"/>
      <c r="BH679" s="93"/>
      <c r="BI679" s="93"/>
      <c r="BJ679" s="155"/>
      <c r="BK679" s="93"/>
    </row>
    <row r="680">
      <c r="A680" s="166">
        <v>44484.968147638894</v>
      </c>
      <c r="B680" s="44" t="s">
        <v>92</v>
      </c>
      <c r="C680" s="128">
        <v>865.1316308041806</v>
      </c>
      <c r="D680" s="128">
        <v>17.0</v>
      </c>
      <c r="E680" s="128">
        <v>865.1416308041806</v>
      </c>
      <c r="F680" s="44" t="s">
        <v>27</v>
      </c>
      <c r="G680" s="128">
        <v>1020.3998252129383</v>
      </c>
      <c r="H680" s="128">
        <v>16.0</v>
      </c>
      <c r="I680" s="128">
        <v>1020.4098252129382</v>
      </c>
      <c r="J680" s="44" t="s">
        <v>23</v>
      </c>
      <c r="K680" s="128">
        <v>1293.4863443373747</v>
      </c>
      <c r="L680" s="128">
        <v>24.0</v>
      </c>
      <c r="M680" s="128">
        <v>1293.4963443373747</v>
      </c>
      <c r="N680" s="44"/>
      <c r="O680" s="128"/>
      <c r="P680" s="128"/>
      <c r="Q680" s="128"/>
      <c r="V680" s="44" t="s">
        <v>123</v>
      </c>
      <c r="W680" s="128">
        <v>771.6050490880267</v>
      </c>
      <c r="X680" s="128">
        <v>8.0</v>
      </c>
      <c r="Y680" s="128">
        <v>771.6050490880267</v>
      </c>
      <c r="Z680" s="44" t="s">
        <v>47</v>
      </c>
      <c r="AA680" s="128">
        <v>1051.2587375036612</v>
      </c>
      <c r="AB680" s="128">
        <v>11.0</v>
      </c>
      <c r="AC680" s="128">
        <v>1051.2587375036612</v>
      </c>
      <c r="AD680" s="44" t="s">
        <v>35</v>
      </c>
      <c r="AE680" s="128">
        <v>1355.3077775577729</v>
      </c>
      <c r="AF680" s="128">
        <v>29.0</v>
      </c>
      <c r="AG680" s="128">
        <v>1355.3077775577729</v>
      </c>
      <c r="AH680" s="44"/>
      <c r="AI680" s="128"/>
      <c r="AJ680" s="128"/>
      <c r="AK680" s="128"/>
      <c r="AP680" s="128">
        <v>15.0</v>
      </c>
      <c r="AQ680" s="128">
        <v>15.0</v>
      </c>
      <c r="AS680" s="44" t="s">
        <v>229</v>
      </c>
      <c r="AT680" s="44">
        <v>679.0</v>
      </c>
      <c r="AU680" s="44"/>
      <c r="AW680" s="93"/>
      <c r="AY680" s="93"/>
      <c r="AZ680" s="93"/>
      <c r="BA680" s="93"/>
      <c r="BB680" s="155"/>
      <c r="BC680" s="93"/>
      <c r="BE680" s="93"/>
      <c r="BG680" s="93"/>
      <c r="BH680" s="93"/>
      <c r="BI680" s="93"/>
      <c r="BJ680" s="155"/>
      <c r="BK680" s="93"/>
    </row>
    <row r="681">
      <c r="A681" s="166">
        <v>44485.0130830787</v>
      </c>
      <c r="B681" s="44" t="s">
        <v>123</v>
      </c>
      <c r="C681" s="128">
        <v>771.6050490880267</v>
      </c>
      <c r="D681" s="128">
        <v>9.0</v>
      </c>
      <c r="E681" s="128">
        <v>772.6630849937026</v>
      </c>
      <c r="F681" s="44" t="s">
        <v>92</v>
      </c>
      <c r="G681" s="128">
        <v>865.1416308041806</v>
      </c>
      <c r="H681" s="128">
        <v>11.0</v>
      </c>
      <c r="I681" s="128">
        <v>866.6751876281886</v>
      </c>
      <c r="J681" s="44" t="s">
        <v>27</v>
      </c>
      <c r="K681" s="128">
        <v>1020.4098252129382</v>
      </c>
      <c r="L681" s="128">
        <v>26.0</v>
      </c>
      <c r="M681" s="128">
        <v>1027.5290197905322</v>
      </c>
      <c r="N681" s="44" t="s">
        <v>23</v>
      </c>
      <c r="O681" s="128">
        <v>1293.4963443373747</v>
      </c>
      <c r="P681" s="128">
        <v>32.0</v>
      </c>
      <c r="Q681" s="128">
        <v>1302.785557030097</v>
      </c>
      <c r="V681" s="44" t="s">
        <v>98</v>
      </c>
      <c r="W681" s="128">
        <v>936.2249686414484</v>
      </c>
      <c r="X681" s="128">
        <v>12.0</v>
      </c>
      <c r="Y681" s="128">
        <v>929.6720339397388</v>
      </c>
      <c r="Z681" s="44" t="s">
        <v>112</v>
      </c>
      <c r="AA681" s="128">
        <v>951.0508583454028</v>
      </c>
      <c r="AB681" s="128">
        <v>17.0</v>
      </c>
      <c r="AC681" s="128">
        <v>946.4488911956358</v>
      </c>
      <c r="AD681" s="44" t="s">
        <v>248</v>
      </c>
      <c r="AE681" s="128">
        <v>995.8219076362134</v>
      </c>
      <c r="AF681" s="128">
        <v>14.0</v>
      </c>
      <c r="AG681" s="128">
        <v>989.9571041747312</v>
      </c>
      <c r="AH681" s="44" t="s">
        <v>47</v>
      </c>
      <c r="AI681" s="128">
        <v>1051.2587375036612</v>
      </c>
      <c r="AJ681" s="128">
        <v>24.0</v>
      </c>
      <c r="AK681" s="128">
        <v>1049.27844281662</v>
      </c>
      <c r="AP681" s="128">
        <v>16.0</v>
      </c>
      <c r="AQ681" s="128">
        <v>12.0</v>
      </c>
      <c r="AR681" s="44" t="s">
        <v>549</v>
      </c>
      <c r="AS681" s="44" t="s">
        <v>229</v>
      </c>
      <c r="AT681" s="44">
        <v>680.0</v>
      </c>
      <c r="AU681" s="44"/>
      <c r="AW681" s="93"/>
      <c r="AY681" s="93"/>
      <c r="AZ681" s="93"/>
      <c r="BA681" s="93"/>
      <c r="BB681" s="155"/>
      <c r="BC681" s="93"/>
      <c r="BE681" s="93"/>
      <c r="BG681" s="93"/>
      <c r="BH681" s="93"/>
      <c r="BI681" s="93"/>
      <c r="BJ681" s="155"/>
      <c r="BK681" s="93"/>
    </row>
    <row r="682">
      <c r="A682" s="166">
        <v>44485.057779849536</v>
      </c>
      <c r="B682" s="44" t="s">
        <v>123</v>
      </c>
      <c r="C682" s="128">
        <v>772.6630849937026</v>
      </c>
      <c r="D682" s="128">
        <v>6.0</v>
      </c>
      <c r="E682" s="128">
        <v>761.9349985246849</v>
      </c>
      <c r="F682" s="44" t="s">
        <v>27</v>
      </c>
      <c r="G682" s="128">
        <v>1027.5290197905322</v>
      </c>
      <c r="H682" s="128">
        <v>23.0</v>
      </c>
      <c r="I682" s="128">
        <v>1023.8571401841059</v>
      </c>
      <c r="J682" s="44" t="s">
        <v>47</v>
      </c>
      <c r="K682" s="128">
        <v>1049.27844281662</v>
      </c>
      <c r="L682" s="128">
        <v>24.0</v>
      </c>
      <c r="M682" s="128">
        <v>1046.0302375139656</v>
      </c>
      <c r="N682" s="44" t="s">
        <v>35</v>
      </c>
      <c r="O682" s="128">
        <v>1355.3077775577729</v>
      </c>
      <c r="P682" s="128">
        <v>22.0</v>
      </c>
      <c r="Q682" s="128">
        <v>1350.9559489358712</v>
      </c>
      <c r="V682" s="44" t="s">
        <v>98</v>
      </c>
      <c r="W682" s="128">
        <v>929.6720339397388</v>
      </c>
      <c r="X682" s="128">
        <v>19.0</v>
      </c>
      <c r="Y682" s="128">
        <v>933.9728391090769</v>
      </c>
      <c r="Z682" s="44" t="s">
        <v>112</v>
      </c>
      <c r="AA682" s="128">
        <v>946.4488911956358</v>
      </c>
      <c r="AB682" s="128">
        <v>26.0</v>
      </c>
      <c r="AC682" s="128">
        <v>953.909010581087</v>
      </c>
      <c r="AD682" s="44" t="s">
        <v>248</v>
      </c>
      <c r="AE682" s="128">
        <v>989.9571041747312</v>
      </c>
      <c r="AF682" s="128">
        <v>16.0</v>
      </c>
      <c r="AG682" s="128">
        <v>992.7212814087193</v>
      </c>
      <c r="AH682" s="44" t="s">
        <v>23</v>
      </c>
      <c r="AI682" s="128">
        <v>1302.785557030097</v>
      </c>
      <c r="AJ682" s="128">
        <v>27.0</v>
      </c>
      <c r="AK682" s="128">
        <v>1310.2604552413195</v>
      </c>
      <c r="AP682" s="128">
        <v>11.0</v>
      </c>
      <c r="AQ682" s="128">
        <v>17.0</v>
      </c>
      <c r="AS682" s="44" t="s">
        <v>253</v>
      </c>
      <c r="AT682" s="44">
        <v>681.0</v>
      </c>
      <c r="AU682" s="44"/>
      <c r="AW682" s="93"/>
      <c r="AY682" s="93"/>
      <c r="AZ682" s="93"/>
      <c r="BA682" s="93"/>
      <c r="BB682" s="155"/>
      <c r="BC682" s="93"/>
      <c r="BE682" s="93"/>
      <c r="BG682" s="93"/>
      <c r="BH682" s="93"/>
      <c r="BI682" s="93"/>
      <c r="BJ682" s="155"/>
      <c r="BK682" s="93"/>
    </row>
    <row r="683">
      <c r="A683" s="166">
        <v>44486.920654444446</v>
      </c>
      <c r="B683" s="44" t="s">
        <v>88</v>
      </c>
      <c r="C683" s="128">
        <v>856.2936062636743</v>
      </c>
      <c r="D683" s="128">
        <v>14.0</v>
      </c>
      <c r="E683" s="128">
        <v>842.3763731581038</v>
      </c>
      <c r="F683" s="44" t="s">
        <v>47</v>
      </c>
      <c r="G683" s="128">
        <v>1046.0302375139656</v>
      </c>
      <c r="H683" s="128">
        <v>11.0</v>
      </c>
      <c r="I683" s="128">
        <v>1027.5482472897752</v>
      </c>
      <c r="J683" s="44" t="s">
        <v>23</v>
      </c>
      <c r="K683" s="128">
        <v>1310.2604552413195</v>
      </c>
      <c r="L683" s="128">
        <v>16.0</v>
      </c>
      <c r="M683" s="128">
        <v>1297.6596785710803</v>
      </c>
      <c r="N683" s="44"/>
      <c r="O683" s="128"/>
      <c r="P683" s="128"/>
      <c r="Q683" s="128"/>
      <c r="V683" s="44" t="s">
        <v>92</v>
      </c>
      <c r="W683" s="128">
        <v>866.6751876281886</v>
      </c>
      <c r="X683" s="128">
        <v>11.0</v>
      </c>
      <c r="Y683" s="128">
        <v>872.8092714781673</v>
      </c>
      <c r="Z683" s="44" t="s">
        <v>112</v>
      </c>
      <c r="AA683" s="128">
        <v>953.909010581087</v>
      </c>
      <c r="AB683" s="128">
        <v>9.0</v>
      </c>
      <c r="AC683" s="128">
        <v>956.9516505535172</v>
      </c>
      <c r="AD683" s="44" t="s">
        <v>35</v>
      </c>
      <c r="AE683" s="128">
        <v>1350.9559489358712</v>
      </c>
      <c r="AF683" s="128">
        <v>36.0</v>
      </c>
      <c r="AG683" s="128">
        <v>1386.7792251134624</v>
      </c>
      <c r="AH683" s="44"/>
      <c r="AI683" s="128"/>
      <c r="AJ683" s="128"/>
      <c r="AK683" s="128"/>
      <c r="AP683" s="128">
        <v>9.0</v>
      </c>
      <c r="AQ683" s="128">
        <v>19.0</v>
      </c>
      <c r="AR683" s="44" t="s">
        <v>550</v>
      </c>
      <c r="AS683" s="44" t="s">
        <v>231</v>
      </c>
      <c r="AT683" s="44">
        <v>682.0</v>
      </c>
      <c r="AU683" s="44"/>
      <c r="AW683" s="93"/>
      <c r="AY683" s="93"/>
      <c r="AZ683" s="93"/>
      <c r="BA683" s="93"/>
      <c r="BB683" s="155"/>
      <c r="BC683" s="93"/>
      <c r="BE683" s="93"/>
      <c r="BG683" s="93"/>
      <c r="BH683" s="93"/>
      <c r="BI683" s="93"/>
      <c r="BJ683" s="155"/>
      <c r="BK683" s="93"/>
    </row>
    <row r="684">
      <c r="A684" s="166">
        <v>44486.973878599536</v>
      </c>
      <c r="B684" s="44" t="s">
        <v>88</v>
      </c>
      <c r="C684" s="128">
        <v>842.3763731581038</v>
      </c>
      <c r="D684" s="128">
        <v>26.0</v>
      </c>
      <c r="E684" s="128">
        <v>844.137057446875</v>
      </c>
      <c r="F684" s="44" t="s">
        <v>92</v>
      </c>
      <c r="G684" s="128">
        <v>872.8092714781673</v>
      </c>
      <c r="H684" s="128">
        <v>22.0</v>
      </c>
      <c r="I684" s="128">
        <v>873.5800891293723</v>
      </c>
      <c r="J684" s="44" t="s">
        <v>112</v>
      </c>
      <c r="K684" s="128">
        <v>956.9516505535172</v>
      </c>
      <c r="L684" s="128">
        <v>33.0</v>
      </c>
      <c r="M684" s="128">
        <v>960.073436137699</v>
      </c>
      <c r="N684" s="44" t="s">
        <v>35</v>
      </c>
      <c r="O684" s="128">
        <v>1386.7792251134624</v>
      </c>
      <c r="P684" s="128">
        <v>44.0</v>
      </c>
      <c r="Q684" s="128">
        <v>1392.1259375893044</v>
      </c>
      <c r="V684" s="44" t="s">
        <v>123</v>
      </c>
      <c r="W684" s="128">
        <v>761.9349985246849</v>
      </c>
      <c r="X684" s="128">
        <v>14.0</v>
      </c>
      <c r="Y684" s="128">
        <v>756.2380380718961</v>
      </c>
      <c r="Z684" s="44" t="s">
        <v>27</v>
      </c>
      <c r="AA684" s="128">
        <v>1023.8571401841059</v>
      </c>
      <c r="AB684" s="128">
        <v>32.0</v>
      </c>
      <c r="AC684" s="128">
        <v>1021.7645648216418</v>
      </c>
      <c r="AD684" s="44" t="s">
        <v>47</v>
      </c>
      <c r="AE684" s="128">
        <v>1027.5482472897752</v>
      </c>
      <c r="AF684" s="128">
        <v>37.0</v>
      </c>
      <c r="AG684" s="128">
        <v>1026.597084285957</v>
      </c>
      <c r="AH684" s="44" t="s">
        <v>23</v>
      </c>
      <c r="AI684" s="128">
        <v>1297.6596785710803</v>
      </c>
      <c r="AJ684" s="128">
        <v>32.0</v>
      </c>
      <c r="AK684" s="128">
        <v>1295.4003773901516</v>
      </c>
      <c r="AP684" s="128">
        <v>23.0</v>
      </c>
      <c r="AQ684" s="128">
        <v>19.0</v>
      </c>
      <c r="AR684" s="44" t="s">
        <v>551</v>
      </c>
      <c r="AS684" s="44" t="s">
        <v>552</v>
      </c>
      <c r="AT684" s="44">
        <v>683.0</v>
      </c>
      <c r="AU684" s="44"/>
      <c r="AW684" s="93"/>
      <c r="AY684" s="93"/>
      <c r="AZ684" s="93"/>
      <c r="BA684" s="93"/>
      <c r="BB684" s="155"/>
      <c r="BC684" s="93"/>
      <c r="BE684" s="93"/>
      <c r="BG684" s="93"/>
      <c r="BH684" s="93"/>
      <c r="BI684" s="93"/>
      <c r="BJ684" s="155"/>
      <c r="BK684" s="93"/>
    </row>
    <row r="685">
      <c r="A685" s="166">
        <v>44488.887649571756</v>
      </c>
      <c r="B685" s="44" t="s">
        <v>88</v>
      </c>
      <c r="C685" s="128">
        <v>844.137057446875</v>
      </c>
      <c r="D685" s="128">
        <v>6.0</v>
      </c>
      <c r="E685" s="128">
        <v>844.410363447608</v>
      </c>
      <c r="F685" s="44" t="s">
        <v>92</v>
      </c>
      <c r="G685" s="128">
        <v>873.5800891293723</v>
      </c>
      <c r="H685" s="128">
        <v>24.0</v>
      </c>
      <c r="I685" s="128">
        <v>879.7956046608786</v>
      </c>
      <c r="J685" s="44" t="s">
        <v>23</v>
      </c>
      <c r="K685" s="128">
        <v>1295.4003773901516</v>
      </c>
      <c r="L685" s="128">
        <v>23.0</v>
      </c>
      <c r="M685" s="128">
        <v>1300.9115558579124</v>
      </c>
      <c r="N685" s="44"/>
      <c r="O685" s="128"/>
      <c r="P685" s="128"/>
      <c r="Q685" s="128"/>
      <c r="V685" s="44" t="s">
        <v>34</v>
      </c>
      <c r="W685" s="128">
        <v>903.3230539842158</v>
      </c>
      <c r="X685" s="128">
        <v>16.0</v>
      </c>
      <c r="Y685" s="128">
        <v>899.3883139212328</v>
      </c>
      <c r="Z685" s="44" t="s">
        <v>110</v>
      </c>
      <c r="AA685" s="128">
        <v>931.3946399116853</v>
      </c>
      <c r="AB685" s="128">
        <v>14.0</v>
      </c>
      <c r="AC685" s="128">
        <v>926.7516945768261</v>
      </c>
      <c r="AD685" s="44" t="s">
        <v>47</v>
      </c>
      <c r="AE685" s="128">
        <v>1026.597084285957</v>
      </c>
      <c r="AF685" s="128">
        <v>18.0</v>
      </c>
      <c r="AG685" s="128">
        <v>1023.1747696837991</v>
      </c>
      <c r="AH685" s="44"/>
      <c r="AI685" s="128"/>
      <c r="AJ685" s="128"/>
      <c r="AK685" s="128"/>
      <c r="AP685" s="128">
        <v>17.0</v>
      </c>
      <c r="AQ685" s="128">
        <v>11.0</v>
      </c>
      <c r="AS685" s="44" t="s">
        <v>229</v>
      </c>
      <c r="AT685" s="44">
        <v>684.0</v>
      </c>
      <c r="AU685" s="44"/>
      <c r="AW685" s="93"/>
      <c r="AY685" s="93"/>
      <c r="AZ685" s="93"/>
      <c r="BA685" s="93"/>
      <c r="BB685" s="155"/>
      <c r="BC685" s="93"/>
      <c r="BE685" s="93"/>
      <c r="BG685" s="93"/>
      <c r="BH685" s="93"/>
      <c r="BI685" s="93"/>
      <c r="BJ685" s="155"/>
      <c r="BK685" s="93"/>
    </row>
    <row r="686">
      <c r="A686" s="166">
        <v>44488.91852939814</v>
      </c>
      <c r="B686" s="44" t="s">
        <v>88</v>
      </c>
      <c r="C686" s="128">
        <v>844.410363447608</v>
      </c>
      <c r="D686" s="128">
        <v>17.0</v>
      </c>
      <c r="E686" s="128">
        <v>847.3320552013595</v>
      </c>
      <c r="F686" s="44" t="s">
        <v>92</v>
      </c>
      <c r="G686" s="128">
        <v>879.7956046608786</v>
      </c>
      <c r="H686" s="128">
        <v>15.0</v>
      </c>
      <c r="I686" s="128">
        <v>882.0350913058309</v>
      </c>
      <c r="J686" s="44" t="s">
        <v>23</v>
      </c>
      <c r="K686" s="128">
        <v>1300.9115558579124</v>
      </c>
      <c r="L686" s="128">
        <v>28.0</v>
      </c>
      <c r="M686" s="128">
        <v>1306.7503774592087</v>
      </c>
      <c r="N686" s="44"/>
      <c r="O686" s="128"/>
      <c r="P686" s="128"/>
      <c r="Q686" s="128"/>
      <c r="V686" s="44" t="s">
        <v>34</v>
      </c>
      <c r="W686" s="128">
        <v>899.3883139212328</v>
      </c>
      <c r="X686" s="128">
        <v>18.0</v>
      </c>
      <c r="Y686" s="128">
        <v>895.789603986736</v>
      </c>
      <c r="Z686" s="44" t="s">
        <v>110</v>
      </c>
      <c r="AA686" s="128">
        <v>926.7516945768261</v>
      </c>
      <c r="AB686" s="128">
        <v>17.0</v>
      </c>
      <c r="AC686" s="128">
        <v>922.8051782623011</v>
      </c>
      <c r="AD686" s="44" t="s">
        <v>47</v>
      </c>
      <c r="AE686" s="128">
        <v>1023.1747696837991</v>
      </c>
      <c r="AF686" s="128">
        <v>19.0</v>
      </c>
      <c r="AG686" s="128">
        <v>1019.719995932821</v>
      </c>
      <c r="AH686" s="44"/>
      <c r="AI686" s="128"/>
      <c r="AJ686" s="128"/>
      <c r="AK686" s="128"/>
      <c r="AP686" s="128">
        <v>17.0</v>
      </c>
      <c r="AQ686" s="128">
        <v>11.0</v>
      </c>
      <c r="AS686" s="44" t="s">
        <v>266</v>
      </c>
      <c r="AT686" s="44">
        <v>685.0</v>
      </c>
      <c r="AU686" s="44"/>
      <c r="AW686" s="93"/>
      <c r="AY686" s="93"/>
      <c r="AZ686" s="93"/>
      <c r="BA686" s="93"/>
      <c r="BB686" s="155"/>
      <c r="BC686" s="93"/>
      <c r="BE686" s="93"/>
      <c r="BG686" s="93"/>
      <c r="BH686" s="93"/>
      <c r="BI686" s="93"/>
      <c r="BJ686" s="155"/>
      <c r="BK686" s="93"/>
    </row>
    <row r="687">
      <c r="A687" s="166">
        <v>44488.95445584491</v>
      </c>
      <c r="B687" s="44" t="s">
        <v>88</v>
      </c>
      <c r="C687" s="128">
        <v>847.3320552013595</v>
      </c>
      <c r="D687" s="128">
        <v>7.0</v>
      </c>
      <c r="E687" s="128">
        <v>847.3420552013595</v>
      </c>
      <c r="F687" s="44" t="s">
        <v>92</v>
      </c>
      <c r="G687" s="128">
        <v>882.0350913058309</v>
      </c>
      <c r="H687" s="128">
        <v>20.0</v>
      </c>
      <c r="I687" s="128">
        <v>882.0450913058309</v>
      </c>
      <c r="J687" s="44" t="s">
        <v>34</v>
      </c>
      <c r="K687" s="128">
        <v>895.789603986736</v>
      </c>
      <c r="L687" s="128">
        <v>17.0</v>
      </c>
      <c r="M687" s="128">
        <v>895.799603986736</v>
      </c>
      <c r="N687" s="44" t="s">
        <v>23</v>
      </c>
      <c r="O687" s="128">
        <v>1306.7503774592087</v>
      </c>
      <c r="P687" s="128">
        <v>32.0</v>
      </c>
      <c r="Q687" s="128">
        <v>1306.7603774592087</v>
      </c>
      <c r="V687" s="44" t="s">
        <v>110</v>
      </c>
      <c r="W687" s="128">
        <v>922.8051782623011</v>
      </c>
      <c r="X687" s="128">
        <v>14.0</v>
      </c>
      <c r="Y687" s="128">
        <v>922.8051782623011</v>
      </c>
      <c r="Z687" s="44" t="s">
        <v>112</v>
      </c>
      <c r="AA687" s="128">
        <v>960.073436137699</v>
      </c>
      <c r="AB687" s="128">
        <v>26.0</v>
      </c>
      <c r="AC687" s="128">
        <v>960.073436137699</v>
      </c>
      <c r="AD687" s="44" t="s">
        <v>47</v>
      </c>
      <c r="AE687" s="128">
        <v>1019.719995932821</v>
      </c>
      <c r="AF687" s="128">
        <v>23.0</v>
      </c>
      <c r="AG687" s="128">
        <v>1019.719995932821</v>
      </c>
      <c r="AH687" s="44" t="s">
        <v>27</v>
      </c>
      <c r="AI687" s="128">
        <v>1021.7645648216418</v>
      </c>
      <c r="AJ687" s="128">
        <v>18.0</v>
      </c>
      <c r="AK687" s="128">
        <v>1021.7645648216418</v>
      </c>
      <c r="AP687" s="128">
        <v>14.0</v>
      </c>
      <c r="AQ687" s="128">
        <v>14.0</v>
      </c>
      <c r="AS687" s="44" t="s">
        <v>313</v>
      </c>
      <c r="AT687" s="44">
        <v>686.0</v>
      </c>
      <c r="AU687" s="44"/>
      <c r="AW687" s="93"/>
      <c r="AY687" s="93"/>
      <c r="AZ687" s="93"/>
      <c r="BA687" s="93"/>
      <c r="BB687" s="155"/>
      <c r="BC687" s="93"/>
      <c r="BE687" s="93"/>
      <c r="BG687" s="93"/>
      <c r="BH687" s="93"/>
      <c r="BI687" s="93"/>
      <c r="BJ687" s="155"/>
      <c r="BK687" s="93"/>
    </row>
    <row r="688">
      <c r="A688" s="166">
        <v>44488.99332435185</v>
      </c>
      <c r="B688" s="44" t="s">
        <v>88</v>
      </c>
      <c r="C688" s="128">
        <v>847.3420552013595</v>
      </c>
      <c r="D688" s="128">
        <v>20.0</v>
      </c>
      <c r="E688" s="128">
        <v>853.8936292108071</v>
      </c>
      <c r="F688" s="44" t="s">
        <v>34</v>
      </c>
      <c r="G688" s="128">
        <v>895.799603986736</v>
      </c>
      <c r="H688" s="128">
        <v>16.0</v>
      </c>
      <c r="I688" s="128">
        <v>900.3264764473655</v>
      </c>
      <c r="J688" s="44" t="s">
        <v>23</v>
      </c>
      <c r="K688" s="128">
        <v>1306.7603774592087</v>
      </c>
      <c r="L688" s="128">
        <v>20.0</v>
      </c>
      <c r="M688" s="128">
        <v>1312.6819309891314</v>
      </c>
      <c r="N688" s="44"/>
      <c r="O688" s="128"/>
      <c r="P688" s="128"/>
      <c r="Q688" s="128"/>
      <c r="V688" s="44" t="s">
        <v>112</v>
      </c>
      <c r="W688" s="128">
        <v>960.073436137699</v>
      </c>
      <c r="X688" s="128">
        <v>11.0</v>
      </c>
      <c r="Y688" s="128">
        <v>951.6410293107458</v>
      </c>
      <c r="Z688" s="44" t="s">
        <v>47</v>
      </c>
      <c r="AA688" s="128">
        <v>1019.719995932821</v>
      </c>
      <c r="AB688" s="128">
        <v>20.0</v>
      </c>
      <c r="AC688" s="128">
        <v>1015.437699306858</v>
      </c>
      <c r="AD688" s="44" t="s">
        <v>27</v>
      </c>
      <c r="AE688" s="128">
        <v>1021.7645648216418</v>
      </c>
      <c r="AF688" s="128">
        <v>20.0</v>
      </c>
      <c r="AG688" s="128">
        <v>1017.4792682745581</v>
      </c>
      <c r="AH688" s="44"/>
      <c r="AI688" s="128"/>
      <c r="AJ688" s="128"/>
      <c r="AK688" s="128"/>
      <c r="AP688" s="128">
        <v>16.0</v>
      </c>
      <c r="AQ688" s="128">
        <v>12.0</v>
      </c>
      <c r="AS688" s="44" t="s">
        <v>229</v>
      </c>
      <c r="AT688" s="44">
        <v>687.0</v>
      </c>
      <c r="AU688" s="44"/>
      <c r="AW688" s="93"/>
      <c r="AY688" s="93"/>
      <c r="AZ688" s="93"/>
      <c r="BA688" s="93"/>
      <c r="BB688" s="155"/>
      <c r="BC688" s="93"/>
      <c r="BE688" s="93"/>
      <c r="BG688" s="93"/>
      <c r="BH688" s="93"/>
      <c r="BI688" s="93"/>
      <c r="BJ688" s="155"/>
      <c r="BK688" s="93"/>
    </row>
    <row r="689">
      <c r="A689" s="166">
        <v>44489.911085740736</v>
      </c>
      <c r="B689" s="44" t="s">
        <v>88</v>
      </c>
      <c r="C689" s="128">
        <v>853.8936292108071</v>
      </c>
      <c r="D689" s="128">
        <v>20.0</v>
      </c>
      <c r="E689" s="128">
        <v>848.5567062554045</v>
      </c>
      <c r="F689" s="44" t="s">
        <v>47</v>
      </c>
      <c r="G689" s="128">
        <v>1015.437699306858</v>
      </c>
      <c r="H689" s="128">
        <v>38.0</v>
      </c>
      <c r="I689" s="128">
        <v>1014.7743205174551</v>
      </c>
      <c r="J689" s="44" t="s">
        <v>27</v>
      </c>
      <c r="K689" s="128">
        <v>1017.4792682745581</v>
      </c>
      <c r="L689" s="128">
        <v>26.0</v>
      </c>
      <c r="M689" s="128">
        <v>1013.4795700193636</v>
      </c>
      <c r="N689" s="44"/>
      <c r="O689" s="128"/>
      <c r="P689" s="128"/>
      <c r="Q689" s="128"/>
      <c r="V689" s="44" t="s">
        <v>92</v>
      </c>
      <c r="W689" s="128">
        <v>882.0450913058309</v>
      </c>
      <c r="X689" s="128">
        <v>26.0</v>
      </c>
      <c r="Y689" s="128">
        <v>885.4161334529196</v>
      </c>
      <c r="Z689" s="44" t="s">
        <v>110</v>
      </c>
      <c r="AA689" s="128">
        <v>922.8051782623011</v>
      </c>
      <c r="AB689" s="128">
        <v>26.0</v>
      </c>
      <c r="AC689" s="128">
        <v>926.0900670880974</v>
      </c>
      <c r="AD689" s="44" t="s">
        <v>61</v>
      </c>
      <c r="AE689" s="128">
        <v>1066.875697394159</v>
      </c>
      <c r="AF689" s="128">
        <v>27.0</v>
      </c>
      <c r="AG689" s="128">
        <v>1070.219766421274</v>
      </c>
      <c r="AH689" s="44"/>
      <c r="AI689" s="128"/>
      <c r="AJ689" s="128"/>
      <c r="AK689" s="128"/>
      <c r="AP689" s="128">
        <v>20.0</v>
      </c>
      <c r="AQ689" s="128">
        <v>22.0</v>
      </c>
      <c r="AT689" s="44">
        <v>688.0</v>
      </c>
      <c r="AU689" s="44"/>
      <c r="AW689" s="93"/>
      <c r="AY689" s="93"/>
      <c r="AZ689" s="93"/>
      <c r="BA689" s="93"/>
      <c r="BB689" s="155"/>
      <c r="BC689" s="93"/>
      <c r="BE689" s="93"/>
      <c r="BG689" s="93"/>
      <c r="BH689" s="93"/>
      <c r="BI689" s="93"/>
      <c r="BJ689" s="155"/>
      <c r="BK689" s="93"/>
    </row>
    <row r="690">
      <c r="A690" s="166">
        <v>44489.94473793982</v>
      </c>
      <c r="B690" s="44" t="s">
        <v>88</v>
      </c>
      <c r="C690" s="128">
        <v>848.5567062554045</v>
      </c>
      <c r="D690" s="128">
        <v>19.0</v>
      </c>
      <c r="E690" s="128">
        <v>848.5667062554045</v>
      </c>
      <c r="F690" s="44" t="s">
        <v>27</v>
      </c>
      <c r="G690" s="128">
        <v>1013.4795700193636</v>
      </c>
      <c r="H690" s="128">
        <v>19.0</v>
      </c>
      <c r="I690" s="128">
        <v>1013.4895700193636</v>
      </c>
      <c r="J690" s="44" t="s">
        <v>47</v>
      </c>
      <c r="K690" s="128">
        <v>1014.7743205174551</v>
      </c>
      <c r="L690" s="128">
        <v>21.0</v>
      </c>
      <c r="M690" s="128">
        <v>1014.7843205174551</v>
      </c>
      <c r="N690" s="44"/>
      <c r="O690" s="128"/>
      <c r="P690" s="128"/>
      <c r="Q690" s="128"/>
      <c r="V690" s="44" t="s">
        <v>92</v>
      </c>
      <c r="W690" s="128">
        <v>885.4161334529196</v>
      </c>
      <c r="X690" s="128">
        <v>21.0</v>
      </c>
      <c r="Y690" s="128">
        <v>885.4161334529196</v>
      </c>
      <c r="Z690" s="44" t="s">
        <v>110</v>
      </c>
      <c r="AA690" s="128">
        <v>926.0900670880974</v>
      </c>
      <c r="AB690" s="128">
        <v>23.0</v>
      </c>
      <c r="AC690" s="128">
        <v>926.0900670880974</v>
      </c>
      <c r="AD690" s="44" t="s">
        <v>61</v>
      </c>
      <c r="AE690" s="128">
        <v>1070.219766421274</v>
      </c>
      <c r="AF690" s="128">
        <v>17.0</v>
      </c>
      <c r="AG690" s="128">
        <v>1070.219766421274</v>
      </c>
      <c r="AH690" s="44"/>
      <c r="AI690" s="128"/>
      <c r="AJ690" s="128"/>
      <c r="AK690" s="128"/>
      <c r="AP690" s="128">
        <v>14.0</v>
      </c>
      <c r="AQ690" s="128">
        <v>14.0</v>
      </c>
      <c r="AT690" s="44">
        <v>689.0</v>
      </c>
      <c r="AU690" s="44"/>
      <c r="AW690" s="93"/>
      <c r="AY690" s="93"/>
      <c r="AZ690" s="93"/>
      <c r="BA690" s="93"/>
      <c r="BB690" s="155"/>
      <c r="BC690" s="93"/>
      <c r="BE690" s="93"/>
      <c r="BG690" s="93"/>
      <c r="BH690" s="93"/>
      <c r="BI690" s="93"/>
      <c r="BJ690" s="155"/>
      <c r="BK690" s="93"/>
    </row>
    <row r="691">
      <c r="A691" s="166">
        <v>44490.010903472226</v>
      </c>
      <c r="B691" s="44" t="s">
        <v>88</v>
      </c>
      <c r="C691" s="128">
        <v>848.5667062554045</v>
      </c>
      <c r="D691" s="128">
        <v>29.0</v>
      </c>
      <c r="E691" s="128">
        <v>848.9549307870736</v>
      </c>
      <c r="F691" s="44" t="s">
        <v>110</v>
      </c>
      <c r="G691" s="128">
        <v>926.0900670880974</v>
      </c>
      <c r="H691" s="128">
        <v>41.0</v>
      </c>
      <c r="I691" s="128">
        <v>928.7813399340778</v>
      </c>
      <c r="J691" s="44" t="s">
        <v>27</v>
      </c>
      <c r="K691" s="128">
        <v>1013.4895700193636</v>
      </c>
      <c r="L691" s="128">
        <v>50.0</v>
      </c>
      <c r="M691" s="128">
        <v>1017.8883544398516</v>
      </c>
      <c r="N691" s="44" t="s">
        <v>47</v>
      </c>
      <c r="O691" s="128">
        <v>1014.7843205174551</v>
      </c>
      <c r="P691" s="128">
        <v>41.0</v>
      </c>
      <c r="Q691" s="128">
        <v>1017.3060387193176</v>
      </c>
      <c r="V691" s="44" t="s">
        <v>92</v>
      </c>
      <c r="W691" s="128">
        <v>885.4161334529196</v>
      </c>
      <c r="X691" s="128">
        <v>37.0</v>
      </c>
      <c r="Y691" s="128">
        <v>883.2439735760362</v>
      </c>
      <c r="Z691" s="44" t="s">
        <v>34</v>
      </c>
      <c r="AA691" s="128">
        <v>900.3264764473655</v>
      </c>
      <c r="AB691" s="128">
        <v>25.0</v>
      </c>
      <c r="AC691" s="128">
        <v>895.6210179923252</v>
      </c>
      <c r="AD691" s="44" t="s">
        <v>112</v>
      </c>
      <c r="AE691" s="128">
        <v>951.6410293107458</v>
      </c>
      <c r="AF691" s="128">
        <v>41.0</v>
      </c>
      <c r="AG691" s="128">
        <v>950.1659622155524</v>
      </c>
      <c r="AH691" s="44" t="s">
        <v>61</v>
      </c>
      <c r="AI691" s="128">
        <v>1070.219766421274</v>
      </c>
      <c r="AJ691" s="128">
        <v>41.0</v>
      </c>
      <c r="AK691" s="128">
        <v>1068.5724518483912</v>
      </c>
      <c r="AP691" s="128">
        <v>31.0</v>
      </c>
      <c r="AQ691" s="128">
        <v>25.0</v>
      </c>
      <c r="AS691" s="44" t="s">
        <v>553</v>
      </c>
      <c r="AT691" s="44">
        <v>690.0</v>
      </c>
      <c r="AU691" s="44"/>
      <c r="AW691" s="93"/>
      <c r="AY691" s="93"/>
      <c r="AZ691" s="93"/>
      <c r="BA691" s="93"/>
      <c r="BB691" s="155"/>
      <c r="BC691" s="93"/>
      <c r="BE691" s="93"/>
      <c r="BG691" s="93"/>
      <c r="BH691" s="93"/>
      <c r="BI691" s="93"/>
      <c r="BJ691" s="155"/>
      <c r="BK691" s="93"/>
    </row>
    <row r="692">
      <c r="A692" s="166">
        <v>44490.89173221065</v>
      </c>
      <c r="B692" s="44" t="s">
        <v>34</v>
      </c>
      <c r="C692" s="128">
        <v>895.6210179923252</v>
      </c>
      <c r="D692" s="128">
        <v>16.0</v>
      </c>
      <c r="E692" s="128">
        <v>890.3308513439025</v>
      </c>
      <c r="F692" s="44" t="s">
        <v>112</v>
      </c>
      <c r="G692" s="128">
        <v>950.1659622155524</v>
      </c>
      <c r="H692" s="128">
        <v>10.0</v>
      </c>
      <c r="I692" s="128">
        <v>942.1457783508588</v>
      </c>
      <c r="J692" s="44" t="s">
        <v>47</v>
      </c>
      <c r="K692" s="128">
        <v>1017.3060387193176</v>
      </c>
      <c r="L692" s="128">
        <v>20.0</v>
      </c>
      <c r="M692" s="128">
        <v>1013.5574122749299</v>
      </c>
      <c r="N692" s="44" t="s">
        <v>23</v>
      </c>
      <c r="O692" s="128">
        <v>1312.6819309891314</v>
      </c>
      <c r="P692" s="128">
        <v>20.0</v>
      </c>
      <c r="Q692" s="128">
        <v>1308.7409079466354</v>
      </c>
      <c r="V692" s="44" t="s">
        <v>92</v>
      </c>
      <c r="W692" s="128">
        <v>883.2439735760362</v>
      </c>
      <c r="X692" s="128">
        <v>16.0</v>
      </c>
      <c r="Y692" s="128">
        <v>886.3519005622</v>
      </c>
      <c r="Z692" s="44" t="s">
        <v>110</v>
      </c>
      <c r="AA692" s="128">
        <v>928.7813399340778</v>
      </c>
      <c r="AB692" s="128">
        <v>17.0</v>
      </c>
      <c r="AC692" s="128">
        <v>932.2059760549129</v>
      </c>
      <c r="AD692" s="44" t="s">
        <v>61</v>
      </c>
      <c r="AE692" s="128">
        <v>1068.5724518483912</v>
      </c>
      <c r="AF692" s="128">
        <v>19.0</v>
      </c>
      <c r="AG692" s="128">
        <v>1072.6070023929226</v>
      </c>
      <c r="AH692" s="44" t="s">
        <v>31</v>
      </c>
      <c r="AI692" s="128">
        <v>1285.9337991937111</v>
      </c>
      <c r="AJ692" s="128">
        <v>34.0</v>
      </c>
      <c r="AK692" s="128">
        <v>1296.366685542181</v>
      </c>
      <c r="AP692" s="128">
        <v>10.0</v>
      </c>
      <c r="AQ692" s="128">
        <v>18.0</v>
      </c>
      <c r="AS692" s="44" t="s">
        <v>229</v>
      </c>
      <c r="AT692" s="44">
        <v>691.0</v>
      </c>
      <c r="AU692" s="44"/>
      <c r="AW692" s="93"/>
      <c r="AY692" s="93"/>
      <c r="AZ692" s="93"/>
      <c r="BA692" s="93"/>
      <c r="BB692" s="155"/>
      <c r="BC692" s="93"/>
      <c r="BE692" s="93"/>
      <c r="BG692" s="93"/>
      <c r="BH692" s="93"/>
      <c r="BI692" s="93"/>
      <c r="BJ692" s="155"/>
      <c r="BK692" s="93"/>
    </row>
    <row r="693">
      <c r="A693" s="166">
        <v>44490.94345472222</v>
      </c>
      <c r="B693" s="44" t="s">
        <v>92</v>
      </c>
      <c r="C693" s="128">
        <v>886.3519005622</v>
      </c>
      <c r="D693" s="128">
        <v>20.0</v>
      </c>
      <c r="E693" s="128">
        <v>888.8106712470649</v>
      </c>
      <c r="F693" s="44" t="s">
        <v>107</v>
      </c>
      <c r="G693" s="128">
        <v>914.0096865580397</v>
      </c>
      <c r="H693" s="128">
        <v>12.0</v>
      </c>
      <c r="I693" s="128">
        <v>914.7676251443161</v>
      </c>
      <c r="J693" s="44" t="s">
        <v>61</v>
      </c>
      <c r="K693" s="128">
        <v>1072.6070023929226</v>
      </c>
      <c r="L693" s="128">
        <v>22.0</v>
      </c>
      <c r="M693" s="128">
        <v>1075.3073932708608</v>
      </c>
      <c r="N693" s="44" t="s">
        <v>23</v>
      </c>
      <c r="O693" s="128">
        <v>1308.7409079466354</v>
      </c>
      <c r="P693" s="128">
        <v>29.0</v>
      </c>
      <c r="Q693" s="128">
        <v>1312.823807797556</v>
      </c>
      <c r="V693" s="44" t="s">
        <v>110</v>
      </c>
      <c r="W693" s="128">
        <v>932.2059760549129</v>
      </c>
      <c r="X693" s="128">
        <v>18.0</v>
      </c>
      <c r="Y693" s="128">
        <v>929.3061668676343</v>
      </c>
      <c r="Z693" s="44" t="s">
        <v>112</v>
      </c>
      <c r="AA693" s="128">
        <v>942.1457783508588</v>
      </c>
      <c r="AB693" s="128">
        <v>25.0</v>
      </c>
      <c r="AC693" s="128">
        <v>940.6937308376813</v>
      </c>
      <c r="AD693" s="44" t="s">
        <v>47</v>
      </c>
      <c r="AE693" s="128">
        <v>1013.5574122749299</v>
      </c>
      <c r="AF693" s="128">
        <v>16.0</v>
      </c>
      <c r="AG693" s="128">
        <v>1010.1649682200691</v>
      </c>
      <c r="AH693" s="44" t="s">
        <v>31</v>
      </c>
      <c r="AI693" s="128">
        <v>1296.366685542181</v>
      </c>
      <c r="AJ693" s="128">
        <v>22.0</v>
      </c>
      <c r="AK693" s="128">
        <v>1294.110986297498</v>
      </c>
      <c r="AP693" s="128">
        <v>15.0</v>
      </c>
      <c r="AQ693" s="128">
        <v>13.0</v>
      </c>
      <c r="AS693" s="44" t="s">
        <v>554</v>
      </c>
      <c r="AT693" s="44">
        <v>692.0</v>
      </c>
      <c r="AU693" s="44"/>
      <c r="AW693" s="93"/>
      <c r="AY693" s="93"/>
      <c r="AZ693" s="93"/>
      <c r="BA693" s="93"/>
      <c r="BB693" s="155"/>
      <c r="BC693" s="93"/>
      <c r="BE693" s="93"/>
      <c r="BG693" s="93"/>
      <c r="BH693" s="93"/>
      <c r="BI693" s="93"/>
      <c r="BJ693" s="155"/>
      <c r="BK693" s="93"/>
    </row>
    <row r="694">
      <c r="A694" s="166">
        <v>44490.97548325232</v>
      </c>
      <c r="B694" s="44" t="s">
        <v>92</v>
      </c>
      <c r="C694" s="128">
        <v>888.8106712470649</v>
      </c>
      <c r="D694" s="128">
        <v>24.0</v>
      </c>
      <c r="E694" s="128">
        <v>900.2148089803003</v>
      </c>
      <c r="F694" s="44" t="s">
        <v>107</v>
      </c>
      <c r="G694" s="128">
        <v>914.7676251443161</v>
      </c>
      <c r="H694" s="128">
        <v>16.0</v>
      </c>
      <c r="I694" s="128">
        <v>919.364453717951</v>
      </c>
      <c r="J694" s="44" t="s">
        <v>110</v>
      </c>
      <c r="K694" s="128">
        <v>929.3061668676343</v>
      </c>
      <c r="L694" s="128">
        <v>16.0</v>
      </c>
      <c r="M694" s="128">
        <v>933.8292421162275</v>
      </c>
      <c r="N694" s="44" t="s">
        <v>23</v>
      </c>
      <c r="O694" s="128">
        <v>1312.823807797556</v>
      </c>
      <c r="P694" s="128">
        <v>35.0</v>
      </c>
      <c r="Q694" s="128">
        <v>1332.2997662420921</v>
      </c>
      <c r="V694" s="44" t="s">
        <v>112</v>
      </c>
      <c r="W694" s="128">
        <v>940.6937308376813</v>
      </c>
      <c r="X694" s="128">
        <v>20.0</v>
      </c>
      <c r="Y694" s="128">
        <v>934.0141603288149</v>
      </c>
      <c r="Z694" s="44" t="s">
        <v>47</v>
      </c>
      <c r="AA694" s="128">
        <v>1010.1649682200691</v>
      </c>
      <c r="AB694" s="128">
        <v>21.0</v>
      </c>
      <c r="AC694" s="128">
        <v>1004.1129299153725</v>
      </c>
      <c r="AD694" s="44" t="s">
        <v>27</v>
      </c>
      <c r="AE694" s="128">
        <v>1017.8883544398516</v>
      </c>
      <c r="AF694" s="128">
        <v>14.0</v>
      </c>
      <c r="AG694" s="128">
        <v>1005.9834708614917</v>
      </c>
      <c r="AH694" s="44" t="s">
        <v>61</v>
      </c>
      <c r="AI694" s="128">
        <v>1075.3073932708608</v>
      </c>
      <c r="AJ694" s="128">
        <v>10.0</v>
      </c>
      <c r="AK694" s="128">
        <v>1059.9438856627835</v>
      </c>
      <c r="AP694" s="128">
        <v>21.0</v>
      </c>
      <c r="AQ694" s="128">
        <v>7.0</v>
      </c>
      <c r="AS694" s="44" t="s">
        <v>555</v>
      </c>
      <c r="AT694" s="44">
        <v>693.0</v>
      </c>
      <c r="AU694" s="44"/>
      <c r="AW694" s="93"/>
      <c r="AY694" s="93"/>
      <c r="AZ694" s="93"/>
      <c r="BA694" s="93"/>
      <c r="BB694" s="155"/>
      <c r="BC694" s="93"/>
      <c r="BE694" s="93"/>
      <c r="BG694" s="93"/>
      <c r="BH694" s="93"/>
      <c r="BI694" s="93"/>
      <c r="BJ694" s="155"/>
      <c r="BK694" s="93"/>
    </row>
    <row r="695">
      <c r="A695" s="166">
        <v>44491.01536225695</v>
      </c>
      <c r="B695" s="44" t="s">
        <v>92</v>
      </c>
      <c r="C695" s="128">
        <v>900.2148089803003</v>
      </c>
      <c r="D695" s="128">
        <v>24.0</v>
      </c>
      <c r="E695" s="128">
        <v>916.5424720196014</v>
      </c>
      <c r="F695" s="44" t="s">
        <v>47</v>
      </c>
      <c r="G695" s="128">
        <v>1004.1129299153725</v>
      </c>
      <c r="H695" s="128">
        <v>19.0</v>
      </c>
      <c r="I695" s="128">
        <v>1014.2868071687622</v>
      </c>
      <c r="J695" s="44" t="s">
        <v>27</v>
      </c>
      <c r="K695" s="128">
        <v>1005.9834708614917</v>
      </c>
      <c r="L695" s="128">
        <v>22.0</v>
      </c>
      <c r="M695" s="128">
        <v>1019.481930568801</v>
      </c>
      <c r="N695" s="44"/>
      <c r="O695" s="128"/>
      <c r="P695" s="128"/>
      <c r="Q695" s="128"/>
      <c r="V695" s="44" t="s">
        <v>107</v>
      </c>
      <c r="W695" s="128">
        <v>919.364453717951</v>
      </c>
      <c r="X695" s="128">
        <v>12.0</v>
      </c>
      <c r="Y695" s="128">
        <v>904.346592876222</v>
      </c>
      <c r="Z695" s="44" t="s">
        <v>112</v>
      </c>
      <c r="AA695" s="128">
        <v>934.0141603288149</v>
      </c>
      <c r="AB695" s="128">
        <v>15.0</v>
      </c>
      <c r="AC695" s="128">
        <v>922.2715286285631</v>
      </c>
      <c r="AD695" s="44" t="s">
        <v>61</v>
      </c>
      <c r="AE695" s="128">
        <v>1059.9438856627835</v>
      </c>
      <c r="AF695" s="128">
        <v>14.0</v>
      </c>
      <c r="AG695" s="128">
        <v>1046.7043782047642</v>
      </c>
      <c r="AH695" s="44"/>
      <c r="AI695" s="128"/>
      <c r="AJ695" s="128"/>
      <c r="AK695" s="128"/>
      <c r="AP695" s="128">
        <v>19.0</v>
      </c>
      <c r="AQ695" s="128">
        <v>9.0</v>
      </c>
      <c r="AS695" s="44" t="s">
        <v>229</v>
      </c>
      <c r="AT695" s="44">
        <v>694.0</v>
      </c>
      <c r="AU695" s="44"/>
      <c r="AW695" s="93"/>
      <c r="AY695" s="93"/>
      <c r="AZ695" s="93"/>
      <c r="BA695" s="93"/>
      <c r="BB695" s="155"/>
      <c r="BC695" s="93"/>
      <c r="BE695" s="93"/>
      <c r="BG695" s="93"/>
      <c r="BH695" s="93"/>
      <c r="BI695" s="93"/>
      <c r="BJ695" s="155"/>
      <c r="BK695" s="93"/>
    </row>
    <row r="696">
      <c r="A696" s="166">
        <v>44491.910203796295</v>
      </c>
      <c r="B696" s="44" t="s">
        <v>88</v>
      </c>
      <c r="C696" s="128">
        <v>848.9549307870736</v>
      </c>
      <c r="D696" s="128">
        <v>11.0</v>
      </c>
      <c r="E696" s="128">
        <v>839.5655673762034</v>
      </c>
      <c r="F696" s="44" t="s">
        <v>110</v>
      </c>
      <c r="G696" s="128">
        <v>933.8292421162275</v>
      </c>
      <c r="H696" s="128">
        <v>17.0</v>
      </c>
      <c r="I696" s="128">
        <v>927.5267809870917</v>
      </c>
      <c r="J696" s="44" t="s">
        <v>61</v>
      </c>
      <c r="K696" s="128">
        <v>1046.7043782047642</v>
      </c>
      <c r="L696" s="128">
        <v>21.0</v>
      </c>
      <c r="M696" s="128">
        <v>1042.3962027447703</v>
      </c>
      <c r="N696" s="44"/>
      <c r="O696" s="128"/>
      <c r="P696" s="128"/>
      <c r="Q696" s="128"/>
      <c r="V696" s="44" t="s">
        <v>34</v>
      </c>
      <c r="W696" s="128">
        <v>890.3308513439025</v>
      </c>
      <c r="X696" s="128">
        <v>15.0</v>
      </c>
      <c r="Y696" s="128">
        <v>893.8267090779659</v>
      </c>
      <c r="Z696" s="44" t="s">
        <v>112</v>
      </c>
      <c r="AA696" s="128">
        <v>922.2715286285631</v>
      </c>
      <c r="AB696" s="128">
        <v>21.0</v>
      </c>
      <c r="AC696" s="128">
        <v>928.9873389326593</v>
      </c>
      <c r="AD696" s="44" t="s">
        <v>47</v>
      </c>
      <c r="AE696" s="128">
        <v>1014.2868071687622</v>
      </c>
      <c r="AF696" s="128">
        <v>27.0</v>
      </c>
      <c r="AG696" s="128">
        <v>1024.0751391306026</v>
      </c>
      <c r="AH696" s="44"/>
      <c r="AI696" s="128"/>
      <c r="AJ696" s="128"/>
      <c r="AK696" s="128"/>
      <c r="AP696" s="128">
        <v>11.0</v>
      </c>
      <c r="AQ696" s="128">
        <v>17.0</v>
      </c>
      <c r="AS696" s="44" t="s">
        <v>556</v>
      </c>
      <c r="AT696" s="44">
        <v>695.0</v>
      </c>
      <c r="AU696" s="44"/>
      <c r="AW696" s="93"/>
      <c r="AY696" s="93"/>
      <c r="AZ696" s="93"/>
      <c r="BA696" s="93"/>
      <c r="BB696" s="155"/>
      <c r="BC696" s="93"/>
      <c r="BE696" s="93"/>
      <c r="BG696" s="93"/>
      <c r="BH696" s="93"/>
      <c r="BI696" s="93"/>
      <c r="BJ696" s="155"/>
      <c r="BK696" s="93"/>
    </row>
    <row r="697">
      <c r="A697" s="166">
        <v>44491.9501450463</v>
      </c>
      <c r="B697" s="44" t="s">
        <v>88</v>
      </c>
      <c r="C697" s="128">
        <v>839.5655673762034</v>
      </c>
      <c r="D697" s="128">
        <v>23.0</v>
      </c>
      <c r="E697" s="128">
        <v>845.6484363056915</v>
      </c>
      <c r="F697" s="44" t="s">
        <v>110</v>
      </c>
      <c r="G697" s="128">
        <v>927.5267809870917</v>
      </c>
      <c r="H697" s="128">
        <v>10.0</v>
      </c>
      <c r="I697" s="128">
        <v>927.9409569108053</v>
      </c>
      <c r="J697" s="44" t="s">
        <v>61</v>
      </c>
      <c r="K697" s="128">
        <v>1042.3962027447703</v>
      </c>
      <c r="L697" s="128">
        <v>24.0</v>
      </c>
      <c r="M697" s="128">
        <v>1048.4151841914074</v>
      </c>
      <c r="N697" s="44" t="s">
        <v>23</v>
      </c>
      <c r="O697" s="128">
        <v>1332.2997662420921</v>
      </c>
      <c r="P697" s="128">
        <v>28.0</v>
      </c>
      <c r="Q697" s="128">
        <v>1339.7837399422533</v>
      </c>
      <c r="V697" s="44" t="s">
        <v>34</v>
      </c>
      <c r="W697" s="128">
        <v>893.8267090779659</v>
      </c>
      <c r="X697" s="128">
        <v>13.0</v>
      </c>
      <c r="Y697" s="128">
        <v>886.7282292267107</v>
      </c>
      <c r="Z697" s="44" t="s">
        <v>112</v>
      </c>
      <c r="AA697" s="128">
        <v>928.9873389326593</v>
      </c>
      <c r="AB697" s="128">
        <v>11.0</v>
      </c>
      <c r="AC697" s="128">
        <v>920.9756909175935</v>
      </c>
      <c r="AD697" s="44" t="s">
        <v>47</v>
      </c>
      <c r="AE697" s="128">
        <v>1024.0751391306026</v>
      </c>
      <c r="AF697" s="128">
        <v>17.0</v>
      </c>
      <c r="AG697" s="128">
        <v>1018.3937597716854</v>
      </c>
      <c r="AH697" s="44" t="s">
        <v>31</v>
      </c>
      <c r="AI697" s="128">
        <v>1294.110986297498</v>
      </c>
      <c r="AJ697" s="128">
        <v>33.0</v>
      </c>
      <c r="AK697" s="128">
        <v>1294.902493522736</v>
      </c>
      <c r="AP697" s="128">
        <v>16.0</v>
      </c>
      <c r="AQ697" s="128">
        <v>11.0</v>
      </c>
      <c r="AS697" s="44" t="s">
        <v>339</v>
      </c>
      <c r="AT697" s="44">
        <v>696.0</v>
      </c>
      <c r="AU697" s="44"/>
      <c r="AW697" s="93"/>
      <c r="AY697" s="93"/>
      <c r="AZ697" s="93"/>
      <c r="BA697" s="93"/>
      <c r="BB697" s="155"/>
      <c r="BC697" s="93"/>
      <c r="BE697" s="93"/>
      <c r="BG697" s="93"/>
      <c r="BH697" s="93"/>
      <c r="BI697" s="93"/>
      <c r="BJ697" s="155"/>
      <c r="BK697" s="93"/>
    </row>
    <row r="698">
      <c r="A698" s="166">
        <v>44491.98959008102</v>
      </c>
      <c r="B698" s="44" t="s">
        <v>88</v>
      </c>
      <c r="C698" s="128">
        <v>845.6484363056915</v>
      </c>
      <c r="D698" s="128">
        <v>10.0</v>
      </c>
      <c r="E698" s="128">
        <v>845.6584363056915</v>
      </c>
      <c r="F698" s="44" t="s">
        <v>34</v>
      </c>
      <c r="G698" s="128">
        <v>886.7282292267107</v>
      </c>
      <c r="H698" s="128">
        <v>22.0</v>
      </c>
      <c r="I698" s="128">
        <v>894.4275295225892</v>
      </c>
      <c r="J698" s="44" t="s">
        <v>110</v>
      </c>
      <c r="K698" s="128">
        <v>927.9409569108053</v>
      </c>
      <c r="L698" s="128">
        <v>22.0</v>
      </c>
      <c r="M698" s="128">
        <v>935.4526036409205</v>
      </c>
      <c r="N698" s="44" t="s">
        <v>31</v>
      </c>
      <c r="O698" s="128">
        <v>1294.902493522736</v>
      </c>
      <c r="P698" s="128">
        <v>30.0</v>
      </c>
      <c r="Q698" s="128">
        <v>1307.0201191850704</v>
      </c>
      <c r="R698" s="44" t="s">
        <v>35</v>
      </c>
      <c r="S698" s="128">
        <v>1392.1259375893044</v>
      </c>
      <c r="T698" s="128">
        <v>31.0</v>
      </c>
      <c r="U698" s="128">
        <v>1404.8853643143007</v>
      </c>
      <c r="V698" s="44" t="s">
        <v>112</v>
      </c>
      <c r="W698" s="128">
        <v>920.9756909175935</v>
      </c>
      <c r="X698" s="128">
        <v>15.0</v>
      </c>
      <c r="Y698" s="128">
        <v>911.2727990398632</v>
      </c>
      <c r="Z698" s="44" t="s">
        <v>47</v>
      </c>
      <c r="AA698" s="128">
        <v>1018.3937597716854</v>
      </c>
      <c r="AB698" s="128">
        <v>11.0</v>
      </c>
      <c r="AC698" s="128">
        <v>1005.7502529971615</v>
      </c>
      <c r="AD698" s="44" t="s">
        <v>27</v>
      </c>
      <c r="AE698" s="128">
        <v>1019.481930568801</v>
      </c>
      <c r="AF698" s="128">
        <v>25.0</v>
      </c>
      <c r="AG698" s="128">
        <v>1016.1692835075359</v>
      </c>
      <c r="AH698" s="44" t="s">
        <v>61</v>
      </c>
      <c r="AI698" s="128">
        <v>1048.4151841914074</v>
      </c>
      <c r="AJ698" s="128">
        <v>16.0</v>
      </c>
      <c r="AK698" s="128">
        <v>1039.0412347287568</v>
      </c>
      <c r="AL698" s="44" t="s">
        <v>23</v>
      </c>
      <c r="AM698" s="128">
        <v>1339.7837399422533</v>
      </c>
      <c r="AN698" s="128">
        <v>23.0</v>
      </c>
      <c r="AO698" s="128">
        <v>1334.8167351184231</v>
      </c>
      <c r="AP698" s="128">
        <v>21.0</v>
      </c>
      <c r="AQ698" s="128">
        <v>7.0</v>
      </c>
      <c r="AR698" s="44" t="s">
        <v>557</v>
      </c>
      <c r="AS698" s="44" t="s">
        <v>288</v>
      </c>
      <c r="AT698" s="44">
        <v>697.0</v>
      </c>
      <c r="AU698" s="44"/>
      <c r="AW698" s="93"/>
      <c r="AY698" s="93"/>
      <c r="AZ698" s="93"/>
      <c r="BA698" s="93"/>
      <c r="BB698" s="155"/>
      <c r="BC698" s="93"/>
      <c r="BE698" s="93"/>
      <c r="BG698" s="93"/>
      <c r="BH698" s="93"/>
      <c r="BI698" s="93"/>
      <c r="BJ698" s="155"/>
      <c r="BK698" s="93"/>
    </row>
    <row r="699">
      <c r="A699" s="166">
        <v>44492.032436724534</v>
      </c>
      <c r="B699" s="44" t="s">
        <v>88</v>
      </c>
      <c r="C699" s="128">
        <v>845.6584363056915</v>
      </c>
      <c r="D699" s="128">
        <v>16.0</v>
      </c>
      <c r="E699" s="128">
        <v>840.8998160715796</v>
      </c>
      <c r="F699" s="44" t="s">
        <v>112</v>
      </c>
      <c r="G699" s="128">
        <v>911.2727990398632</v>
      </c>
      <c r="H699" s="128">
        <v>25.0</v>
      </c>
      <c r="I699" s="128">
        <v>909.2326913355258</v>
      </c>
      <c r="J699" s="44" t="s">
        <v>110</v>
      </c>
      <c r="K699" s="128">
        <v>935.4526036409205</v>
      </c>
      <c r="L699" s="128">
        <v>15.0</v>
      </c>
      <c r="M699" s="128">
        <v>930.2039178456197</v>
      </c>
      <c r="N699" s="44" t="s">
        <v>31</v>
      </c>
      <c r="O699" s="128">
        <v>1307.0201191850704</v>
      </c>
      <c r="P699" s="128">
        <v>19.0</v>
      </c>
      <c r="Q699" s="128">
        <v>1302.7540136263958</v>
      </c>
      <c r="R699" s="44" t="s">
        <v>23</v>
      </c>
      <c r="S699" s="128">
        <v>1334.8167351184231</v>
      </c>
      <c r="T699" s="128">
        <v>24.0</v>
      </c>
      <c r="U699" s="128">
        <v>1332.1302544108478</v>
      </c>
      <c r="V699" s="44" t="s">
        <v>34</v>
      </c>
      <c r="W699" s="128">
        <v>894.4275295225892</v>
      </c>
      <c r="X699" s="128">
        <v>12.0</v>
      </c>
      <c r="Y699" s="128">
        <v>895.5765662785697</v>
      </c>
      <c r="Z699" s="44" t="s">
        <v>47</v>
      </c>
      <c r="AA699" s="128">
        <v>1005.7502529971615</v>
      </c>
      <c r="AB699" s="128">
        <v>22.0</v>
      </c>
      <c r="AC699" s="128">
        <v>1009.8810132403537</v>
      </c>
      <c r="AD699" s="44" t="s">
        <v>27</v>
      </c>
      <c r="AE699" s="128">
        <v>1016.1692835075359</v>
      </c>
      <c r="AF699" s="128">
        <v>22.0</v>
      </c>
      <c r="AG699" s="128">
        <v>1020.2865549572407</v>
      </c>
      <c r="AH699" s="44" t="s">
        <v>61</v>
      </c>
      <c r="AI699" s="128">
        <v>1039.0412347287568</v>
      </c>
      <c r="AJ699" s="128">
        <v>17.0</v>
      </c>
      <c r="AK699" s="128">
        <v>1041.5477188144503</v>
      </c>
      <c r="AL699" s="44" t="s">
        <v>35</v>
      </c>
      <c r="AM699" s="128">
        <v>1404.8853643143007</v>
      </c>
      <c r="AN699" s="128">
        <v>32.0</v>
      </c>
      <c r="AO699" s="128">
        <v>1411.9818117797297</v>
      </c>
      <c r="AP699" s="128">
        <v>12.0</v>
      </c>
      <c r="AQ699" s="128">
        <v>16.0</v>
      </c>
      <c r="AR699" s="44" t="s">
        <v>558</v>
      </c>
      <c r="AS699" s="44" t="s">
        <v>559</v>
      </c>
      <c r="AT699" s="44">
        <v>698.0</v>
      </c>
      <c r="AU699" s="44"/>
      <c r="AW699" s="93"/>
      <c r="AY699" s="93"/>
      <c r="AZ699" s="93"/>
      <c r="BA699" s="93"/>
      <c r="BB699" s="155"/>
      <c r="BC699" s="93"/>
      <c r="BE699" s="93"/>
      <c r="BG699" s="93"/>
      <c r="BH699" s="93"/>
      <c r="BI699" s="93"/>
      <c r="BJ699" s="155"/>
      <c r="BK699" s="93"/>
    </row>
    <row r="700">
      <c r="A700" s="166">
        <v>44492.06644630787</v>
      </c>
      <c r="B700" s="44" t="s">
        <v>34</v>
      </c>
      <c r="C700" s="128">
        <v>895.5765662785697</v>
      </c>
      <c r="D700" s="128">
        <v>14.0</v>
      </c>
      <c r="E700" s="128">
        <v>896.7843583428003</v>
      </c>
      <c r="F700" s="44" t="s">
        <v>112</v>
      </c>
      <c r="G700" s="128">
        <v>909.2326913355258</v>
      </c>
      <c r="H700" s="128">
        <v>12.0</v>
      </c>
      <c r="I700" s="128">
        <v>909.9772100389738</v>
      </c>
      <c r="J700" s="44" t="s">
        <v>35</v>
      </c>
      <c r="K700" s="128">
        <v>1411.9818117797297</v>
      </c>
      <c r="L700" s="128">
        <v>37.0</v>
      </c>
      <c r="M700" s="128">
        <v>1418.029501012051</v>
      </c>
      <c r="N700" s="44"/>
      <c r="O700" s="128"/>
      <c r="P700" s="128"/>
      <c r="Q700" s="128"/>
      <c r="V700" s="44" t="s">
        <v>110</v>
      </c>
      <c r="W700" s="128">
        <v>930.2039178456197</v>
      </c>
      <c r="X700" s="128">
        <v>10.0</v>
      </c>
      <c r="Y700" s="128">
        <v>925.8163714524371</v>
      </c>
      <c r="Z700" s="44" t="s">
        <v>47</v>
      </c>
      <c r="AA700" s="128">
        <v>1009.8810132403537</v>
      </c>
      <c r="AB700" s="128">
        <v>21.0</v>
      </c>
      <c r="AC700" s="128">
        <v>1007.8641206936144</v>
      </c>
      <c r="AD700" s="44" t="s">
        <v>61</v>
      </c>
      <c r="AE700" s="128">
        <v>1041.5477188144503</v>
      </c>
      <c r="AF700" s="128">
        <v>23.0</v>
      </c>
      <c r="AG700" s="128">
        <v>1039.9521577543721</v>
      </c>
      <c r="AH700" s="44"/>
      <c r="AI700" s="128"/>
      <c r="AJ700" s="128"/>
      <c r="AK700" s="128"/>
      <c r="AP700" s="128">
        <v>18.0</v>
      </c>
      <c r="AQ700" s="128">
        <v>10.0</v>
      </c>
      <c r="AR700" s="44" t="s">
        <v>560</v>
      </c>
      <c r="AS700" s="44" t="s">
        <v>229</v>
      </c>
      <c r="AT700" s="44">
        <v>699.0</v>
      </c>
      <c r="AU700" s="44"/>
      <c r="AW700" s="93"/>
      <c r="AY700" s="93"/>
      <c r="AZ700" s="93"/>
      <c r="BA700" s="93"/>
      <c r="BB700" s="155"/>
      <c r="BC700" s="93"/>
      <c r="BE700" s="93"/>
      <c r="BG700" s="93"/>
      <c r="BH700" s="93"/>
      <c r="BI700" s="93"/>
      <c r="BJ700" s="155"/>
      <c r="BK700" s="93"/>
    </row>
    <row r="701">
      <c r="A701" s="166">
        <v>44492.91345777777</v>
      </c>
      <c r="B701" s="44" t="s">
        <v>47</v>
      </c>
      <c r="C701" s="128">
        <v>1007.8641206936144</v>
      </c>
      <c r="D701" s="128">
        <v>14.0</v>
      </c>
      <c r="E701" s="128">
        <v>1011.6785958314999</v>
      </c>
      <c r="F701" s="44" t="s">
        <v>27</v>
      </c>
      <c r="G701" s="128">
        <v>1020.2865549572407</v>
      </c>
      <c r="H701" s="128">
        <v>19.0</v>
      </c>
      <c r="I701" s="128">
        <v>1026.8536277761182</v>
      </c>
      <c r="J701" s="44" t="s">
        <v>23</v>
      </c>
      <c r="K701" s="128">
        <v>1332.1302544108478</v>
      </c>
      <c r="L701" s="128">
        <v>25.0</v>
      </c>
      <c r="M701" s="128">
        <v>1341.7487064540846</v>
      </c>
      <c r="N701" s="44"/>
      <c r="O701" s="128"/>
      <c r="P701" s="128"/>
      <c r="Q701" s="128"/>
      <c r="V701" s="44" t="s">
        <v>107</v>
      </c>
      <c r="W701" s="128">
        <v>904.346592876222</v>
      </c>
      <c r="X701" s="128">
        <v>10.0</v>
      </c>
      <c r="Y701" s="128">
        <v>892.9811052413738</v>
      </c>
      <c r="Z701" s="44" t="s">
        <v>61</v>
      </c>
      <c r="AA701" s="128">
        <v>1039.9521577543721</v>
      </c>
      <c r="AB701" s="128">
        <v>16.0</v>
      </c>
      <c r="AC701" s="128">
        <v>1031.5948804073983</v>
      </c>
      <c r="AD701" s="44" t="s">
        <v>35</v>
      </c>
      <c r="AE701" s="128">
        <v>1418.029501012051</v>
      </c>
      <c r="AF701" s="128">
        <v>31.0</v>
      </c>
      <c r="AG701" s="128">
        <v>1417.7522659938732</v>
      </c>
      <c r="AH701" s="44"/>
      <c r="AI701" s="128"/>
      <c r="AJ701" s="128"/>
      <c r="AK701" s="128"/>
      <c r="AP701" s="128">
        <v>16.0</v>
      </c>
      <c r="AQ701" s="128">
        <v>12.0</v>
      </c>
      <c r="AT701" s="44">
        <v>700.0</v>
      </c>
      <c r="AU701" s="44"/>
      <c r="AW701" s="93"/>
      <c r="AY701" s="93"/>
      <c r="AZ701" s="93"/>
      <c r="BA701" s="93"/>
      <c r="BB701" s="155"/>
      <c r="BC701" s="93"/>
      <c r="BE701" s="93"/>
      <c r="BG701" s="93"/>
      <c r="BH701" s="93"/>
      <c r="BI701" s="93"/>
      <c r="BJ701" s="155"/>
      <c r="BK701" s="93"/>
    </row>
    <row r="702">
      <c r="A702" s="166">
        <v>44492.95159104167</v>
      </c>
      <c r="B702" s="44" t="s">
        <v>88</v>
      </c>
      <c r="C702" s="128">
        <v>840.8998160715796</v>
      </c>
      <c r="D702" s="128">
        <v>14.0</v>
      </c>
      <c r="E702" s="128">
        <v>831.8128895512765</v>
      </c>
      <c r="F702" s="44" t="s">
        <v>27</v>
      </c>
      <c r="G702" s="128">
        <v>1026.8536277761182</v>
      </c>
      <c r="H702" s="128">
        <v>14.0</v>
      </c>
      <c r="I702" s="128">
        <v>1017.2470351228318</v>
      </c>
      <c r="J702" s="44" t="s">
        <v>35</v>
      </c>
      <c r="K702" s="128">
        <v>1417.7522659938732</v>
      </c>
      <c r="L702" s="128">
        <v>27.0</v>
      </c>
      <c r="M702" s="128">
        <v>1415.4457851674626</v>
      </c>
      <c r="N702" s="44"/>
      <c r="O702" s="128"/>
      <c r="P702" s="128"/>
      <c r="Q702" s="128"/>
      <c r="V702" s="44" t="s">
        <v>107</v>
      </c>
      <c r="W702" s="128">
        <v>892.9811052413738</v>
      </c>
      <c r="X702" s="128">
        <v>11.0</v>
      </c>
      <c r="Y702" s="128">
        <v>895.4565560828977</v>
      </c>
      <c r="Z702" s="44" t="s">
        <v>61</v>
      </c>
      <c r="AA702" s="128">
        <v>1031.5948804073983</v>
      </c>
      <c r="AB702" s="128">
        <v>16.0</v>
      </c>
      <c r="AC702" s="128">
        <v>1036.620923383654</v>
      </c>
      <c r="AD702" s="44" t="s">
        <v>23</v>
      </c>
      <c r="AE702" s="128">
        <v>1341.7487064540846</v>
      </c>
      <c r="AF702" s="128">
        <v>31.0</v>
      </c>
      <c r="AG702" s="128">
        <v>1355.247212636305</v>
      </c>
      <c r="AH702" s="44"/>
      <c r="AI702" s="128"/>
      <c r="AJ702" s="128"/>
      <c r="AK702" s="128"/>
      <c r="AP702" s="128">
        <v>12.0</v>
      </c>
      <c r="AQ702" s="128">
        <v>16.0</v>
      </c>
      <c r="AT702" s="44">
        <v>701.0</v>
      </c>
      <c r="AU702" s="44"/>
      <c r="AW702" s="93"/>
      <c r="AY702" s="93"/>
      <c r="AZ702" s="93"/>
      <c r="BA702" s="93"/>
      <c r="BB702" s="155"/>
      <c r="BC702" s="93"/>
      <c r="BE702" s="93"/>
      <c r="BG702" s="93"/>
      <c r="BH702" s="93"/>
      <c r="BI702" s="93"/>
      <c r="BJ702" s="155"/>
      <c r="BK702" s="93"/>
    </row>
    <row r="703">
      <c r="A703" s="166">
        <v>44493.009006319444</v>
      </c>
      <c r="B703" s="44" t="s">
        <v>88</v>
      </c>
      <c r="C703" s="128">
        <v>831.8128895512765</v>
      </c>
      <c r="D703" s="128">
        <v>20.0</v>
      </c>
      <c r="E703" s="128">
        <v>835.6869265411117</v>
      </c>
      <c r="F703" s="44" t="s">
        <v>107</v>
      </c>
      <c r="G703" s="128">
        <v>895.4565560828977</v>
      </c>
      <c r="H703" s="128">
        <v>12.0</v>
      </c>
      <c r="I703" s="128">
        <v>897.0011252022016</v>
      </c>
      <c r="J703" s="44" t="s">
        <v>23</v>
      </c>
      <c r="K703" s="128">
        <v>1355.247212636305</v>
      </c>
      <c r="L703" s="128">
        <v>24.0</v>
      </c>
      <c r="M703" s="128">
        <v>1359.828606527166</v>
      </c>
      <c r="N703" s="44"/>
      <c r="O703" s="128"/>
      <c r="P703" s="128"/>
      <c r="Q703" s="128"/>
      <c r="V703" s="44" t="s">
        <v>47</v>
      </c>
      <c r="W703" s="128">
        <v>1011.6785958314999</v>
      </c>
      <c r="X703" s="128">
        <v>23.0</v>
      </c>
      <c r="Y703" s="128">
        <v>1009.7433249477763</v>
      </c>
      <c r="Z703" s="44" t="s">
        <v>27</v>
      </c>
      <c r="AA703" s="128">
        <v>1017.2470351228318</v>
      </c>
      <c r="AB703" s="128">
        <v>11.0</v>
      </c>
      <c r="AC703" s="128">
        <v>1011.9732305146231</v>
      </c>
      <c r="AD703" s="44" t="s">
        <v>61</v>
      </c>
      <c r="AE703" s="128">
        <v>1036.620923383654</v>
      </c>
      <c r="AF703" s="128">
        <v>20.0</v>
      </c>
      <c r="AG703" s="128">
        <v>1033.8299988755862</v>
      </c>
      <c r="AH703" s="44"/>
      <c r="AI703" s="128"/>
      <c r="AJ703" s="128"/>
      <c r="AK703" s="128"/>
      <c r="AP703" s="128">
        <v>15.0</v>
      </c>
      <c r="AQ703" s="128">
        <v>13.0</v>
      </c>
      <c r="AT703" s="44">
        <v>702.0</v>
      </c>
      <c r="AU703" s="44"/>
      <c r="AW703" s="93"/>
      <c r="AY703" s="93"/>
      <c r="AZ703" s="93"/>
      <c r="BA703" s="93"/>
      <c r="BB703" s="155"/>
      <c r="BC703" s="93"/>
      <c r="BE703" s="93"/>
      <c r="BG703" s="93"/>
      <c r="BH703" s="93"/>
      <c r="BI703" s="93"/>
      <c r="BJ703" s="155"/>
      <c r="BK703" s="93"/>
    </row>
    <row r="704">
      <c r="A704" s="166">
        <v>44493.05035575232</v>
      </c>
      <c r="B704" s="44" t="s">
        <v>88</v>
      </c>
      <c r="C704" s="128">
        <v>835.6869265411117</v>
      </c>
      <c r="D704" s="128">
        <v>20.0</v>
      </c>
      <c r="E704" s="128">
        <v>840.6847291822278</v>
      </c>
      <c r="F704" s="44" t="s">
        <v>47</v>
      </c>
      <c r="G704" s="128">
        <v>1009.7433249477763</v>
      </c>
      <c r="H704" s="128">
        <v>17.0</v>
      </c>
      <c r="I704" s="128">
        <v>1013.1804735949655</v>
      </c>
      <c r="J704" s="44" t="s">
        <v>61</v>
      </c>
      <c r="K704" s="128">
        <v>1033.8299988755862</v>
      </c>
      <c r="L704" s="128">
        <v>22.0</v>
      </c>
      <c r="M704" s="128">
        <v>1039.211238803173</v>
      </c>
      <c r="N704" s="44" t="s">
        <v>23</v>
      </c>
      <c r="O704" s="128">
        <v>1359.828606527166</v>
      </c>
      <c r="P704" s="128">
        <v>22.0</v>
      </c>
      <c r="Q704" s="128">
        <v>1365.0124153112736</v>
      </c>
      <c r="V704" s="44" t="s">
        <v>34</v>
      </c>
      <c r="W704" s="128">
        <v>896.7843583428003</v>
      </c>
      <c r="X704" s="128">
        <v>21.0</v>
      </c>
      <c r="Y704" s="128">
        <v>893.6631035536282</v>
      </c>
      <c r="Z704" s="44" t="s">
        <v>107</v>
      </c>
      <c r="AA704" s="128">
        <v>897.0011252022016</v>
      </c>
      <c r="AB704" s="128">
        <v>5.0</v>
      </c>
      <c r="AC704" s="128">
        <v>887.546106429321</v>
      </c>
      <c r="AD704" s="44" t="s">
        <v>27</v>
      </c>
      <c r="AE704" s="128">
        <v>1011.9732305146231</v>
      </c>
      <c r="AF704" s="128">
        <v>23.0</v>
      </c>
      <c r="AG704" s="128">
        <v>1009.4550574236487</v>
      </c>
      <c r="AH704" s="44" t="s">
        <v>35</v>
      </c>
      <c r="AI704" s="128">
        <v>1415.4457851674626</v>
      </c>
      <c r="AJ704" s="128">
        <v>20.0</v>
      </c>
      <c r="AK704" s="128">
        <v>1411.5402318204897</v>
      </c>
      <c r="AP704" s="128">
        <v>16.0</v>
      </c>
      <c r="AQ704" s="128">
        <v>12.0</v>
      </c>
      <c r="AT704" s="44">
        <v>703.0</v>
      </c>
      <c r="AU704" s="44"/>
      <c r="AW704" s="93"/>
      <c r="AY704" s="93"/>
      <c r="AZ704" s="93"/>
      <c r="BA704" s="93"/>
      <c r="BB704" s="155"/>
      <c r="BC704" s="93"/>
      <c r="BE704" s="93"/>
      <c r="BG704" s="93"/>
      <c r="BH704" s="93"/>
      <c r="BI704" s="93"/>
      <c r="BJ704" s="155"/>
      <c r="BK704" s="93"/>
    </row>
    <row r="705">
      <c r="A705" s="166">
        <v>44493.971874027775</v>
      </c>
      <c r="B705" s="44" t="s">
        <v>88</v>
      </c>
      <c r="C705" s="128">
        <v>840.6847291822278</v>
      </c>
      <c r="D705" s="128">
        <v>29.0</v>
      </c>
      <c r="E705" s="128">
        <v>843.9745306022234</v>
      </c>
      <c r="F705" s="44" t="s">
        <v>110</v>
      </c>
      <c r="G705" s="128">
        <v>925.8163714524371</v>
      </c>
      <c r="H705" s="128">
        <v>27.0</v>
      </c>
      <c r="I705" s="128">
        <v>927.8385010415968</v>
      </c>
      <c r="J705" s="44" t="s">
        <v>47</v>
      </c>
      <c r="K705" s="128">
        <v>1013.1804735949655</v>
      </c>
      <c r="L705" s="128">
        <v>33.0</v>
      </c>
      <c r="M705" s="128">
        <v>1017.5268130354442</v>
      </c>
      <c r="N705" s="44" t="s">
        <v>35</v>
      </c>
      <c r="O705" s="128">
        <v>1411.5402318204897</v>
      </c>
      <c r="P705" s="128">
        <v>50.0</v>
      </c>
      <c r="Q705" s="128">
        <v>1422.8819613708558</v>
      </c>
      <c r="V705" s="44" t="s">
        <v>112</v>
      </c>
      <c r="W705" s="128">
        <v>909.9772100389738</v>
      </c>
      <c r="X705" s="128">
        <v>27.0</v>
      </c>
      <c r="Y705" s="128">
        <v>904.8488467921815</v>
      </c>
      <c r="Z705" s="44" t="s">
        <v>92</v>
      </c>
      <c r="AA705" s="128">
        <v>916.5424720196014</v>
      </c>
      <c r="AB705" s="128">
        <v>17.0</v>
      </c>
      <c r="AC705" s="128">
        <v>907.0175956809218</v>
      </c>
      <c r="AD705" s="44" t="s">
        <v>27</v>
      </c>
      <c r="AE705" s="128">
        <v>1009.4550574236487</v>
      </c>
      <c r="AF705" s="128">
        <v>28.0</v>
      </c>
      <c r="AG705" s="128">
        <v>1004.4866887649296</v>
      </c>
      <c r="AH705" s="44" t="s">
        <v>23</v>
      </c>
      <c r="AI705" s="128">
        <v>1365.0124153112736</v>
      </c>
      <c r="AJ705" s="128">
        <v>37.0</v>
      </c>
      <c r="AK705" s="128">
        <v>1363.6340235554646</v>
      </c>
      <c r="AP705" s="128">
        <v>25.0</v>
      </c>
      <c r="AQ705" s="128">
        <v>17.0</v>
      </c>
      <c r="AS705" s="44" t="s">
        <v>362</v>
      </c>
      <c r="AT705" s="44">
        <v>704.0</v>
      </c>
      <c r="AU705" s="44"/>
      <c r="AW705" s="93"/>
      <c r="AY705" s="93"/>
      <c r="AZ705" s="93"/>
      <c r="BA705" s="93"/>
      <c r="BB705" s="155"/>
      <c r="BC705" s="93"/>
      <c r="BE705" s="93"/>
      <c r="BG705" s="93"/>
      <c r="BH705" s="93"/>
      <c r="BI705" s="93"/>
      <c r="BJ705" s="155"/>
      <c r="BK705" s="93"/>
    </row>
    <row r="706">
      <c r="A706" s="166">
        <v>44494.00223976852</v>
      </c>
      <c r="B706" s="44" t="s">
        <v>88</v>
      </c>
      <c r="C706" s="128">
        <v>843.9745306022234</v>
      </c>
      <c r="D706" s="128">
        <v>18.0</v>
      </c>
      <c r="E706" s="128">
        <v>838.2641624771459</v>
      </c>
      <c r="F706" s="44" t="s">
        <v>112</v>
      </c>
      <c r="G706" s="128">
        <v>904.8488467921815</v>
      </c>
      <c r="H706" s="128">
        <v>14.0</v>
      </c>
      <c r="I706" s="128">
        <v>897.0838425446216</v>
      </c>
      <c r="J706" s="44" t="s">
        <v>35</v>
      </c>
      <c r="K706" s="128">
        <v>1422.8819613708558</v>
      </c>
      <c r="L706" s="128">
        <v>24.0</v>
      </c>
      <c r="M706" s="128">
        <v>1419.3573337434932</v>
      </c>
      <c r="N706" s="44"/>
      <c r="O706" s="128"/>
      <c r="P706" s="128"/>
      <c r="Q706" s="128"/>
      <c r="V706" s="44" t="s">
        <v>92</v>
      </c>
      <c r="W706" s="128">
        <v>907.0175956809218</v>
      </c>
      <c r="X706" s="128">
        <v>26.0</v>
      </c>
      <c r="Y706" s="128">
        <v>915.9199867112396</v>
      </c>
      <c r="Z706" s="44" t="s">
        <v>110</v>
      </c>
      <c r="AA706" s="128">
        <v>927.8385010415968</v>
      </c>
      <c r="AB706" s="128">
        <v>18.0</v>
      </c>
      <c r="AC706" s="128">
        <v>932.9116350419885</v>
      </c>
      <c r="AD706" s="44" t="s">
        <v>27</v>
      </c>
      <c r="AE706" s="128">
        <v>1004.4866887649296</v>
      </c>
      <c r="AF706" s="128">
        <v>14.0</v>
      </c>
      <c r="AG706" s="128">
        <v>1007.5111637342201</v>
      </c>
      <c r="AH706" s="44"/>
      <c r="AI706" s="128"/>
      <c r="AJ706" s="128"/>
      <c r="AK706" s="128"/>
      <c r="AP706" s="128">
        <v>13.0</v>
      </c>
      <c r="AQ706" s="128">
        <v>15.0</v>
      </c>
      <c r="AS706" s="44" t="s">
        <v>497</v>
      </c>
      <c r="AT706" s="44">
        <v>705.0</v>
      </c>
      <c r="AU706" s="44"/>
      <c r="AW706" s="93"/>
      <c r="AY706" s="93"/>
      <c r="AZ706" s="93"/>
      <c r="BA706" s="93"/>
      <c r="BB706" s="155"/>
      <c r="BC706" s="93"/>
      <c r="BE706" s="93"/>
      <c r="BG706" s="93"/>
      <c r="BH706" s="93"/>
      <c r="BI706" s="93"/>
      <c r="BJ706" s="155"/>
      <c r="BK706" s="93"/>
    </row>
    <row r="707">
      <c r="A707" s="166">
        <v>44494.959743900465</v>
      </c>
      <c r="B707" s="44" t="s">
        <v>88</v>
      </c>
      <c r="C707" s="128">
        <v>838.2641624771459</v>
      </c>
      <c r="D707" s="128">
        <v>18.0</v>
      </c>
      <c r="E707" s="128">
        <v>839.8708692724186</v>
      </c>
      <c r="F707" s="44" t="s">
        <v>107</v>
      </c>
      <c r="G707" s="128">
        <v>887.546106429321</v>
      </c>
      <c r="H707" s="128">
        <v>9.0</v>
      </c>
      <c r="I707" s="128">
        <v>887.5974853488658</v>
      </c>
      <c r="J707" s="44" t="s">
        <v>35</v>
      </c>
      <c r="K707" s="128">
        <v>1419.3573337434932</v>
      </c>
      <c r="L707" s="128">
        <v>36.0</v>
      </c>
      <c r="M707" s="128">
        <v>1423.6992480286756</v>
      </c>
      <c r="N707" s="44"/>
      <c r="O707" s="128"/>
      <c r="P707" s="128"/>
      <c r="Q707" s="128"/>
      <c r="V707" s="44" t="s">
        <v>92</v>
      </c>
      <c r="W707" s="128">
        <v>915.9199867112396</v>
      </c>
      <c r="X707" s="128">
        <v>23.0</v>
      </c>
      <c r="Y707" s="128">
        <v>915.3849598969839</v>
      </c>
      <c r="Z707" s="44" t="s">
        <v>110</v>
      </c>
      <c r="AA707" s="128">
        <v>932.9116350419885</v>
      </c>
      <c r="AB707" s="128">
        <v>10.0</v>
      </c>
      <c r="AC707" s="128">
        <v>930.1991929953182</v>
      </c>
      <c r="AD707" s="44" t="s">
        <v>27</v>
      </c>
      <c r="AE707" s="128">
        <v>1007.5111637342201</v>
      </c>
      <c r="AF707" s="128">
        <v>10.0</v>
      </c>
      <c r="AG707" s="128">
        <v>1004.7586325951461</v>
      </c>
      <c r="AH707" s="44"/>
      <c r="AI707" s="128"/>
      <c r="AJ707" s="128"/>
      <c r="AK707" s="128"/>
      <c r="AP707" s="128">
        <v>18.0</v>
      </c>
      <c r="AQ707" s="128">
        <v>10.0</v>
      </c>
      <c r="AT707" s="44">
        <v>706.0</v>
      </c>
      <c r="AU707" s="44"/>
      <c r="AW707" s="93"/>
      <c r="AY707" s="93"/>
      <c r="AZ707" s="93"/>
      <c r="BA707" s="93"/>
      <c r="BB707" s="155"/>
      <c r="BC707" s="93"/>
      <c r="BE707" s="93"/>
      <c r="BG707" s="93"/>
      <c r="BH707" s="93"/>
      <c r="BI707" s="93"/>
      <c r="BJ707" s="155"/>
      <c r="BK707" s="93"/>
    </row>
    <row r="708">
      <c r="A708" s="166">
        <v>44495.969842569444</v>
      </c>
      <c r="B708" s="44" t="s">
        <v>92</v>
      </c>
      <c r="C708" s="128">
        <v>915.3849598969839</v>
      </c>
      <c r="D708" s="128">
        <v>21.0</v>
      </c>
      <c r="E708" s="128">
        <v>921.5299246523828</v>
      </c>
      <c r="F708" s="44" t="s">
        <v>110</v>
      </c>
      <c r="G708" s="128">
        <v>930.1991929953182</v>
      </c>
      <c r="H708" s="128">
        <v>20.0</v>
      </c>
      <c r="I708" s="128">
        <v>935.8659482214123</v>
      </c>
      <c r="J708" s="44" t="s">
        <v>27</v>
      </c>
      <c r="K708" s="128">
        <v>1004.7586325951461</v>
      </c>
      <c r="L708" s="128">
        <v>17.0</v>
      </c>
      <c r="M708" s="128">
        <v>1008.9469126136531</v>
      </c>
      <c r="N708" s="44"/>
      <c r="O708" s="128"/>
      <c r="P708" s="128"/>
      <c r="Q708" s="128"/>
      <c r="V708" s="44" t="s">
        <v>123</v>
      </c>
      <c r="W708" s="128">
        <v>756.2380380718961</v>
      </c>
      <c r="X708" s="128">
        <v>6.0</v>
      </c>
      <c r="Y708" s="128">
        <v>746.5528880931942</v>
      </c>
      <c r="Z708" s="44" t="s">
        <v>112</v>
      </c>
      <c r="AA708" s="128">
        <v>897.0838425446216</v>
      </c>
      <c r="AB708" s="128">
        <v>16.0</v>
      </c>
      <c r="AC708" s="128">
        <v>891.4727176140667</v>
      </c>
      <c r="AD708" s="44" t="s">
        <v>35</v>
      </c>
      <c r="AE708" s="128">
        <v>1423.6992480286756</v>
      </c>
      <c r="AF708" s="128">
        <v>28.0</v>
      </c>
      <c r="AG708" s="128">
        <v>1422.9955229379323</v>
      </c>
      <c r="AH708" s="44"/>
      <c r="AI708" s="128"/>
      <c r="AJ708" s="128"/>
      <c r="AK708" s="128"/>
      <c r="AP708" s="128">
        <v>15.0</v>
      </c>
      <c r="AQ708" s="128">
        <v>13.0</v>
      </c>
      <c r="AS708" s="44" t="s">
        <v>253</v>
      </c>
      <c r="AT708" s="44">
        <v>707.0</v>
      </c>
      <c r="AU708" s="44"/>
      <c r="AW708" s="93"/>
      <c r="AY708" s="93"/>
      <c r="AZ708" s="93"/>
      <c r="BA708" s="93"/>
      <c r="BB708" s="155"/>
      <c r="BC708" s="93"/>
      <c r="BE708" s="93"/>
      <c r="BG708" s="93"/>
      <c r="BH708" s="93"/>
      <c r="BI708" s="93"/>
      <c r="BJ708" s="155"/>
      <c r="BK708" s="93"/>
    </row>
    <row r="709">
      <c r="A709" s="166">
        <v>44496.00120777778</v>
      </c>
      <c r="B709" s="44" t="s">
        <v>123</v>
      </c>
      <c r="C709" s="128">
        <v>746.5528880931942</v>
      </c>
      <c r="D709" s="128">
        <v>14.0</v>
      </c>
      <c r="E709" s="128">
        <v>739.489826933385</v>
      </c>
      <c r="F709" s="44" t="s">
        <v>92</v>
      </c>
      <c r="G709" s="128">
        <v>921.5299246523828</v>
      </c>
      <c r="H709" s="128">
        <v>13.0</v>
      </c>
      <c r="I709" s="128">
        <v>913.4956916784635</v>
      </c>
      <c r="J709" s="44" t="s">
        <v>110</v>
      </c>
      <c r="K709" s="128">
        <v>935.8659482214123</v>
      </c>
      <c r="L709" s="128">
        <v>15.0</v>
      </c>
      <c r="M709" s="128">
        <v>928.716647675222</v>
      </c>
      <c r="N709" s="44" t="s">
        <v>35</v>
      </c>
      <c r="O709" s="128">
        <v>1422.9955229379323</v>
      </c>
      <c r="P709" s="128">
        <v>32.0</v>
      </c>
      <c r="Q709" s="128">
        <v>1422.9855229379323</v>
      </c>
      <c r="V709" s="44" t="s">
        <v>112</v>
      </c>
      <c r="W709" s="128">
        <v>891.4727176140667</v>
      </c>
      <c r="X709" s="128">
        <v>24.0</v>
      </c>
      <c r="Y709" s="128">
        <v>898.9184524316742</v>
      </c>
      <c r="Z709" s="44" t="s">
        <v>27</v>
      </c>
      <c r="AA709" s="128">
        <v>1008.9469126136531</v>
      </c>
      <c r="AB709" s="128">
        <v>17.0</v>
      </c>
      <c r="AC709" s="128">
        <v>1012.9244614613415</v>
      </c>
      <c r="AD709" s="44" t="s">
        <v>61</v>
      </c>
      <c r="AE709" s="128">
        <v>1039.211238803173</v>
      </c>
      <c r="AF709" s="128">
        <v>11.0</v>
      </c>
      <c r="AG709" s="128">
        <v>1040.3889680808777</v>
      </c>
      <c r="AH709" s="44" t="s">
        <v>245</v>
      </c>
      <c r="AI709" s="128">
        <v>1058.77523581191</v>
      </c>
      <c r="AJ709" s="128">
        <v>29.0</v>
      </c>
      <c r="AK709" s="128">
        <v>1068.1742228689095</v>
      </c>
      <c r="AP709" s="128">
        <v>12.0</v>
      </c>
      <c r="AQ709" s="128">
        <v>16.0</v>
      </c>
      <c r="AR709" s="44" t="s">
        <v>561</v>
      </c>
      <c r="AS709" s="44" t="s">
        <v>229</v>
      </c>
      <c r="AT709" s="44">
        <v>708.0</v>
      </c>
      <c r="AU709" s="44"/>
      <c r="AW709" s="93"/>
      <c r="AY709" s="93"/>
      <c r="AZ709" s="93"/>
      <c r="BA709" s="93"/>
      <c r="BB709" s="155"/>
      <c r="BC709" s="93"/>
      <c r="BE709" s="93"/>
      <c r="BG709" s="93"/>
      <c r="BH709" s="93"/>
      <c r="BI709" s="93"/>
      <c r="BJ709" s="155"/>
      <c r="BK709" s="93"/>
    </row>
    <row r="710">
      <c r="A710" s="166">
        <v>44497.95662625</v>
      </c>
      <c r="B710" s="44" t="s">
        <v>107</v>
      </c>
      <c r="C710" s="128">
        <v>887.5974853488658</v>
      </c>
      <c r="D710" s="128">
        <v>13.0</v>
      </c>
      <c r="E710" s="128">
        <v>880.3303984625398</v>
      </c>
      <c r="F710" s="44" t="s">
        <v>110</v>
      </c>
      <c r="G710" s="128">
        <v>928.716647675222</v>
      </c>
      <c r="H710" s="128">
        <v>7.0</v>
      </c>
      <c r="I710" s="128">
        <v>918.1932714560894</v>
      </c>
      <c r="J710" s="44" t="s">
        <v>61</v>
      </c>
      <c r="K710" s="128">
        <v>1040.3889680808777</v>
      </c>
      <c r="L710" s="128">
        <v>25.0</v>
      </c>
      <c r="M710" s="128">
        <v>1039.1794311863362</v>
      </c>
      <c r="N710" s="44"/>
      <c r="O710" s="128"/>
      <c r="P710" s="128"/>
      <c r="Q710" s="128"/>
      <c r="V710" s="44" t="s">
        <v>88</v>
      </c>
      <c r="W710" s="128">
        <v>839.8708692724186</v>
      </c>
      <c r="X710" s="128">
        <v>19.0</v>
      </c>
      <c r="Y710" s="128">
        <v>845.1431350075331</v>
      </c>
      <c r="Z710" s="44" t="s">
        <v>27</v>
      </c>
      <c r="AA710" s="128">
        <v>1012.9244614613415</v>
      </c>
      <c r="AB710" s="128">
        <v>21.0</v>
      </c>
      <c r="AC710" s="128">
        <v>1018.7376488084676</v>
      </c>
      <c r="AD710" s="44" t="s">
        <v>47</v>
      </c>
      <c r="AE710" s="128">
        <v>1017.5268130354442</v>
      </c>
      <c r="AF710" s="128">
        <v>25.0</v>
      </c>
      <c r="AG710" s="128">
        <v>1025.4413599532036</v>
      </c>
      <c r="AH710" s="44"/>
      <c r="AI710" s="128"/>
      <c r="AJ710" s="128"/>
      <c r="AK710" s="128"/>
      <c r="AP710" s="128">
        <v>10.0</v>
      </c>
      <c r="AQ710" s="128">
        <v>18.0</v>
      </c>
      <c r="AT710" s="44">
        <v>709.0</v>
      </c>
      <c r="AU710" s="44"/>
      <c r="AW710" s="93"/>
      <c r="AY710" s="93"/>
      <c r="AZ710" s="93"/>
      <c r="BA710" s="93"/>
      <c r="BB710" s="155"/>
      <c r="BC710" s="93"/>
      <c r="BE710" s="93"/>
      <c r="BG710" s="93"/>
      <c r="BH710" s="93"/>
      <c r="BI710" s="93"/>
      <c r="BJ710" s="155"/>
      <c r="BK710" s="93"/>
    </row>
    <row r="711">
      <c r="A711" s="166">
        <v>44498.59550810185</v>
      </c>
      <c r="B711" s="44" t="s">
        <v>123</v>
      </c>
      <c r="C711" s="128">
        <v>739.489826933385</v>
      </c>
      <c r="D711" s="128">
        <v>12.0</v>
      </c>
      <c r="E711" s="128">
        <v>741.74717706619</v>
      </c>
      <c r="F711" s="44" t="s">
        <v>245</v>
      </c>
      <c r="G711" s="128">
        <v>1068.1742228689095</v>
      </c>
      <c r="H711" s="128">
        <v>27.0</v>
      </c>
      <c r="I711" s="128">
        <v>1075.9168727361043</v>
      </c>
      <c r="J711" s="44"/>
      <c r="K711" s="128"/>
      <c r="L711" s="128"/>
      <c r="M711" s="128"/>
      <c r="N711" s="44"/>
      <c r="O711" s="128"/>
      <c r="P711" s="128"/>
      <c r="Q711" s="128"/>
      <c r="V711" s="44" t="s">
        <v>112</v>
      </c>
      <c r="W711" s="128">
        <v>898.9184524316742</v>
      </c>
      <c r="X711" s="128">
        <v>19.0</v>
      </c>
      <c r="Y711" s="128">
        <v>894.7661970294087</v>
      </c>
      <c r="Z711" s="44" t="s">
        <v>92</v>
      </c>
      <c r="AA711" s="128">
        <v>913.4956916784635</v>
      </c>
      <c r="AB711" s="128">
        <v>15.0</v>
      </c>
      <c r="AC711" s="128">
        <v>907.647947080729</v>
      </c>
      <c r="AD711" s="44"/>
      <c r="AE711" s="128"/>
      <c r="AF711" s="128"/>
      <c r="AG711" s="128"/>
      <c r="AH711" s="44"/>
      <c r="AI711" s="128"/>
      <c r="AJ711" s="128"/>
      <c r="AK711" s="128"/>
      <c r="AP711" s="128">
        <v>15.0</v>
      </c>
      <c r="AQ711" s="128">
        <v>13.0</v>
      </c>
      <c r="AR711" s="44" t="s">
        <v>562</v>
      </c>
      <c r="AS711" s="44" t="s">
        <v>229</v>
      </c>
      <c r="AT711" s="44">
        <v>710.0</v>
      </c>
      <c r="AU711" s="44"/>
      <c r="AW711" s="93"/>
      <c r="AY711" s="93"/>
      <c r="AZ711" s="93"/>
      <c r="BA711" s="93"/>
      <c r="BB711" s="155"/>
      <c r="BC711" s="93"/>
      <c r="BE711" s="93"/>
      <c r="BG711" s="93"/>
      <c r="BH711" s="93"/>
      <c r="BI711" s="93"/>
      <c r="BJ711" s="155"/>
      <c r="BK711" s="93"/>
    </row>
    <row r="712">
      <c r="A712" s="166">
        <v>44498.94696347222</v>
      </c>
      <c r="B712" s="44" t="s">
        <v>107</v>
      </c>
      <c r="C712" s="128">
        <v>880.3303984625398</v>
      </c>
      <c r="D712" s="128">
        <v>9.0</v>
      </c>
      <c r="E712" s="128">
        <v>877.6487960617538</v>
      </c>
      <c r="F712" s="44" t="s">
        <v>112</v>
      </c>
      <c r="G712" s="128">
        <v>894.7661970294087</v>
      </c>
      <c r="H712" s="128">
        <v>12.0</v>
      </c>
      <c r="I712" s="128">
        <v>892.4915442603653</v>
      </c>
      <c r="J712" s="44" t="s">
        <v>23</v>
      </c>
      <c r="K712" s="128">
        <v>1363.6340235554646</v>
      </c>
      <c r="L712" s="128">
        <v>29.0</v>
      </c>
      <c r="M712" s="128">
        <v>1363.590278725294</v>
      </c>
      <c r="N712" s="44"/>
      <c r="O712" s="128"/>
      <c r="P712" s="128"/>
      <c r="Q712" s="128"/>
      <c r="V712" s="44" t="s">
        <v>92</v>
      </c>
      <c r="W712" s="128">
        <v>907.647947080729</v>
      </c>
      <c r="X712" s="128">
        <v>14.0</v>
      </c>
      <c r="Y712" s="128">
        <v>908.5743123888666</v>
      </c>
      <c r="Z712" s="44" t="s">
        <v>27</v>
      </c>
      <c r="AA712" s="128">
        <v>1018.7376488084676</v>
      </c>
      <c r="AB712" s="128">
        <v>25.0</v>
      </c>
      <c r="AC712" s="128">
        <v>1021.1233174286606</v>
      </c>
      <c r="AD712" s="44" t="s">
        <v>47</v>
      </c>
      <c r="AE712" s="128">
        <v>1025.4413599532036</v>
      </c>
      <c r="AF712" s="128">
        <v>20.0</v>
      </c>
      <c r="AG712" s="128">
        <v>1027.129326024873</v>
      </c>
      <c r="AH712" s="44"/>
      <c r="AI712" s="128"/>
      <c r="AJ712" s="128"/>
      <c r="AK712" s="128"/>
      <c r="AP712" s="128">
        <v>14.0</v>
      </c>
      <c r="AQ712" s="128">
        <v>14.0</v>
      </c>
      <c r="AS712" s="44" t="s">
        <v>229</v>
      </c>
      <c r="AT712" s="44">
        <v>711.0</v>
      </c>
      <c r="AU712" s="44"/>
      <c r="AW712" s="93"/>
      <c r="AY712" s="93"/>
      <c r="AZ712" s="93"/>
      <c r="BA712" s="93"/>
      <c r="BB712" s="155"/>
      <c r="BC712" s="93"/>
      <c r="BE712" s="93"/>
      <c r="BG712" s="93"/>
      <c r="BH712" s="93"/>
      <c r="BI712" s="93"/>
      <c r="BJ712" s="155"/>
      <c r="BK712" s="93"/>
    </row>
    <row r="713">
      <c r="A713" s="166">
        <v>44499.00796791667</v>
      </c>
      <c r="B713" s="44" t="s">
        <v>107</v>
      </c>
      <c r="C713" s="128">
        <v>877.6487960617538</v>
      </c>
      <c r="D713" s="128">
        <v>31.0</v>
      </c>
      <c r="E713" s="128">
        <v>875.6838472484935</v>
      </c>
      <c r="F713" s="44" t="s">
        <v>92</v>
      </c>
      <c r="G713" s="128">
        <v>908.5743123888666</v>
      </c>
      <c r="H713" s="128">
        <v>24.0</v>
      </c>
      <c r="I713" s="128">
        <v>905.0975248484065</v>
      </c>
      <c r="J713" s="44" t="s">
        <v>27</v>
      </c>
      <c r="K713" s="128">
        <v>1021.1233174286606</v>
      </c>
      <c r="L713" s="128">
        <v>29.0</v>
      </c>
      <c r="M713" s="128">
        <v>1018.5349022937464</v>
      </c>
      <c r="N713" s="44" t="s">
        <v>47</v>
      </c>
      <c r="O713" s="128">
        <v>1027.129326024873</v>
      </c>
      <c r="P713" s="128">
        <v>32.0</v>
      </c>
      <c r="Q713" s="128">
        <v>1025.1594775135077</v>
      </c>
      <c r="V713" s="44" t="s">
        <v>123</v>
      </c>
      <c r="W713" s="128">
        <v>741.74717706619</v>
      </c>
      <c r="X713" s="128">
        <v>18.0</v>
      </c>
      <c r="Y713" s="128">
        <v>742.1177628090538</v>
      </c>
      <c r="Z713" s="44" t="s">
        <v>88</v>
      </c>
      <c r="AA713" s="128">
        <v>845.1431350075331</v>
      </c>
      <c r="AB713" s="128">
        <v>32.0</v>
      </c>
      <c r="AC713" s="128">
        <v>848.1869356290684</v>
      </c>
      <c r="AD713" s="44" t="s">
        <v>112</v>
      </c>
      <c r="AE713" s="128">
        <v>892.4915442603653</v>
      </c>
      <c r="AF713" s="128">
        <v>31.0</v>
      </c>
      <c r="AG713" s="128">
        <v>895.2351035381976</v>
      </c>
      <c r="AH713" s="44" t="s">
        <v>23</v>
      </c>
      <c r="AI713" s="128">
        <v>1363.590278725294</v>
      </c>
      <c r="AJ713" s="128">
        <v>38.0</v>
      </c>
      <c r="AK713" s="128">
        <v>1367.4323330830628</v>
      </c>
      <c r="AP713" s="128">
        <v>19.0</v>
      </c>
      <c r="AQ713" s="128">
        <v>23.0</v>
      </c>
      <c r="AS713" s="44" t="s">
        <v>563</v>
      </c>
      <c r="AT713" s="44">
        <v>712.0</v>
      </c>
      <c r="AU713" s="44"/>
      <c r="AW713" s="93"/>
      <c r="AY713" s="93"/>
      <c r="AZ713" s="93"/>
      <c r="BA713" s="93"/>
      <c r="BB713" s="155"/>
      <c r="BC713" s="93"/>
      <c r="BE713" s="93"/>
      <c r="BG713" s="93"/>
      <c r="BH713" s="93"/>
      <c r="BI713" s="93"/>
      <c r="BJ713" s="155"/>
      <c r="BK713" s="93"/>
    </row>
    <row r="714">
      <c r="A714" s="166">
        <v>44502.99667853009</v>
      </c>
      <c r="B714" s="44" t="s">
        <v>88</v>
      </c>
      <c r="C714" s="128">
        <v>848.1869356290684</v>
      </c>
      <c r="D714" s="128">
        <v>14.0</v>
      </c>
      <c r="E714" s="128">
        <v>848.8940233547872</v>
      </c>
      <c r="F714" s="44" t="s">
        <v>34</v>
      </c>
      <c r="G714" s="128">
        <v>893.6631035536282</v>
      </c>
      <c r="H714" s="128">
        <v>16.0</v>
      </c>
      <c r="I714" s="128">
        <v>894.6517448324992</v>
      </c>
      <c r="J714" s="44" t="s">
        <v>112</v>
      </c>
      <c r="K714" s="128">
        <v>895.2351035381976</v>
      </c>
      <c r="L714" s="128">
        <v>21.0</v>
      </c>
      <c r="M714" s="128">
        <v>897.0554083599446</v>
      </c>
      <c r="N714" s="44" t="s">
        <v>47</v>
      </c>
      <c r="O714" s="128">
        <v>1025.1594775135077</v>
      </c>
      <c r="P714" s="128">
        <v>22.0</v>
      </c>
      <c r="Q714" s="128">
        <v>1027.0353885581267</v>
      </c>
      <c r="R714" s="44" t="s">
        <v>35</v>
      </c>
      <c r="S714" s="128">
        <v>1422.9855229379323</v>
      </c>
      <c r="T714" s="128">
        <v>39.0</v>
      </c>
      <c r="U714" s="128">
        <v>1427.5935780669763</v>
      </c>
      <c r="V714" s="44" t="s">
        <v>107</v>
      </c>
      <c r="W714" s="128">
        <v>875.6838472484935</v>
      </c>
      <c r="X714" s="128">
        <v>21.0</v>
      </c>
      <c r="Y714" s="128">
        <v>873.7327157330028</v>
      </c>
      <c r="Z714" s="44" t="s">
        <v>92</v>
      </c>
      <c r="AA714" s="128">
        <v>905.0975248484065</v>
      </c>
      <c r="AB714" s="128">
        <v>18.0</v>
      </c>
      <c r="AC714" s="128">
        <v>902.6165540091943</v>
      </c>
      <c r="AD714" s="44" t="s">
        <v>110</v>
      </c>
      <c r="AE714" s="128">
        <v>918.1932714560894</v>
      </c>
      <c r="AF714" s="128">
        <v>16.0</v>
      </c>
      <c r="AG714" s="128">
        <v>915.3665303041174</v>
      </c>
      <c r="AH714" s="44" t="s">
        <v>27</v>
      </c>
      <c r="AI714" s="128">
        <v>1018.5349022937464</v>
      </c>
      <c r="AJ714" s="128">
        <v>16.0</v>
      </c>
      <c r="AK714" s="128">
        <v>1015.6297101055441</v>
      </c>
      <c r="AL714" s="44" t="s">
        <v>23</v>
      </c>
      <c r="AM714" s="128">
        <v>1367.4323330830628</v>
      </c>
      <c r="AN714" s="128">
        <v>35.0</v>
      </c>
      <c r="AO714" s="128">
        <v>1367.59636877794</v>
      </c>
      <c r="AP714" s="128">
        <v>15.0</v>
      </c>
      <c r="AQ714" s="128">
        <v>13.0</v>
      </c>
      <c r="AS714" s="44" t="s">
        <v>229</v>
      </c>
      <c r="AT714" s="44">
        <v>713.0</v>
      </c>
      <c r="AU714" s="44"/>
      <c r="AW714" s="93"/>
      <c r="AY714" s="93"/>
      <c r="AZ714" s="93"/>
      <c r="BA714" s="93"/>
      <c r="BB714" s="155"/>
      <c r="BC714" s="93"/>
      <c r="BE714" s="93"/>
      <c r="BG714" s="93"/>
      <c r="BH714" s="93"/>
      <c r="BI714" s="93"/>
      <c r="BJ714" s="155"/>
      <c r="BK714" s="93"/>
    </row>
    <row r="715">
      <c r="A715" s="166">
        <v>44503.032929884255</v>
      </c>
      <c r="B715" s="44" t="s">
        <v>88</v>
      </c>
      <c r="C715" s="128">
        <v>848.8940233547872</v>
      </c>
      <c r="D715" s="128">
        <v>14.0</v>
      </c>
      <c r="E715" s="128">
        <v>845.5237292376581</v>
      </c>
      <c r="F715" s="44" t="s">
        <v>107</v>
      </c>
      <c r="G715" s="128">
        <v>873.7327157330028</v>
      </c>
      <c r="H715" s="128">
        <v>14.0</v>
      </c>
      <c r="I715" s="128">
        <v>870.3322633730228</v>
      </c>
      <c r="J715" s="44" t="s">
        <v>47</v>
      </c>
      <c r="K715" s="128">
        <v>1027.0353885581267</v>
      </c>
      <c r="L715" s="128">
        <v>15.0</v>
      </c>
      <c r="M715" s="128">
        <v>1023.7021817238962</v>
      </c>
      <c r="N715" s="44" t="s">
        <v>35</v>
      </c>
      <c r="O715" s="128">
        <v>1427.5935780669763</v>
      </c>
      <c r="P715" s="128">
        <v>32.0</v>
      </c>
      <c r="Q715" s="128">
        <v>1427.5835780669763</v>
      </c>
      <c r="V715" s="44" t="s">
        <v>112</v>
      </c>
      <c r="W715" s="128">
        <v>897.0554083599446</v>
      </c>
      <c r="X715" s="128">
        <v>19.0</v>
      </c>
      <c r="Y715" s="128">
        <v>899.3324767622902</v>
      </c>
      <c r="Z715" s="44" t="s">
        <v>92</v>
      </c>
      <c r="AA715" s="128">
        <v>902.6165540091943</v>
      </c>
      <c r="AB715" s="128">
        <v>18.0</v>
      </c>
      <c r="AC715" s="128">
        <v>904.6787269548466</v>
      </c>
      <c r="AD715" s="44" t="s">
        <v>27</v>
      </c>
      <c r="AE715" s="128">
        <v>1015.6297101055441</v>
      </c>
      <c r="AF715" s="128">
        <v>18.0</v>
      </c>
      <c r="AG715" s="128">
        <v>1017.5823411559267</v>
      </c>
      <c r="AH715" s="44" t="s">
        <v>23</v>
      </c>
      <c r="AI715" s="128">
        <v>1367.59636877794</v>
      </c>
      <c r="AJ715" s="128">
        <v>27.0</v>
      </c>
      <c r="AK715" s="128">
        <v>1371.3044963795594</v>
      </c>
      <c r="AP715" s="128">
        <v>13.0</v>
      </c>
      <c r="AQ715" s="128">
        <v>15.0</v>
      </c>
      <c r="AS715" s="44" t="s">
        <v>266</v>
      </c>
      <c r="AT715" s="44">
        <v>714.0</v>
      </c>
      <c r="AU715" s="44"/>
      <c r="AW715" s="93"/>
      <c r="AY715" s="93"/>
      <c r="AZ715" s="93"/>
      <c r="BA715" s="93"/>
      <c r="BB715" s="155"/>
      <c r="BC715" s="93"/>
      <c r="BE715" s="93"/>
      <c r="BG715" s="93"/>
      <c r="BH715" s="93"/>
      <c r="BI715" s="93"/>
      <c r="BJ715" s="155"/>
      <c r="BK715" s="93"/>
    </row>
    <row r="716">
      <c r="A716" s="166">
        <v>44503.93328842593</v>
      </c>
      <c r="B716" s="44" t="s">
        <v>88</v>
      </c>
      <c r="C716" s="128">
        <v>845.5237292376581</v>
      </c>
      <c r="D716" s="128">
        <v>23.0</v>
      </c>
      <c r="E716" s="128">
        <v>855.7227022708782</v>
      </c>
      <c r="F716" s="44" t="s">
        <v>112</v>
      </c>
      <c r="G716" s="128">
        <v>899.3324767622902</v>
      </c>
      <c r="H716" s="128">
        <v>32.0</v>
      </c>
      <c r="I716" s="128">
        <v>916.1893442155904</v>
      </c>
      <c r="J716" s="44" t="s">
        <v>27</v>
      </c>
      <c r="K716" s="128">
        <v>1017.5823411559267</v>
      </c>
      <c r="L716" s="128">
        <v>15.0</v>
      </c>
      <c r="M716" s="128">
        <v>1020.8682890772824</v>
      </c>
      <c r="N716" s="44" t="s">
        <v>23</v>
      </c>
      <c r="O716" s="128">
        <v>1371.3044963795594</v>
      </c>
      <c r="P716" s="128">
        <v>20.0</v>
      </c>
      <c r="Q716" s="128">
        <v>1377.9627079716834</v>
      </c>
      <c r="V716" s="44" t="s">
        <v>123</v>
      </c>
      <c r="W716" s="128">
        <v>742.1177628090538</v>
      </c>
      <c r="X716" s="128">
        <v>7.0</v>
      </c>
      <c r="Y716" s="128">
        <v>725.0811099932075</v>
      </c>
      <c r="Z716" s="44" t="s">
        <v>110</v>
      </c>
      <c r="AA716" s="128">
        <v>915.3665303041174</v>
      </c>
      <c r="AB716" s="128">
        <v>14.0</v>
      </c>
      <c r="AC716" s="128">
        <v>902.8983176830977</v>
      </c>
      <c r="AD716" s="44" t="s">
        <v>47</v>
      </c>
      <c r="AE716" s="128">
        <v>1023.7021817238962</v>
      </c>
      <c r="AF716" s="128">
        <v>22.0</v>
      </c>
      <c r="AG716" s="128">
        <v>1017.064923665345</v>
      </c>
      <c r="AH716" s="44" t="s">
        <v>35</v>
      </c>
      <c r="AI716" s="128">
        <v>1427.5835780669763</v>
      </c>
      <c r="AJ716" s="128">
        <v>30.0</v>
      </c>
      <c r="AK716" s="128">
        <v>1426.7257015623934</v>
      </c>
      <c r="AP716" s="128">
        <v>18.0</v>
      </c>
      <c r="AQ716" s="128">
        <v>9.0</v>
      </c>
      <c r="AS716" s="44" t="s">
        <v>229</v>
      </c>
      <c r="AT716" s="44">
        <v>715.0</v>
      </c>
      <c r="AU716" s="44"/>
      <c r="AW716" s="93"/>
      <c r="AY716" s="93"/>
      <c r="AZ716" s="93"/>
      <c r="BA716" s="93"/>
      <c r="BB716" s="155"/>
      <c r="BC716" s="93"/>
      <c r="BE716" s="93"/>
      <c r="BG716" s="93"/>
      <c r="BH716" s="93"/>
      <c r="BI716" s="93"/>
      <c r="BJ716" s="155"/>
      <c r="BK716" s="93"/>
    </row>
    <row r="717">
      <c r="A717" s="166">
        <v>44503.97047721065</v>
      </c>
      <c r="B717" s="44" t="s">
        <v>88</v>
      </c>
      <c r="C717" s="128">
        <v>855.7227022708782</v>
      </c>
      <c r="D717" s="128">
        <v>17.0</v>
      </c>
      <c r="E717" s="128">
        <v>860.0748973668748</v>
      </c>
      <c r="F717" s="44" t="s">
        <v>110</v>
      </c>
      <c r="G717" s="128">
        <v>902.8983176830977</v>
      </c>
      <c r="H717" s="128">
        <v>16.0</v>
      </c>
      <c r="I717" s="128">
        <v>906.666015066567</v>
      </c>
      <c r="J717" s="44" t="s">
        <v>112</v>
      </c>
      <c r="K717" s="128">
        <v>916.1893442155904</v>
      </c>
      <c r="L717" s="128">
        <v>22.0</v>
      </c>
      <c r="M717" s="128">
        <v>922.674594572184</v>
      </c>
      <c r="N717" s="44" t="s">
        <v>35</v>
      </c>
      <c r="O717" s="128">
        <v>1426.7257015623934</v>
      </c>
      <c r="P717" s="128">
        <v>25.0</v>
      </c>
      <c r="Q717" s="128">
        <v>1434.1205587263341</v>
      </c>
      <c r="V717" s="44" t="s">
        <v>123</v>
      </c>
      <c r="W717" s="128">
        <v>725.0811099932075</v>
      </c>
      <c r="X717" s="128">
        <v>7.0</v>
      </c>
      <c r="Y717" s="128">
        <v>715.8829161135338</v>
      </c>
      <c r="Z717" s="44" t="s">
        <v>47</v>
      </c>
      <c r="AA717" s="128">
        <v>1017.064923665345</v>
      </c>
      <c r="AB717" s="128">
        <v>10.0</v>
      </c>
      <c r="AC717" s="128">
        <v>1008.5912572977171</v>
      </c>
      <c r="AD717" s="44" t="s">
        <v>27</v>
      </c>
      <c r="AE717" s="128">
        <v>1020.8682890772824</v>
      </c>
      <c r="AF717" s="128">
        <v>18.0</v>
      </c>
      <c r="AG717" s="128">
        <v>1016.0562308600764</v>
      </c>
      <c r="AH717" s="44" t="s">
        <v>23</v>
      </c>
      <c r="AI717" s="128">
        <v>1377.9627079716834</v>
      </c>
      <c r="AJ717" s="128">
        <v>30.0</v>
      </c>
      <c r="AK717" s="128">
        <v>1378.4466264361909</v>
      </c>
      <c r="AP717" s="128">
        <v>16.0</v>
      </c>
      <c r="AQ717" s="128">
        <v>12.0</v>
      </c>
      <c r="AS717" s="44" t="s">
        <v>266</v>
      </c>
      <c r="AT717" s="44">
        <v>716.0</v>
      </c>
      <c r="AU717" s="44"/>
      <c r="AW717" s="93"/>
      <c r="AY717" s="93"/>
      <c r="AZ717" s="93"/>
      <c r="BA717" s="93"/>
      <c r="BB717" s="155"/>
      <c r="BC717" s="93"/>
      <c r="BE717" s="93"/>
      <c r="BG717" s="93"/>
      <c r="BH717" s="93"/>
      <c r="BI717" s="93"/>
      <c r="BJ717" s="155"/>
      <c r="BK717" s="93"/>
    </row>
    <row r="718">
      <c r="A718" s="166">
        <v>44504.0087071875</v>
      </c>
      <c r="B718" s="44" t="s">
        <v>127</v>
      </c>
      <c r="C718" s="128">
        <v>567.86</v>
      </c>
      <c r="D718" s="128">
        <v>5.0</v>
      </c>
      <c r="E718" s="128">
        <v>562.6855257085407</v>
      </c>
      <c r="F718" s="44" t="s">
        <v>129</v>
      </c>
      <c r="G718" s="128">
        <v>694.4529878131085</v>
      </c>
      <c r="H718" s="128">
        <v>6.0</v>
      </c>
      <c r="I718" s="128">
        <v>689.3081578708527</v>
      </c>
      <c r="J718" s="44" t="s">
        <v>455</v>
      </c>
      <c r="K718" s="128">
        <v>765.0032481097292</v>
      </c>
      <c r="L718" s="128">
        <v>3.0</v>
      </c>
      <c r="M718" s="128">
        <v>759.061788173923</v>
      </c>
      <c r="N718" s="44" t="s">
        <v>121</v>
      </c>
      <c r="O718" s="128">
        <v>960.9191498393965</v>
      </c>
      <c r="P718" s="128">
        <v>18.0</v>
      </c>
      <c r="Q718" s="128">
        <v>958.2766939395559</v>
      </c>
      <c r="R718" s="44" t="s">
        <v>35</v>
      </c>
      <c r="S718" s="128">
        <v>1434.1205587263341</v>
      </c>
      <c r="T718" s="128">
        <v>51.0</v>
      </c>
      <c r="U718" s="128">
        <v>1434.1105587263341</v>
      </c>
      <c r="V718" s="44" t="s">
        <v>123</v>
      </c>
      <c r="W718" s="128">
        <v>715.8829161135338</v>
      </c>
      <c r="X718" s="128">
        <v>18.0</v>
      </c>
      <c r="Y718" s="128">
        <v>717.5253003842149</v>
      </c>
      <c r="Z718" s="44" t="s">
        <v>88</v>
      </c>
      <c r="AA718" s="128">
        <v>860.0748973668748</v>
      </c>
      <c r="AB718" s="128">
        <v>19.0</v>
      </c>
      <c r="AC718" s="128">
        <v>861.7010070696313</v>
      </c>
      <c r="AD718" s="44" t="s">
        <v>112</v>
      </c>
      <c r="AE718" s="128">
        <v>922.674594572184</v>
      </c>
      <c r="AF718" s="128">
        <v>30.0</v>
      </c>
      <c r="AG718" s="128">
        <v>926.7828333358653</v>
      </c>
      <c r="AH718" s="44" t="s">
        <v>47</v>
      </c>
      <c r="AI718" s="128">
        <v>1008.5912572977171</v>
      </c>
      <c r="AJ718" s="128">
        <v>31.0</v>
      </c>
      <c r="AK718" s="128">
        <v>1012.8396712708133</v>
      </c>
      <c r="AL718" s="44" t="s">
        <v>27</v>
      </c>
      <c r="AM718" s="128">
        <v>1016.0562308600764</v>
      </c>
      <c r="AN718" s="128">
        <v>23.0</v>
      </c>
      <c r="AO718" s="128">
        <v>1018.4310841498615</v>
      </c>
      <c r="AP718" s="128">
        <v>11.0</v>
      </c>
      <c r="AQ718" s="128">
        <v>17.0</v>
      </c>
      <c r="AS718" s="44" t="s">
        <v>229</v>
      </c>
      <c r="AT718" s="44">
        <v>717.0</v>
      </c>
      <c r="AU718" s="44"/>
      <c r="AW718" s="93"/>
      <c r="AY718" s="93"/>
      <c r="AZ718" s="93"/>
      <c r="BA718" s="93"/>
      <c r="BB718" s="155"/>
      <c r="BC718" s="93"/>
      <c r="BE718" s="93"/>
      <c r="BG718" s="93"/>
      <c r="BH718" s="93"/>
      <c r="BI718" s="93"/>
      <c r="BJ718" s="155"/>
      <c r="BK718" s="93"/>
    </row>
    <row r="719">
      <c r="A719" s="166">
        <v>44504.93893210648</v>
      </c>
      <c r="B719" s="44" t="s">
        <v>88</v>
      </c>
      <c r="C719" s="128">
        <v>861.7010070696313</v>
      </c>
      <c r="D719" s="128">
        <v>19.0</v>
      </c>
      <c r="E719" s="128">
        <v>865.3336999405947</v>
      </c>
      <c r="F719" s="44" t="s">
        <v>34</v>
      </c>
      <c r="G719" s="128">
        <v>894.6517448324992</v>
      </c>
      <c r="H719" s="128">
        <v>10.0</v>
      </c>
      <c r="I719" s="128">
        <v>895.2297354804062</v>
      </c>
      <c r="J719" s="44" t="s">
        <v>92</v>
      </c>
      <c r="K719" s="128">
        <v>904.6787269548466</v>
      </c>
      <c r="L719" s="128">
        <v>15.0</v>
      </c>
      <c r="M719" s="128">
        <v>906.907673139797</v>
      </c>
      <c r="N719" s="44" t="s">
        <v>23</v>
      </c>
      <c r="O719" s="128">
        <v>1378.4466264361909</v>
      </c>
      <c r="P719" s="128">
        <v>38.0</v>
      </c>
      <c r="Q719" s="128">
        <v>1388.00699673237</v>
      </c>
      <c r="V719" s="44" t="s">
        <v>110</v>
      </c>
      <c r="W719" s="128">
        <v>906.666015066567</v>
      </c>
      <c r="X719" s="128">
        <v>20.0</v>
      </c>
      <c r="Y719" s="128">
        <v>903.5130564166805</v>
      </c>
      <c r="Z719" s="44" t="s">
        <v>47</v>
      </c>
      <c r="AA719" s="128">
        <v>1012.8396712708133</v>
      </c>
      <c r="AB719" s="128">
        <v>13.0</v>
      </c>
      <c r="AC719" s="128">
        <v>1007.2336070388791</v>
      </c>
      <c r="AD719" s="44" t="s">
        <v>27</v>
      </c>
      <c r="AE719" s="128">
        <v>1018.4310841498615</v>
      </c>
      <c r="AF719" s="128">
        <v>24.0</v>
      </c>
      <c r="AG719" s="128">
        <v>1016.4864750344036</v>
      </c>
      <c r="AH719" s="44" t="s">
        <v>61</v>
      </c>
      <c r="AI719" s="128">
        <v>1039.1794311863362</v>
      </c>
      <c r="AJ719" s="128">
        <v>14.0</v>
      </c>
      <c r="AK719" s="128">
        <v>1033.8830631836147</v>
      </c>
      <c r="AP719" s="128">
        <v>16.0</v>
      </c>
      <c r="AQ719" s="128">
        <v>12.0</v>
      </c>
      <c r="AS719" s="44" t="s">
        <v>229</v>
      </c>
      <c r="AT719" s="44">
        <v>718.0</v>
      </c>
      <c r="AU719" s="44"/>
      <c r="AW719" s="93"/>
      <c r="AY719" s="93"/>
      <c r="AZ719" s="93"/>
      <c r="BA719" s="93"/>
      <c r="BB719" s="155"/>
      <c r="BC719" s="93"/>
      <c r="BE719" s="93"/>
      <c r="BG719" s="93"/>
      <c r="BH719" s="93"/>
      <c r="BI719" s="93"/>
      <c r="BJ719" s="155"/>
      <c r="BK719" s="93"/>
    </row>
    <row r="720">
      <c r="A720" s="166">
        <v>44504.979758692134</v>
      </c>
      <c r="B720" s="44" t="s">
        <v>88</v>
      </c>
      <c r="C720" s="128">
        <v>865.3336999405947</v>
      </c>
      <c r="D720" s="128">
        <v>17.0</v>
      </c>
      <c r="E720" s="128">
        <v>860.503497983842</v>
      </c>
      <c r="F720" s="44" t="s">
        <v>34</v>
      </c>
      <c r="G720" s="128">
        <v>895.2297354804062</v>
      </c>
      <c r="H720" s="128">
        <v>16.0</v>
      </c>
      <c r="I720" s="128">
        <v>890.0185955591282</v>
      </c>
      <c r="J720" s="44" t="s">
        <v>47</v>
      </c>
      <c r="K720" s="128">
        <v>1007.2336070388791</v>
      </c>
      <c r="L720" s="128">
        <v>21.0</v>
      </c>
      <c r="M720" s="128">
        <v>1003.5433552122147</v>
      </c>
      <c r="N720" s="44" t="s">
        <v>61</v>
      </c>
      <c r="O720" s="128">
        <v>1033.8830631836147</v>
      </c>
      <c r="P720" s="128">
        <v>24.0</v>
      </c>
      <c r="Q720" s="128">
        <v>1031.165382754026</v>
      </c>
      <c r="R720" s="44" t="s">
        <v>23</v>
      </c>
      <c r="S720" s="128">
        <v>1388.00699673237</v>
      </c>
      <c r="T720" s="128">
        <v>22.0</v>
      </c>
      <c r="U720" s="128">
        <v>1384.4562708666538</v>
      </c>
      <c r="V720" s="44" t="s">
        <v>110</v>
      </c>
      <c r="W720" s="128">
        <v>903.5130564166805</v>
      </c>
      <c r="X720" s="128">
        <v>15.0</v>
      </c>
      <c r="Y720" s="128">
        <v>904.9646266600723</v>
      </c>
      <c r="Z720" s="44" t="s">
        <v>92</v>
      </c>
      <c r="AA720" s="128">
        <v>906.907673139797</v>
      </c>
      <c r="AB720" s="128">
        <v>17.0</v>
      </c>
      <c r="AC720" s="128">
        <v>909.0200934985851</v>
      </c>
      <c r="AD720" s="44" t="s">
        <v>112</v>
      </c>
      <c r="AE720" s="128">
        <v>926.7828333358653</v>
      </c>
      <c r="AF720" s="128">
        <v>24.0</v>
      </c>
      <c r="AG720" s="128">
        <v>931.1956317846468</v>
      </c>
      <c r="AH720" s="44" t="s">
        <v>27</v>
      </c>
      <c r="AI720" s="128">
        <v>1016.4864750344036</v>
      </c>
      <c r="AJ720" s="128">
        <v>15.0</v>
      </c>
      <c r="AK720" s="128">
        <v>1017.7733370067526</v>
      </c>
      <c r="AL720" s="44" t="s">
        <v>35</v>
      </c>
      <c r="AM720" s="128">
        <v>1434.1105587263341</v>
      </c>
      <c r="AN720" s="128">
        <v>44.0</v>
      </c>
      <c r="AO720" s="128">
        <v>1444.8469077030236</v>
      </c>
      <c r="AP720" s="128">
        <v>12.0</v>
      </c>
      <c r="AQ720" s="128">
        <v>16.0</v>
      </c>
      <c r="AS720" s="44" t="s">
        <v>266</v>
      </c>
      <c r="AT720" s="44">
        <v>719.0</v>
      </c>
      <c r="AU720" s="44"/>
      <c r="AW720" s="93"/>
      <c r="AY720" s="93"/>
      <c r="AZ720" s="93"/>
      <c r="BA720" s="93"/>
      <c r="BB720" s="155"/>
      <c r="BC720" s="93"/>
      <c r="BE720" s="93"/>
      <c r="BG720" s="93"/>
      <c r="BH720" s="93"/>
      <c r="BI720" s="93"/>
      <c r="BJ720" s="155"/>
      <c r="BK720" s="93"/>
    </row>
    <row r="721">
      <c r="A721" s="166">
        <v>44505.01813329861</v>
      </c>
      <c r="B721" s="44" t="s">
        <v>88</v>
      </c>
      <c r="C721" s="128">
        <v>860.503497983842</v>
      </c>
      <c r="D721" s="128">
        <v>21.0</v>
      </c>
      <c r="E721" s="128">
        <v>871.6282753687</v>
      </c>
      <c r="F721" s="44" t="s">
        <v>110</v>
      </c>
      <c r="G721" s="128">
        <v>904.9646266600723</v>
      </c>
      <c r="H721" s="128">
        <v>24.0</v>
      </c>
      <c r="I721" s="128">
        <v>918.4679729007391</v>
      </c>
      <c r="J721" s="44" t="s">
        <v>27</v>
      </c>
      <c r="K721" s="128">
        <v>1017.7733370067526</v>
      </c>
      <c r="L721" s="128">
        <v>12.0</v>
      </c>
      <c r="M721" s="128">
        <v>1020.6544476301167</v>
      </c>
      <c r="N721" s="44" t="s">
        <v>35</v>
      </c>
      <c r="O721" s="128">
        <v>1444.8469077030236</v>
      </c>
      <c r="P721" s="128">
        <v>25.0</v>
      </c>
      <c r="Q721" s="128">
        <v>1458.3376734541346</v>
      </c>
      <c r="V721" s="44" t="s">
        <v>34</v>
      </c>
      <c r="W721" s="128">
        <v>890.0185955591282</v>
      </c>
      <c r="X721" s="128">
        <v>3.0</v>
      </c>
      <c r="Y721" s="128">
        <v>868.9630031332429</v>
      </c>
      <c r="Z721" s="44" t="s">
        <v>112</v>
      </c>
      <c r="AA721" s="128">
        <v>931.1956317846468</v>
      </c>
      <c r="AB721" s="128">
        <v>18.0</v>
      </c>
      <c r="AC721" s="128">
        <v>922.8297255360619</v>
      </c>
      <c r="AD721" s="44" t="s">
        <v>61</v>
      </c>
      <c r="AE721" s="128">
        <v>1031.165382754026</v>
      </c>
      <c r="AF721" s="128">
        <v>17.0</v>
      </c>
      <c r="AG721" s="128">
        <v>1021.7047026584406</v>
      </c>
      <c r="AH721" s="44" t="s">
        <v>23</v>
      </c>
      <c r="AI721" s="128">
        <v>1384.4562708666538</v>
      </c>
      <c r="AJ721" s="128">
        <v>26.0</v>
      </c>
      <c r="AK721" s="128">
        <v>1382.3384496367096</v>
      </c>
      <c r="AP721" s="128">
        <v>19.0</v>
      </c>
      <c r="AQ721" s="128">
        <v>9.0</v>
      </c>
      <c r="AT721" s="44">
        <v>720.0</v>
      </c>
      <c r="AU721" s="44"/>
      <c r="AW721" s="93"/>
      <c r="AY721" s="93"/>
      <c r="AZ721" s="93"/>
      <c r="BA721" s="93"/>
      <c r="BB721" s="155"/>
      <c r="BC721" s="93"/>
      <c r="BE721" s="93"/>
      <c r="BG721" s="93"/>
      <c r="BH721" s="93"/>
      <c r="BI721" s="93"/>
      <c r="BJ721" s="155"/>
      <c r="BK721" s="93"/>
    </row>
    <row r="722">
      <c r="A722" s="166">
        <v>44505.93794928241</v>
      </c>
      <c r="B722" s="44" t="s">
        <v>34</v>
      </c>
      <c r="C722" s="128">
        <v>868.9630031332429</v>
      </c>
      <c r="D722" s="128">
        <v>15.0</v>
      </c>
      <c r="E722" s="128">
        <v>870.6450255974444</v>
      </c>
      <c r="F722" s="44" t="s">
        <v>107</v>
      </c>
      <c r="G722" s="128">
        <v>870.3322633730228</v>
      </c>
      <c r="H722" s="128">
        <v>20.0</v>
      </c>
      <c r="I722" s="128">
        <v>873.2625632850293</v>
      </c>
      <c r="J722" s="44" t="s">
        <v>23</v>
      </c>
      <c r="K722" s="128">
        <v>1382.3384496367096</v>
      </c>
      <c r="L722" s="128">
        <v>27.0</v>
      </c>
      <c r="M722" s="128">
        <v>1386.7261272605015</v>
      </c>
      <c r="N722" s="44"/>
      <c r="O722" s="128"/>
      <c r="P722" s="128"/>
      <c r="Q722" s="128"/>
      <c r="V722" s="44" t="s">
        <v>88</v>
      </c>
      <c r="W722" s="128">
        <v>871.6282753687</v>
      </c>
      <c r="X722" s="128">
        <v>13.0</v>
      </c>
      <c r="Y722" s="128">
        <v>867.7933549421896</v>
      </c>
      <c r="Z722" s="44" t="s">
        <v>27</v>
      </c>
      <c r="AA722" s="128">
        <v>1020.6544476301167</v>
      </c>
      <c r="AB722" s="128">
        <v>18.0</v>
      </c>
      <c r="AC722" s="128">
        <v>1017.9472430314057</v>
      </c>
      <c r="AD722" s="44" t="s">
        <v>61</v>
      </c>
      <c r="AE722" s="128">
        <v>1021.7047026584406</v>
      </c>
      <c r="AF722" s="128">
        <v>19.0</v>
      </c>
      <c r="AG722" s="128">
        <v>1019.246827683662</v>
      </c>
      <c r="AH722" s="44"/>
      <c r="AI722" s="128"/>
      <c r="AJ722" s="128"/>
      <c r="AK722" s="128"/>
      <c r="AP722" s="128">
        <v>18.0</v>
      </c>
      <c r="AQ722" s="128">
        <v>10.0</v>
      </c>
      <c r="AT722" s="44">
        <v>721.0</v>
      </c>
      <c r="AU722" s="44"/>
      <c r="AW722" s="93"/>
      <c r="AY722" s="93"/>
      <c r="AZ722" s="93"/>
      <c r="BA722" s="93"/>
      <c r="BB722" s="155"/>
      <c r="BC722" s="93"/>
      <c r="BE722" s="93"/>
      <c r="BG722" s="93"/>
      <c r="BH722" s="93"/>
      <c r="BI722" s="93"/>
      <c r="BJ722" s="155"/>
      <c r="BK722" s="93"/>
    </row>
    <row r="723">
      <c r="A723" s="166">
        <v>44505.972919004635</v>
      </c>
      <c r="B723" s="44" t="s">
        <v>47</v>
      </c>
      <c r="C723" s="128">
        <v>1003.5433552122147</v>
      </c>
      <c r="D723" s="128">
        <v>20.0</v>
      </c>
      <c r="E723" s="128">
        <v>1010.0496748077649</v>
      </c>
      <c r="F723" s="44" t="s">
        <v>27</v>
      </c>
      <c r="G723" s="128">
        <v>1017.9472430314057</v>
      </c>
      <c r="H723" s="128">
        <v>31.0</v>
      </c>
      <c r="I723" s="128">
        <v>1032.0567600452746</v>
      </c>
      <c r="J723" s="44" t="s">
        <v>61</v>
      </c>
      <c r="K723" s="128">
        <v>1019.246827683662</v>
      </c>
      <c r="L723" s="128">
        <v>17.0</v>
      </c>
      <c r="M723" s="128">
        <v>1023.630991074243</v>
      </c>
      <c r="N723" s="44"/>
      <c r="O723" s="128"/>
      <c r="P723" s="128"/>
      <c r="Q723" s="128"/>
      <c r="V723" s="44" t="s">
        <v>88</v>
      </c>
      <c r="W723" s="128">
        <v>867.7933549421896</v>
      </c>
      <c r="X723" s="128">
        <v>18.0</v>
      </c>
      <c r="Y723" s="128">
        <v>860.6119971455088</v>
      </c>
      <c r="Z723" s="44" t="s">
        <v>107</v>
      </c>
      <c r="AA723" s="128">
        <v>873.2625632850293</v>
      </c>
      <c r="AB723" s="128">
        <v>13.0</v>
      </c>
      <c r="AC723" s="128">
        <v>862.5936405838651</v>
      </c>
      <c r="AD723" s="44" t="s">
        <v>23</v>
      </c>
      <c r="AE723" s="128">
        <v>1386.7261272605015</v>
      </c>
      <c r="AF723" s="128">
        <v>19.0</v>
      </c>
      <c r="AG723" s="128">
        <v>1379.5764077583465</v>
      </c>
      <c r="AH723" s="44"/>
      <c r="AI723" s="128"/>
      <c r="AJ723" s="128"/>
      <c r="AK723" s="128"/>
      <c r="AP723" s="128">
        <v>18.0</v>
      </c>
      <c r="AQ723" s="128">
        <v>10.0</v>
      </c>
      <c r="AT723" s="44">
        <v>722.0</v>
      </c>
      <c r="AU723" s="44"/>
      <c r="AW723" s="93"/>
      <c r="AY723" s="93"/>
      <c r="AZ723" s="93"/>
      <c r="BA723" s="93"/>
      <c r="BB723" s="155"/>
      <c r="BC723" s="93"/>
      <c r="BE723" s="93"/>
      <c r="BG723" s="93"/>
      <c r="BH723" s="93"/>
      <c r="BI723" s="93"/>
      <c r="BJ723" s="155"/>
      <c r="BK723" s="93"/>
    </row>
    <row r="724">
      <c r="A724" s="166">
        <v>44506.013309629634</v>
      </c>
      <c r="B724" s="44" t="s">
        <v>88</v>
      </c>
      <c r="C724" s="128">
        <v>860.6119971455088</v>
      </c>
      <c r="D724" s="128">
        <v>9.0</v>
      </c>
      <c r="E724" s="128">
        <v>844.794933171798</v>
      </c>
      <c r="F724" s="44" t="s">
        <v>47</v>
      </c>
      <c r="G724" s="128">
        <v>1010.0496748077649</v>
      </c>
      <c r="H724" s="128">
        <v>14.0</v>
      </c>
      <c r="I724" s="128">
        <v>998.092291961121</v>
      </c>
      <c r="J724" s="44" t="s">
        <v>61</v>
      </c>
      <c r="K724" s="128">
        <v>1023.630991074243</v>
      </c>
      <c r="L724" s="128">
        <v>16.0</v>
      </c>
      <c r="M724" s="128">
        <v>1013.3533388487749</v>
      </c>
      <c r="N724" s="44" t="s">
        <v>23</v>
      </c>
      <c r="O724" s="128">
        <v>1379.5764077583465</v>
      </c>
      <c r="P724" s="128">
        <v>25.0</v>
      </c>
      <c r="Q724" s="128">
        <v>1376.628506804169</v>
      </c>
      <c r="V724" s="44" t="s">
        <v>107</v>
      </c>
      <c r="W724" s="128">
        <v>862.5936405838651</v>
      </c>
      <c r="X724" s="128">
        <v>27.0</v>
      </c>
      <c r="Y724" s="128">
        <v>876.1425347375075</v>
      </c>
      <c r="Z724" s="44" t="s">
        <v>92</v>
      </c>
      <c r="AA724" s="128">
        <v>909.0200934985851</v>
      </c>
      <c r="AB724" s="128">
        <v>21.0</v>
      </c>
      <c r="AC724" s="128">
        <v>917.2257170828251</v>
      </c>
      <c r="AD724" s="44" t="s">
        <v>27</v>
      </c>
      <c r="AE724" s="128">
        <v>1032.0567600452746</v>
      </c>
      <c r="AF724" s="128">
        <v>19.0</v>
      </c>
      <c r="AG724" s="128">
        <v>1038.1014411965234</v>
      </c>
      <c r="AH724" s="44" t="s">
        <v>35</v>
      </c>
      <c r="AI724" s="128">
        <v>1458.3376734541346</v>
      </c>
      <c r="AJ724" s="128">
        <v>28.0</v>
      </c>
      <c r="AK724" s="128">
        <v>1471.5384745650035</v>
      </c>
      <c r="AP724" s="128">
        <v>7.0</v>
      </c>
      <c r="AQ724" s="128">
        <v>21.0</v>
      </c>
      <c r="AT724" s="44">
        <v>723.0</v>
      </c>
      <c r="AU724" s="44"/>
      <c r="AW724" s="93"/>
      <c r="AY724" s="93"/>
      <c r="AZ724" s="93"/>
      <c r="BA724" s="93"/>
      <c r="BB724" s="155"/>
      <c r="BC724" s="93"/>
      <c r="BE724" s="93"/>
      <c r="BG724" s="93"/>
      <c r="BH724" s="93"/>
      <c r="BI724" s="93"/>
      <c r="BJ724" s="155"/>
      <c r="BK724" s="93"/>
    </row>
    <row r="725">
      <c r="A725" s="166">
        <v>44506.9479593287</v>
      </c>
      <c r="B725" s="44" t="s">
        <v>88</v>
      </c>
      <c r="C725" s="128">
        <v>844.794933171798</v>
      </c>
      <c r="D725" s="128">
        <v>7.0</v>
      </c>
      <c r="E725" s="128">
        <v>844.9190111210427</v>
      </c>
      <c r="F725" s="44" t="s">
        <v>107</v>
      </c>
      <c r="G725" s="128">
        <v>876.1425347375075</v>
      </c>
      <c r="H725" s="128">
        <v>11.0</v>
      </c>
      <c r="I725" s="128">
        <v>876.9893233663603</v>
      </c>
      <c r="J725" s="44" t="s">
        <v>110</v>
      </c>
      <c r="K725" s="128">
        <v>918.4679729007391</v>
      </c>
      <c r="L725" s="128">
        <v>21.0</v>
      </c>
      <c r="M725" s="128">
        <v>921.1562643017483</v>
      </c>
      <c r="N725" s="44" t="s">
        <v>23</v>
      </c>
      <c r="O725" s="128">
        <v>1376.628506804169</v>
      </c>
      <c r="P725" s="128">
        <v>36.0</v>
      </c>
      <c r="Q725" s="128">
        <v>1381.9693488250628</v>
      </c>
      <c r="V725" s="44" t="s">
        <v>112</v>
      </c>
      <c r="W725" s="128">
        <v>922.8297255360619</v>
      </c>
      <c r="X725" s="128">
        <v>18.0</v>
      </c>
      <c r="Y725" s="128">
        <v>920.2058080430752</v>
      </c>
      <c r="Z725" s="44" t="s">
        <v>47</v>
      </c>
      <c r="AA725" s="128">
        <v>998.092291961121</v>
      </c>
      <c r="AB725" s="128">
        <v>21.0</v>
      </c>
      <c r="AC725" s="128">
        <v>995.9777799471623</v>
      </c>
      <c r="AD725" s="44" t="s">
        <v>61</v>
      </c>
      <c r="AE725" s="128">
        <v>1013.3533388487749</v>
      </c>
      <c r="AF725" s="128">
        <v>27.0</v>
      </c>
      <c r="AG725" s="128">
        <v>1012.354556096495</v>
      </c>
      <c r="AH725" s="44" t="s">
        <v>27</v>
      </c>
      <c r="AI725" s="128">
        <v>1038.1014411965234</v>
      </c>
      <c r="AJ725" s="128">
        <v>15.0</v>
      </c>
      <c r="AK725" s="128">
        <v>1034.8386534557487</v>
      </c>
      <c r="AP725" s="128">
        <v>15.0</v>
      </c>
      <c r="AQ725" s="128">
        <v>13.0</v>
      </c>
      <c r="AS725" s="44" t="s">
        <v>229</v>
      </c>
      <c r="AT725" s="44">
        <v>724.0</v>
      </c>
      <c r="AU725" s="44"/>
      <c r="AW725" s="93"/>
      <c r="AY725" s="93"/>
      <c r="AZ725" s="93"/>
      <c r="BA725" s="93"/>
      <c r="BB725" s="155"/>
      <c r="BC725" s="93"/>
      <c r="BE725" s="93"/>
      <c r="BG725" s="93"/>
      <c r="BH725" s="93"/>
      <c r="BI725" s="93"/>
      <c r="BJ725" s="155"/>
      <c r="BK725" s="93"/>
    </row>
    <row r="726">
      <c r="A726" s="166">
        <v>44506.99969201389</v>
      </c>
      <c r="B726" s="44" t="s">
        <v>88</v>
      </c>
      <c r="C726" s="128">
        <v>844.9190111210427</v>
      </c>
      <c r="D726" s="128">
        <v>11.0</v>
      </c>
      <c r="E726" s="128">
        <v>840.5551336148784</v>
      </c>
      <c r="F726" s="44" t="s">
        <v>98</v>
      </c>
      <c r="G726" s="128">
        <v>933.9728391090769</v>
      </c>
      <c r="H726" s="128">
        <v>8.0</v>
      </c>
      <c r="I726" s="128">
        <v>928.5247840943413</v>
      </c>
      <c r="J726" s="44" t="s">
        <v>47</v>
      </c>
      <c r="K726" s="128">
        <v>995.9777799471623</v>
      </c>
      <c r="L726" s="128">
        <v>12.0</v>
      </c>
      <c r="M726" s="128">
        <v>991.8159401655276</v>
      </c>
      <c r="N726" s="44" t="s">
        <v>61</v>
      </c>
      <c r="O726" s="128">
        <v>1012.354556096495</v>
      </c>
      <c r="P726" s="128">
        <v>12.0</v>
      </c>
      <c r="Q726" s="128">
        <v>1008.181783779505</v>
      </c>
      <c r="R726" s="44" t="s">
        <v>27</v>
      </c>
      <c r="S726" s="128">
        <v>1034.8386534557487</v>
      </c>
      <c r="T726" s="128">
        <v>19.0</v>
      </c>
      <c r="U726" s="128">
        <v>1032.985198075273</v>
      </c>
      <c r="V726" s="44" t="s">
        <v>123</v>
      </c>
      <c r="W726" s="128">
        <v>717.5253003842149</v>
      </c>
      <c r="X726" s="128">
        <v>22.0</v>
      </c>
      <c r="Y726" s="128">
        <v>722.1576206535643</v>
      </c>
      <c r="Z726" s="44" t="s">
        <v>107</v>
      </c>
      <c r="AA726" s="128">
        <v>876.9893233663603</v>
      </c>
      <c r="AB726" s="128">
        <v>21.0</v>
      </c>
      <c r="AC726" s="128">
        <v>880.963781524617</v>
      </c>
      <c r="AD726" s="44" t="s">
        <v>112</v>
      </c>
      <c r="AE726" s="128">
        <v>920.2058080430752</v>
      </c>
      <c r="AF726" s="128">
        <v>16.0</v>
      </c>
      <c r="AG726" s="128">
        <v>922.4446898719326</v>
      </c>
      <c r="AH726" s="44" t="s">
        <v>110</v>
      </c>
      <c r="AI726" s="128">
        <v>921.1562643017483</v>
      </c>
      <c r="AJ726" s="128">
        <v>18.0</v>
      </c>
      <c r="AK726" s="128">
        <v>924.0603874314667</v>
      </c>
      <c r="AL726" s="44" t="s">
        <v>23</v>
      </c>
      <c r="AM726" s="128">
        <v>1381.9693488250628</v>
      </c>
      <c r="AN726" s="128">
        <v>29.0</v>
      </c>
      <c r="AO726" s="128">
        <v>1388.2195654388806</v>
      </c>
      <c r="AP726" s="128">
        <v>10.0</v>
      </c>
      <c r="AQ726" s="128">
        <v>17.0</v>
      </c>
      <c r="AT726" s="44">
        <v>725.0</v>
      </c>
      <c r="AU726" s="44"/>
      <c r="AW726" s="93"/>
      <c r="AY726" s="93"/>
      <c r="AZ726" s="93"/>
      <c r="BA726" s="93"/>
      <c r="BB726" s="155"/>
      <c r="BC726" s="93"/>
      <c r="BE726" s="93"/>
      <c r="BG726" s="93"/>
      <c r="BH726" s="93"/>
      <c r="BI726" s="93"/>
      <c r="BJ726" s="155"/>
      <c r="BK726" s="93"/>
    </row>
    <row r="727">
      <c r="A727" s="166">
        <v>44507.04368736111</v>
      </c>
      <c r="B727" s="44" t="s">
        <v>88</v>
      </c>
      <c r="C727" s="128">
        <v>840.5551336148784</v>
      </c>
      <c r="D727" s="128">
        <v>16.0</v>
      </c>
      <c r="E727" s="128">
        <v>835.1017889791212</v>
      </c>
      <c r="F727" s="44" t="s">
        <v>107</v>
      </c>
      <c r="G727" s="128">
        <v>880.963781524617</v>
      </c>
      <c r="H727" s="128">
        <v>13.0</v>
      </c>
      <c r="I727" s="128">
        <v>874.1878820829955</v>
      </c>
      <c r="J727" s="44" t="s">
        <v>112</v>
      </c>
      <c r="K727" s="128">
        <v>922.4446898719326</v>
      </c>
      <c r="L727" s="128">
        <v>14.0</v>
      </c>
      <c r="M727" s="128">
        <v>916.018485518361</v>
      </c>
      <c r="N727" s="44" t="s">
        <v>35</v>
      </c>
      <c r="O727" s="128">
        <v>1471.5384745650035</v>
      </c>
      <c r="P727" s="128">
        <v>27.0</v>
      </c>
      <c r="Q727" s="128">
        <v>1470.193922995954</v>
      </c>
      <c r="V727" s="44" t="s">
        <v>123</v>
      </c>
      <c r="W727" s="128">
        <v>722.1576206535643</v>
      </c>
      <c r="X727" s="128">
        <v>16.0</v>
      </c>
      <c r="Y727" s="128">
        <v>725.8837193598205</v>
      </c>
      <c r="Z727" s="44" t="s">
        <v>47</v>
      </c>
      <c r="AA727" s="128">
        <v>991.8159401655276</v>
      </c>
      <c r="AB727" s="128">
        <v>16.0</v>
      </c>
      <c r="AC727" s="128">
        <v>994.9761349065539</v>
      </c>
      <c r="AD727" s="44" t="s">
        <v>61</v>
      </c>
      <c r="AE727" s="128">
        <v>1008.181783779505</v>
      </c>
      <c r="AF727" s="128">
        <v>20.0</v>
      </c>
      <c r="AG727" s="128">
        <v>1012.9860066095267</v>
      </c>
      <c r="AH727" s="44" t="s">
        <v>23</v>
      </c>
      <c r="AI727" s="128">
        <v>1388.2195654388806</v>
      </c>
      <c r="AJ727" s="128">
        <v>29.0</v>
      </c>
      <c r="AK727" s="128">
        <v>1396.5290491615765</v>
      </c>
      <c r="AP727" s="128">
        <v>11.0</v>
      </c>
      <c r="AQ727" s="128">
        <v>17.0</v>
      </c>
      <c r="AT727" s="44">
        <v>726.0</v>
      </c>
      <c r="AU727" s="44"/>
      <c r="AW727" s="93"/>
      <c r="AY727" s="93"/>
      <c r="AZ727" s="93"/>
      <c r="BA727" s="93"/>
      <c r="BB727" s="155"/>
      <c r="BC727" s="93"/>
      <c r="BE727" s="93"/>
      <c r="BG727" s="93"/>
      <c r="BH727" s="93"/>
      <c r="BI727" s="93"/>
      <c r="BJ727" s="155"/>
      <c r="BK727" s="93"/>
    </row>
    <row r="728">
      <c r="A728" s="166">
        <v>44507.7869259375</v>
      </c>
      <c r="B728" s="44" t="s">
        <v>88</v>
      </c>
      <c r="C728" s="128">
        <v>835.1017889791212</v>
      </c>
      <c r="D728" s="128">
        <v>12.0</v>
      </c>
      <c r="E728" s="128">
        <v>826.926445170535</v>
      </c>
      <c r="F728" s="44" t="s">
        <v>47</v>
      </c>
      <c r="G728" s="128">
        <v>994.9761349065539</v>
      </c>
      <c r="H728" s="128">
        <v>18.0</v>
      </c>
      <c r="I728" s="128">
        <v>989.2657906553736</v>
      </c>
      <c r="J728" s="44" t="s">
        <v>245</v>
      </c>
      <c r="K728" s="128">
        <v>1075.9168727361043</v>
      </c>
      <c r="L728" s="128">
        <v>25.0</v>
      </c>
      <c r="M728" s="128">
        <v>1073.3169502321816</v>
      </c>
      <c r="N728" s="44" t="s">
        <v>23</v>
      </c>
      <c r="O728" s="128">
        <v>1396.5290491615765</v>
      </c>
      <c r="P728" s="128">
        <v>19.0</v>
      </c>
      <c r="Q728" s="128">
        <v>1391.0146597252656</v>
      </c>
      <c r="V728" s="44" t="s">
        <v>107</v>
      </c>
      <c r="W728" s="128">
        <v>874.1878820829955</v>
      </c>
      <c r="X728" s="128">
        <v>17.0</v>
      </c>
      <c r="Y728" s="128">
        <v>877.9655029686314</v>
      </c>
      <c r="Z728" s="44" t="s">
        <v>92</v>
      </c>
      <c r="AA728" s="128">
        <v>917.2257170828251</v>
      </c>
      <c r="AB728" s="128">
        <v>18.0</v>
      </c>
      <c r="AC728" s="128">
        <v>921.3686020571942</v>
      </c>
      <c r="AD728" s="44" t="s">
        <v>61</v>
      </c>
      <c r="AE728" s="128">
        <v>1012.9860066095267</v>
      </c>
      <c r="AF728" s="128">
        <v>15.0</v>
      </c>
      <c r="AG728" s="128">
        <v>1015.584388817056</v>
      </c>
      <c r="AH728" s="44" t="s">
        <v>35</v>
      </c>
      <c r="AI728" s="128">
        <v>1470.193922995954</v>
      </c>
      <c r="AJ728" s="128">
        <v>35.0</v>
      </c>
      <c r="AK728" s="128">
        <v>1481.6750349284198</v>
      </c>
      <c r="AP728" s="128">
        <v>12.0</v>
      </c>
      <c r="AQ728" s="128">
        <v>16.0</v>
      </c>
      <c r="AR728" s="44" t="s">
        <v>564</v>
      </c>
      <c r="AT728" s="44">
        <v>727.0</v>
      </c>
      <c r="AU728" s="44"/>
      <c r="AW728" s="93"/>
      <c r="AY728" s="93"/>
      <c r="AZ728" s="93"/>
      <c r="BA728" s="93"/>
      <c r="BB728" s="155"/>
      <c r="BC728" s="93"/>
      <c r="BE728" s="93"/>
      <c r="BG728" s="93"/>
      <c r="BH728" s="93"/>
      <c r="BI728" s="93"/>
      <c r="BJ728" s="155"/>
      <c r="BK728" s="93"/>
    </row>
    <row r="729">
      <c r="A729" s="166">
        <v>44507.92119212963</v>
      </c>
      <c r="B729" s="44" t="s">
        <v>123</v>
      </c>
      <c r="C729" s="128">
        <v>725.8837193598205</v>
      </c>
      <c r="D729" s="128">
        <v>22.0</v>
      </c>
      <c r="E729" s="128">
        <v>723.0732271967289</v>
      </c>
      <c r="F729" s="44" t="s">
        <v>110</v>
      </c>
      <c r="G729" s="128">
        <v>924.0603874314667</v>
      </c>
      <c r="H729" s="128">
        <v>8.0</v>
      </c>
      <c r="I729" s="128">
        <v>914.6236661822312</v>
      </c>
      <c r="J729" s="44" t="s">
        <v>47</v>
      </c>
      <c r="K729" s="128">
        <v>989.2657906553736</v>
      </c>
      <c r="L729" s="128">
        <v>21.0</v>
      </c>
      <c r="M729" s="128">
        <v>985.5130040677006</v>
      </c>
      <c r="N729" s="44"/>
      <c r="O729" s="128"/>
      <c r="P729" s="128"/>
      <c r="Q729" s="128"/>
      <c r="V729" s="44" t="s">
        <v>107</v>
      </c>
      <c r="W729" s="128">
        <v>877.9655029686314</v>
      </c>
      <c r="X729" s="128">
        <v>16.0</v>
      </c>
      <c r="Y729" s="128">
        <v>881.4276136445231</v>
      </c>
      <c r="Z729" s="44" t="s">
        <v>112</v>
      </c>
      <c r="AA729" s="128">
        <v>916.018485518361</v>
      </c>
      <c r="AB729" s="128">
        <v>25.0</v>
      </c>
      <c r="AC729" s="128">
        <v>923.4036384443627</v>
      </c>
      <c r="AD729" s="44" t="s">
        <v>92</v>
      </c>
      <c r="AE729" s="128">
        <v>921.3686020571942</v>
      </c>
      <c r="AF729" s="128">
        <v>20.0</v>
      </c>
      <c r="AG729" s="128">
        <v>926.5213384553006</v>
      </c>
      <c r="AH729" s="44"/>
      <c r="AI729" s="128"/>
      <c r="AJ729" s="128"/>
      <c r="AK729" s="128"/>
      <c r="AP729" s="128">
        <v>12.0</v>
      </c>
      <c r="AQ729" s="128">
        <v>16.0</v>
      </c>
      <c r="AS729" s="44" t="s">
        <v>229</v>
      </c>
      <c r="AT729" s="44">
        <v>728.0</v>
      </c>
      <c r="AU729" s="44"/>
      <c r="AW729" s="93"/>
      <c r="AY729" s="93"/>
      <c r="AZ729" s="93"/>
      <c r="BA729" s="93"/>
      <c r="BB729" s="155"/>
      <c r="BC729" s="93"/>
      <c r="BE729" s="93"/>
      <c r="BG729" s="93"/>
      <c r="BH729" s="93"/>
      <c r="BI729" s="93"/>
      <c r="BJ729" s="155"/>
      <c r="BK729" s="93"/>
    </row>
    <row r="730">
      <c r="A730" s="166">
        <v>44507.98099537037</v>
      </c>
      <c r="B730" s="44" t="s">
        <v>123</v>
      </c>
      <c r="C730" s="128">
        <v>723.0732271967289</v>
      </c>
      <c r="D730" s="128">
        <v>3.0</v>
      </c>
      <c r="E730" s="128">
        <v>714.2736551795689</v>
      </c>
      <c r="F730" s="44" t="s">
        <v>112</v>
      </c>
      <c r="G730" s="128">
        <v>923.4036384443627</v>
      </c>
      <c r="H730" s="128">
        <v>30.0</v>
      </c>
      <c r="I730" s="128">
        <v>923.2760958932747</v>
      </c>
      <c r="J730" s="44" t="s">
        <v>92</v>
      </c>
      <c r="K730" s="128">
        <v>926.5213384553006</v>
      </c>
      <c r="L730" s="128">
        <v>10.0</v>
      </c>
      <c r="M730" s="128">
        <v>919.7231888238306</v>
      </c>
      <c r="N730" s="44" t="s">
        <v>47</v>
      </c>
      <c r="O730" s="128">
        <v>985.5130040677006</v>
      </c>
      <c r="P730" s="128">
        <v>13.0</v>
      </c>
      <c r="Q730" s="128">
        <v>979.6468063072551</v>
      </c>
      <c r="R730" s="44" t="s">
        <v>35</v>
      </c>
      <c r="S730" s="128">
        <v>1481.6750349284198</v>
      </c>
      <c r="T730" s="128">
        <v>36.0</v>
      </c>
      <c r="U730" s="128">
        <v>1481.6650349284198</v>
      </c>
      <c r="V730" s="44" t="s">
        <v>88</v>
      </c>
      <c r="W730" s="128">
        <v>826.926445170535</v>
      </c>
      <c r="X730" s="128">
        <v>15.0</v>
      </c>
      <c r="Y730" s="128">
        <v>829.5120098638608</v>
      </c>
      <c r="Z730" s="44" t="s">
        <v>34</v>
      </c>
      <c r="AA730" s="128">
        <v>870.6450255974444</v>
      </c>
      <c r="AB730" s="128">
        <v>17.0</v>
      </c>
      <c r="AC730" s="128">
        <v>873.8250085891198</v>
      </c>
      <c r="AD730" s="44" t="s">
        <v>110</v>
      </c>
      <c r="AE730" s="128">
        <v>914.6236661822312</v>
      </c>
      <c r="AF730" s="128">
        <v>18.0</v>
      </c>
      <c r="AG730" s="128">
        <v>918.0719043932829</v>
      </c>
      <c r="AH730" s="44" t="s">
        <v>27</v>
      </c>
      <c r="AI730" s="128">
        <v>1032.985198075273</v>
      </c>
      <c r="AJ730" s="128">
        <v>25.0</v>
      </c>
      <c r="AK730" s="128">
        <v>1038.6282316125705</v>
      </c>
      <c r="AL730" s="44" t="s">
        <v>23</v>
      </c>
      <c r="AM730" s="128">
        <v>1391.0146597252656</v>
      </c>
      <c r="AN730" s="128">
        <v>24.0</v>
      </c>
      <c r="AO730" s="128">
        <v>1396.1578402919151</v>
      </c>
      <c r="AP730" s="128">
        <v>11.0</v>
      </c>
      <c r="AQ730" s="128">
        <v>17.0</v>
      </c>
      <c r="AS730" s="44" t="s">
        <v>243</v>
      </c>
      <c r="AT730" s="44">
        <v>729.0</v>
      </c>
      <c r="AU730" s="44"/>
      <c r="AW730" s="93"/>
      <c r="AY730" s="93"/>
      <c r="AZ730" s="93"/>
      <c r="BA730" s="93"/>
      <c r="BB730" s="155"/>
      <c r="BC730" s="93"/>
      <c r="BE730" s="93"/>
      <c r="BG730" s="93"/>
      <c r="BH730" s="93"/>
      <c r="BI730" s="93"/>
      <c r="BJ730" s="155"/>
      <c r="BK730" s="93"/>
    </row>
    <row r="731">
      <c r="A731" s="166">
        <v>44508.02301682871</v>
      </c>
      <c r="B731" s="44" t="s">
        <v>123</v>
      </c>
      <c r="C731" s="128">
        <v>714.2736551795689</v>
      </c>
      <c r="D731" s="128">
        <v>16.0</v>
      </c>
      <c r="E731" s="128">
        <v>715.8875472589114</v>
      </c>
      <c r="F731" s="44" t="s">
        <v>112</v>
      </c>
      <c r="G731" s="128">
        <v>923.2760958932747</v>
      </c>
      <c r="H731" s="128">
        <v>23.0</v>
      </c>
      <c r="I731" s="128">
        <v>926.2089201907096</v>
      </c>
      <c r="J731" s="44" t="s">
        <v>27</v>
      </c>
      <c r="K731" s="128">
        <v>1038.6282316125705</v>
      </c>
      <c r="L731" s="128">
        <v>9.0</v>
      </c>
      <c r="M731" s="128">
        <v>1038.6382316125705</v>
      </c>
      <c r="N731" s="44" t="s">
        <v>23</v>
      </c>
      <c r="O731" s="128">
        <v>1396.1578402919151</v>
      </c>
      <c r="P731" s="128">
        <v>41.0</v>
      </c>
      <c r="Q731" s="128">
        <v>1402.9884509278395</v>
      </c>
      <c r="V731" s="44" t="s">
        <v>88</v>
      </c>
      <c r="W731" s="128">
        <v>829.5120098638608</v>
      </c>
      <c r="X731" s="128">
        <v>16.0</v>
      </c>
      <c r="Y731" s="128">
        <v>826.2946907706964</v>
      </c>
      <c r="Z731" s="44" t="s">
        <v>34</v>
      </c>
      <c r="AA731" s="128">
        <v>873.8250085891198</v>
      </c>
      <c r="AB731" s="128">
        <v>15.0</v>
      </c>
      <c r="AC731" s="128">
        <v>870.3319653734794</v>
      </c>
      <c r="AD731" s="44" t="s">
        <v>92</v>
      </c>
      <c r="AE731" s="128">
        <v>919.7231888238306</v>
      </c>
      <c r="AF731" s="128">
        <v>14.0</v>
      </c>
      <c r="AG731" s="128">
        <v>915.9579592076252</v>
      </c>
      <c r="AH731" s="44" t="s">
        <v>35</v>
      </c>
      <c r="AI731" s="128">
        <v>1481.6650349284198</v>
      </c>
      <c r="AJ731" s="128">
        <v>29.0</v>
      </c>
      <c r="AK731" s="128">
        <v>1481.14062685343</v>
      </c>
      <c r="AP731" s="128">
        <v>15.0</v>
      </c>
      <c r="AQ731" s="128">
        <v>13.0</v>
      </c>
      <c r="AS731" s="44" t="s">
        <v>290</v>
      </c>
      <c r="AT731" s="44">
        <v>730.0</v>
      </c>
      <c r="AU731" s="44"/>
      <c r="AW731" s="93"/>
      <c r="AY731" s="93"/>
      <c r="AZ731" s="93"/>
      <c r="BA731" s="93"/>
      <c r="BB731" s="155"/>
      <c r="BC731" s="93"/>
      <c r="BE731" s="93"/>
      <c r="BG731" s="93"/>
      <c r="BH731" s="93"/>
      <c r="BI731" s="93"/>
      <c r="BJ731" s="155"/>
      <c r="BK731" s="93"/>
    </row>
    <row r="732">
      <c r="A732" s="166">
        <v>44508.99311971065</v>
      </c>
      <c r="B732" s="44" t="s">
        <v>88</v>
      </c>
      <c r="C732" s="128">
        <v>826.2946907706964</v>
      </c>
      <c r="D732" s="128">
        <v>22.0</v>
      </c>
      <c r="E732" s="128">
        <v>826.8699423415452</v>
      </c>
      <c r="F732" s="44" t="s">
        <v>34</v>
      </c>
      <c r="G732" s="128">
        <v>870.3319653734794</v>
      </c>
      <c r="H732" s="128">
        <v>22.0</v>
      </c>
      <c r="I732" s="128">
        <v>870.8605995987989</v>
      </c>
      <c r="J732" s="44" t="s">
        <v>35</v>
      </c>
      <c r="K732" s="128">
        <v>1481.14062685343</v>
      </c>
      <c r="L732" s="128">
        <v>48.0</v>
      </c>
      <c r="M732" s="128">
        <v>1485.0367410572617</v>
      </c>
      <c r="N732" s="44"/>
      <c r="O732" s="128"/>
      <c r="P732" s="128"/>
      <c r="Q732" s="128"/>
      <c r="V732" s="44" t="s">
        <v>92</v>
      </c>
      <c r="W732" s="128">
        <v>915.9579592076252</v>
      </c>
      <c r="X732" s="128">
        <v>24.0</v>
      </c>
      <c r="Y732" s="128">
        <v>914.0356813697106</v>
      </c>
      <c r="Z732" s="44" t="s">
        <v>110</v>
      </c>
      <c r="AA732" s="128">
        <v>918.0719043932829</v>
      </c>
      <c r="AB732" s="128">
        <v>28.0</v>
      </c>
      <c r="AC732" s="128">
        <v>916.703594100773</v>
      </c>
      <c r="AD732" s="44" t="s">
        <v>61</v>
      </c>
      <c r="AE732" s="128">
        <v>1015.584388817056</v>
      </c>
      <c r="AF732" s="128">
        <v>26.0</v>
      </c>
      <c r="AG732" s="128">
        <v>1013.8749769474806</v>
      </c>
      <c r="AH732" s="44"/>
      <c r="AI732" s="128"/>
      <c r="AJ732" s="128"/>
      <c r="AK732" s="128"/>
      <c r="AP732" s="128">
        <v>24.0</v>
      </c>
      <c r="AQ732" s="128">
        <v>18.0</v>
      </c>
      <c r="AT732" s="44">
        <v>731.0</v>
      </c>
      <c r="AU732" s="44"/>
      <c r="AW732" s="93"/>
      <c r="AY732" s="93"/>
      <c r="AZ732" s="93"/>
      <c r="BA732" s="93"/>
      <c r="BB732" s="155"/>
      <c r="BC732" s="93"/>
      <c r="BE732" s="93"/>
      <c r="BG732" s="93"/>
      <c r="BH732" s="93"/>
      <c r="BI732" s="93"/>
      <c r="BJ732" s="155"/>
      <c r="BK732" s="93"/>
    </row>
    <row r="733">
      <c r="A733" s="166">
        <v>44509.951174016205</v>
      </c>
      <c r="B733" s="44" t="s">
        <v>123</v>
      </c>
      <c r="C733" s="128">
        <v>715.8875472589114</v>
      </c>
      <c r="D733" s="128">
        <v>16.0</v>
      </c>
      <c r="E733" s="128">
        <v>711.5130756808351</v>
      </c>
      <c r="F733" s="44" t="s">
        <v>34</v>
      </c>
      <c r="G733" s="128">
        <v>870.8605995987989</v>
      </c>
      <c r="H733" s="128">
        <v>23.0</v>
      </c>
      <c r="I733" s="128">
        <v>868.659123203394</v>
      </c>
      <c r="J733" s="44" t="s">
        <v>107</v>
      </c>
      <c r="K733" s="128">
        <v>881.4276136445231</v>
      </c>
      <c r="L733" s="128">
        <v>13.0</v>
      </c>
      <c r="M733" s="128">
        <v>875.7105790731092</v>
      </c>
      <c r="N733" s="44" t="s">
        <v>108</v>
      </c>
      <c r="O733" s="128">
        <v>947.9195219210287</v>
      </c>
      <c r="P733" s="128">
        <v>13.0</v>
      </c>
      <c r="Q733" s="128">
        <v>942.1142331222687</v>
      </c>
      <c r="R733" s="44" t="s">
        <v>23</v>
      </c>
      <c r="S733" s="128">
        <v>1402.9884509278395</v>
      </c>
      <c r="T733" s="128">
        <v>22.0</v>
      </c>
      <c r="U733" s="128">
        <v>1400.0867222714946</v>
      </c>
      <c r="V733" s="44" t="s">
        <v>92</v>
      </c>
      <c r="W733" s="128">
        <v>914.0356813697106</v>
      </c>
      <c r="X733" s="128">
        <v>13.0</v>
      </c>
      <c r="Y733" s="128">
        <v>914.5983678964794</v>
      </c>
      <c r="Z733" s="44" t="s">
        <v>110</v>
      </c>
      <c r="AA733" s="128">
        <v>916.703594100773</v>
      </c>
      <c r="AB733" s="128">
        <v>22.0</v>
      </c>
      <c r="AC733" s="128">
        <v>920.4115480079658</v>
      </c>
      <c r="AD733" s="44" t="s">
        <v>112</v>
      </c>
      <c r="AE733" s="128">
        <v>926.2089201907096</v>
      </c>
      <c r="AF733" s="128">
        <v>24.0</v>
      </c>
      <c r="AG733" s="128">
        <v>930.6003019327258</v>
      </c>
      <c r="AH733" s="44" t="s">
        <v>61</v>
      </c>
      <c r="AI733" s="128">
        <v>1013.8749769474806</v>
      </c>
      <c r="AJ733" s="128">
        <v>36.0</v>
      </c>
      <c r="AK733" s="128">
        <v>1022.3343347085082</v>
      </c>
      <c r="AL733" s="44" t="s">
        <v>27</v>
      </c>
      <c r="AM733" s="128">
        <v>1038.6382316125705</v>
      </c>
      <c r="AN733" s="128">
        <v>23.0</v>
      </c>
      <c r="AO733" s="128">
        <v>1042.516851675565</v>
      </c>
      <c r="AP733" s="128">
        <v>11.0</v>
      </c>
      <c r="AQ733" s="128">
        <v>17.0</v>
      </c>
      <c r="AS733" s="44" t="s">
        <v>229</v>
      </c>
      <c r="AT733" s="44">
        <v>732.0</v>
      </c>
      <c r="AU733" s="44"/>
      <c r="AW733" s="93"/>
      <c r="AY733" s="93"/>
      <c r="AZ733" s="93"/>
      <c r="BA733" s="93"/>
      <c r="BB733" s="155"/>
      <c r="BC733" s="93"/>
      <c r="BE733" s="93"/>
      <c r="BG733" s="93"/>
      <c r="BH733" s="93"/>
      <c r="BI733" s="93"/>
      <c r="BJ733" s="155"/>
      <c r="BK733" s="93"/>
    </row>
    <row r="734">
      <c r="A734" s="166">
        <v>44509.99475686342</v>
      </c>
      <c r="B734" s="44" t="s">
        <v>123</v>
      </c>
      <c r="C734" s="128">
        <v>711.5130756808351</v>
      </c>
      <c r="D734" s="128">
        <v>14.0</v>
      </c>
      <c r="E734" s="128">
        <v>715.096253407531</v>
      </c>
      <c r="F734" s="44" t="s">
        <v>34</v>
      </c>
      <c r="G734" s="128">
        <v>868.659123203394</v>
      </c>
      <c r="H734" s="128">
        <v>19.0</v>
      </c>
      <c r="I734" s="128">
        <v>874.8400500049736</v>
      </c>
      <c r="J734" s="44" t="s">
        <v>107</v>
      </c>
      <c r="K734" s="128">
        <v>875.7105790731092</v>
      </c>
      <c r="L734" s="128">
        <v>15.0</v>
      </c>
      <c r="M734" s="128">
        <v>879.2673166086362</v>
      </c>
      <c r="N734" s="44" t="s">
        <v>110</v>
      </c>
      <c r="O734" s="128">
        <v>920.4115480079658</v>
      </c>
      <c r="P734" s="128">
        <v>28.0</v>
      </c>
      <c r="Q734" s="128">
        <v>932.2750284953629</v>
      </c>
      <c r="R734" s="44" t="s">
        <v>23</v>
      </c>
      <c r="S734" s="128">
        <v>1400.0867222714946</v>
      </c>
      <c r="T734" s="128">
        <v>32.0</v>
      </c>
      <c r="U734" s="128">
        <v>1413.902399720295</v>
      </c>
      <c r="V734" s="44" t="s">
        <v>88</v>
      </c>
      <c r="W734" s="128">
        <v>826.8699423415452</v>
      </c>
      <c r="X734" s="128">
        <v>23.0</v>
      </c>
      <c r="Y734" s="128">
        <v>822.260419924797</v>
      </c>
      <c r="Z734" s="44" t="s">
        <v>112</v>
      </c>
      <c r="AA734" s="128">
        <v>930.6003019327258</v>
      </c>
      <c r="AB734" s="128">
        <v>17.0</v>
      </c>
      <c r="AC734" s="128">
        <v>921.7928904070625</v>
      </c>
      <c r="AD734" s="44" t="s">
        <v>108</v>
      </c>
      <c r="AE734" s="128">
        <v>942.1142331222687</v>
      </c>
      <c r="AF734" s="128">
        <v>9.0</v>
      </c>
      <c r="AG734" s="128">
        <v>928.0786499545051</v>
      </c>
      <c r="AH734" s="44" t="s">
        <v>61</v>
      </c>
      <c r="AI734" s="128">
        <v>1022.3343347085082</v>
      </c>
      <c r="AJ734" s="128">
        <v>19.0</v>
      </c>
      <c r="AK734" s="128">
        <v>1014.6285452302004</v>
      </c>
      <c r="AL734" s="44" t="s">
        <v>27</v>
      </c>
      <c r="AM734" s="128">
        <v>1042.516851675565</v>
      </c>
      <c r="AN734" s="128">
        <v>25.0</v>
      </c>
      <c r="AO734" s="128">
        <v>1038.675158264048</v>
      </c>
      <c r="AP734" s="128">
        <v>19.0</v>
      </c>
      <c r="AQ734" s="128">
        <v>9.0</v>
      </c>
      <c r="AS734" s="44" t="s">
        <v>497</v>
      </c>
      <c r="AT734" s="44">
        <v>733.0</v>
      </c>
      <c r="AU734" s="44"/>
      <c r="AW734" s="93"/>
      <c r="AY734" s="93"/>
      <c r="AZ734" s="93"/>
      <c r="BA734" s="93"/>
      <c r="BB734" s="155"/>
      <c r="BC734" s="93"/>
      <c r="BE734" s="93"/>
      <c r="BG734" s="93"/>
      <c r="BH734" s="93"/>
      <c r="BI734" s="93"/>
      <c r="BJ734" s="155"/>
      <c r="BK734" s="93"/>
    </row>
    <row r="735">
      <c r="A735" s="166">
        <v>44510.03459490741</v>
      </c>
      <c r="B735" s="44" t="s">
        <v>123</v>
      </c>
      <c r="C735" s="128">
        <v>715.096253407531</v>
      </c>
      <c r="D735" s="128">
        <v>14.0</v>
      </c>
      <c r="E735" s="128">
        <v>716.0060229352572</v>
      </c>
      <c r="F735" s="44" t="s">
        <v>88</v>
      </c>
      <c r="G735" s="128">
        <v>822.260419924797</v>
      </c>
      <c r="H735" s="128">
        <v>12.0</v>
      </c>
      <c r="I735" s="128">
        <v>822.8794571828079</v>
      </c>
      <c r="J735" s="44" t="s">
        <v>35</v>
      </c>
      <c r="K735" s="128">
        <v>1485.0367410572617</v>
      </c>
      <c r="L735" s="128">
        <v>30.0</v>
      </c>
      <c r="M735" s="128">
        <v>1487.5079342715246</v>
      </c>
      <c r="N735" s="44"/>
      <c r="O735" s="128"/>
      <c r="P735" s="128"/>
      <c r="Q735" s="128"/>
      <c r="V735" s="44" t="s">
        <v>34</v>
      </c>
      <c r="W735" s="128">
        <v>874.8400500049736</v>
      </c>
      <c r="X735" s="128">
        <v>17.0</v>
      </c>
      <c r="Y735" s="128">
        <v>873.5247839699325</v>
      </c>
      <c r="Z735" s="44" t="s">
        <v>107</v>
      </c>
      <c r="AA735" s="128">
        <v>879.2673166086362</v>
      </c>
      <c r="AB735" s="128">
        <v>19.0</v>
      </c>
      <c r="AC735" s="128">
        <v>878.172279599164</v>
      </c>
      <c r="AD735" s="44" t="s">
        <v>61</v>
      </c>
      <c r="AE735" s="128">
        <v>1014.6285452302004</v>
      </c>
      <c r="AF735" s="128">
        <v>15.0</v>
      </c>
      <c r="AG735" s="128">
        <v>1013.0388482747137</v>
      </c>
      <c r="AH735" s="44"/>
      <c r="AI735" s="128"/>
      <c r="AJ735" s="128"/>
      <c r="AK735" s="128"/>
      <c r="AP735" s="128">
        <v>15.0</v>
      </c>
      <c r="AQ735" s="128">
        <v>13.0</v>
      </c>
      <c r="AS735" s="44" t="s">
        <v>229</v>
      </c>
      <c r="AT735" s="44">
        <v>734.0</v>
      </c>
      <c r="AU735" s="44"/>
      <c r="AW735" s="93"/>
      <c r="AY735" s="93"/>
      <c r="AZ735" s="93"/>
      <c r="BA735" s="93"/>
      <c r="BB735" s="155"/>
      <c r="BC735" s="93"/>
      <c r="BE735" s="93"/>
      <c r="BG735" s="93"/>
      <c r="BH735" s="93"/>
      <c r="BI735" s="93"/>
      <c r="BJ735" s="155"/>
      <c r="BK735" s="93"/>
    </row>
    <row r="736">
      <c r="A736" s="166">
        <v>44511.019438958334</v>
      </c>
      <c r="B736" s="44" t="s">
        <v>88</v>
      </c>
      <c r="C736" s="128">
        <v>822.8794571828079</v>
      </c>
      <c r="D736" s="128">
        <v>18.0</v>
      </c>
      <c r="E736" s="128">
        <v>820.5614280563228</v>
      </c>
      <c r="F736" s="44" t="s">
        <v>121</v>
      </c>
      <c r="G736" s="128">
        <v>958.2766939395559</v>
      </c>
      <c r="H736" s="128">
        <v>6.0</v>
      </c>
      <c r="I736" s="128">
        <v>953.3450091533998</v>
      </c>
      <c r="J736" s="44" t="s">
        <v>27</v>
      </c>
      <c r="K736" s="128">
        <v>1038.675158264048</v>
      </c>
      <c r="L736" s="128">
        <v>19.0</v>
      </c>
      <c r="M736" s="128">
        <v>1036.4030317919232</v>
      </c>
      <c r="N736" s="44" t="s">
        <v>31</v>
      </c>
      <c r="O736" s="128">
        <v>1302.7540136263958</v>
      </c>
      <c r="P736" s="128">
        <v>28.0</v>
      </c>
      <c r="Q736" s="128">
        <v>1302.2758540111618</v>
      </c>
      <c r="V736" s="44" t="s">
        <v>107</v>
      </c>
      <c r="W736" s="128">
        <v>878.172279599164</v>
      </c>
      <c r="X736" s="128">
        <v>22.0</v>
      </c>
      <c r="Y736" s="128">
        <v>881.1647173608142</v>
      </c>
      <c r="Z736" s="44" t="s">
        <v>92</v>
      </c>
      <c r="AA736" s="128">
        <v>914.5983678964794</v>
      </c>
      <c r="AB736" s="128">
        <v>17.0</v>
      </c>
      <c r="AC736" s="128">
        <v>916.5151334479576</v>
      </c>
      <c r="AD736" s="44" t="s">
        <v>112</v>
      </c>
      <c r="AE736" s="128">
        <v>921.7928904070625</v>
      </c>
      <c r="AF736" s="128">
        <v>21.0</v>
      </c>
      <c r="AG736" s="128">
        <v>924.5366653265245</v>
      </c>
      <c r="AH736" s="44" t="s">
        <v>23</v>
      </c>
      <c r="AI736" s="128">
        <v>1413.902399720295</v>
      </c>
      <c r="AJ736" s="128">
        <v>20.0</v>
      </c>
      <c r="AK736" s="128">
        <v>1416.2494214877047</v>
      </c>
      <c r="AP736" s="128">
        <v>13.0</v>
      </c>
      <c r="AQ736" s="128">
        <v>15.0</v>
      </c>
      <c r="AS736" s="44" t="s">
        <v>229</v>
      </c>
      <c r="AT736" s="44">
        <v>735.0</v>
      </c>
      <c r="AU736" s="44"/>
      <c r="AW736" s="93"/>
      <c r="AY736" s="93"/>
      <c r="AZ736" s="93"/>
      <c r="BA736" s="93"/>
      <c r="BB736" s="155"/>
      <c r="BC736" s="93"/>
      <c r="BE736" s="93"/>
      <c r="BG736" s="93"/>
      <c r="BH736" s="93"/>
      <c r="BI736" s="93"/>
      <c r="BJ736" s="155"/>
      <c r="BK736" s="93"/>
    </row>
    <row r="737">
      <c r="A737" s="166">
        <v>44511.925780844904</v>
      </c>
      <c r="B737" s="44" t="s">
        <v>107</v>
      </c>
      <c r="C737" s="128">
        <v>881.1647173608142</v>
      </c>
      <c r="D737" s="128">
        <v>18.0</v>
      </c>
      <c r="E737" s="128">
        <v>872.3835184143136</v>
      </c>
      <c r="F737" s="44" t="s">
        <v>27</v>
      </c>
      <c r="G737" s="128">
        <v>1036.4030317919232</v>
      </c>
      <c r="H737" s="128">
        <v>12.0</v>
      </c>
      <c r="I737" s="128">
        <v>1021.1842307384238</v>
      </c>
      <c r="J737" s="44"/>
      <c r="K737" s="128"/>
      <c r="L737" s="128"/>
      <c r="M737" s="128"/>
      <c r="N737" s="44"/>
      <c r="O737" s="128"/>
      <c r="P737" s="128"/>
      <c r="Q737" s="128"/>
      <c r="V737" s="44" t="s">
        <v>92</v>
      </c>
      <c r="W737" s="128">
        <v>916.5151334479576</v>
      </c>
      <c r="X737" s="128">
        <v>19.0</v>
      </c>
      <c r="Y737" s="128">
        <v>929.530384834975</v>
      </c>
      <c r="Z737" s="44" t="s">
        <v>112</v>
      </c>
      <c r="AA737" s="128">
        <v>924.5366653265245</v>
      </c>
      <c r="AB737" s="128">
        <v>17.0</v>
      </c>
      <c r="AC737" s="128">
        <v>935.521413939507</v>
      </c>
      <c r="AD737" s="44"/>
      <c r="AE737" s="128"/>
      <c r="AF737" s="128"/>
      <c r="AG737" s="128"/>
      <c r="AH737" s="44"/>
      <c r="AI737" s="128"/>
      <c r="AJ737" s="128"/>
      <c r="AK737" s="128"/>
      <c r="AP737" s="128">
        <v>12.0</v>
      </c>
      <c r="AQ737" s="128">
        <v>15.0</v>
      </c>
      <c r="AS737" s="44" t="s">
        <v>268</v>
      </c>
      <c r="AT737" s="44">
        <v>736.0</v>
      </c>
      <c r="AU737" s="44"/>
      <c r="AW737" s="93"/>
      <c r="AY737" s="93"/>
      <c r="AZ737" s="93"/>
      <c r="BA737" s="93"/>
      <c r="BB737" s="155"/>
      <c r="BC737" s="93"/>
      <c r="BE737" s="93"/>
      <c r="BG737" s="93"/>
      <c r="BH737" s="93"/>
      <c r="BI737" s="93"/>
      <c r="BJ737" s="155"/>
      <c r="BK737" s="93"/>
    </row>
    <row r="738">
      <c r="A738" s="166">
        <v>44511.976369282405</v>
      </c>
      <c r="B738" s="44" t="s">
        <v>107</v>
      </c>
      <c r="C738" s="128">
        <v>872.3835184143136</v>
      </c>
      <c r="D738" s="128">
        <v>23.0</v>
      </c>
      <c r="E738" s="128">
        <v>871.8411208210856</v>
      </c>
      <c r="F738" s="44" t="s">
        <v>92</v>
      </c>
      <c r="G738" s="128">
        <v>929.530384834975</v>
      </c>
      <c r="H738" s="128">
        <v>13.0</v>
      </c>
      <c r="I738" s="128">
        <v>928.1358199673591</v>
      </c>
      <c r="J738" s="44" t="s">
        <v>112</v>
      </c>
      <c r="K738" s="128">
        <v>935.521413939507</v>
      </c>
      <c r="L738" s="128">
        <v>17.0</v>
      </c>
      <c r="M738" s="128">
        <v>934.4583764003511</v>
      </c>
      <c r="N738" s="44"/>
      <c r="O738" s="128"/>
      <c r="P738" s="128"/>
      <c r="Q738" s="128"/>
      <c r="V738" s="44" t="s">
        <v>123</v>
      </c>
      <c r="W738" s="128">
        <v>716.0060229352572</v>
      </c>
      <c r="X738" s="128">
        <v>9.0</v>
      </c>
      <c r="Y738" s="128">
        <v>716.2710824252262</v>
      </c>
      <c r="Z738" s="44" t="s">
        <v>88</v>
      </c>
      <c r="AA738" s="128">
        <v>820.5614280563228</v>
      </c>
      <c r="AB738" s="128">
        <v>13.0</v>
      </c>
      <c r="AC738" s="128">
        <v>821.1096942104829</v>
      </c>
      <c r="AD738" s="44" t="s">
        <v>35</v>
      </c>
      <c r="AE738" s="128">
        <v>1487.5079342715246</v>
      </c>
      <c r="AF738" s="128">
        <v>34.0</v>
      </c>
      <c r="AG738" s="128">
        <v>1489.6946086273956</v>
      </c>
      <c r="AH738" s="44"/>
      <c r="AI738" s="128"/>
      <c r="AJ738" s="128"/>
      <c r="AK738" s="128"/>
      <c r="AP738" s="128">
        <v>13.0</v>
      </c>
      <c r="AQ738" s="128">
        <v>15.0</v>
      </c>
      <c r="AS738" s="44" t="s">
        <v>290</v>
      </c>
      <c r="AT738" s="44">
        <v>737.0</v>
      </c>
      <c r="AU738" s="44"/>
      <c r="AW738" s="93"/>
      <c r="AY738" s="93"/>
      <c r="AZ738" s="93"/>
      <c r="BA738" s="93"/>
      <c r="BB738" s="155"/>
      <c r="BC738" s="93"/>
      <c r="BE738" s="93"/>
      <c r="BG738" s="93"/>
      <c r="BH738" s="93"/>
      <c r="BI738" s="93"/>
      <c r="BJ738" s="155"/>
      <c r="BK738" s="93"/>
    </row>
    <row r="739">
      <c r="A739" s="166">
        <v>44512.94191864583</v>
      </c>
      <c r="B739" s="44" t="s">
        <v>107</v>
      </c>
      <c r="C739" s="128">
        <v>871.8411208210856</v>
      </c>
      <c r="D739" s="128">
        <v>19.0</v>
      </c>
      <c r="E739" s="128">
        <v>873.4692077606948</v>
      </c>
      <c r="F739" s="44" t="s">
        <v>35</v>
      </c>
      <c r="G739" s="128">
        <v>1489.6946086273956</v>
      </c>
      <c r="H739" s="128">
        <v>18.0</v>
      </c>
      <c r="I739" s="128">
        <v>1491.0665216877865</v>
      </c>
      <c r="J739" s="44"/>
      <c r="K739" s="128"/>
      <c r="L739" s="128"/>
      <c r="M739" s="128"/>
      <c r="N739" s="44"/>
      <c r="O739" s="128"/>
      <c r="P739" s="128"/>
      <c r="Q739" s="128"/>
      <c r="V739" s="44" t="s">
        <v>92</v>
      </c>
      <c r="W739" s="128">
        <v>928.1358199673591</v>
      </c>
      <c r="X739" s="128">
        <v>13.0</v>
      </c>
      <c r="Y739" s="128">
        <v>926.5252925533282</v>
      </c>
      <c r="Z739" s="44" t="s">
        <v>27</v>
      </c>
      <c r="AA739" s="128">
        <v>1021.1842307384238</v>
      </c>
      <c r="AB739" s="128">
        <v>15.0</v>
      </c>
      <c r="AC739" s="128">
        <v>1019.7947581524547</v>
      </c>
      <c r="AD739" s="44"/>
      <c r="AE739" s="128"/>
      <c r="AF739" s="128"/>
      <c r="AG739" s="128"/>
      <c r="AH739" s="44"/>
      <c r="AI739" s="128"/>
      <c r="AJ739" s="128"/>
      <c r="AK739" s="128"/>
      <c r="AP739" s="128">
        <v>17.0</v>
      </c>
      <c r="AQ739" s="128">
        <v>11.0</v>
      </c>
      <c r="AT739" s="44">
        <v>738.0</v>
      </c>
      <c r="AU739" s="44"/>
      <c r="AW739" s="93"/>
      <c r="AY739" s="93"/>
      <c r="AZ739" s="93"/>
      <c r="BA739" s="93"/>
      <c r="BB739" s="155"/>
      <c r="BC739" s="93"/>
      <c r="BE739" s="93"/>
      <c r="BG739" s="93"/>
      <c r="BH739" s="93"/>
      <c r="BI739" s="93"/>
      <c r="BJ739" s="155"/>
      <c r="BK739" s="93"/>
    </row>
    <row r="740">
      <c r="A740" s="166">
        <v>44512.972508067134</v>
      </c>
      <c r="B740" s="44" t="s">
        <v>107</v>
      </c>
      <c r="C740" s="128">
        <v>873.4692077606948</v>
      </c>
      <c r="D740" s="128">
        <v>16.0</v>
      </c>
      <c r="E740" s="128">
        <v>876.1085337341059</v>
      </c>
      <c r="F740" s="44" t="s">
        <v>35</v>
      </c>
      <c r="G740" s="128">
        <v>1491.0665216877865</v>
      </c>
      <c r="H740" s="128">
        <v>23.0</v>
      </c>
      <c r="I740" s="128">
        <v>1495.4271957143753</v>
      </c>
      <c r="J740" s="44"/>
      <c r="K740" s="128"/>
      <c r="L740" s="128"/>
      <c r="M740" s="128"/>
      <c r="N740" s="44"/>
      <c r="O740" s="128"/>
      <c r="P740" s="128"/>
      <c r="Q740" s="128"/>
      <c r="V740" s="44" t="s">
        <v>92</v>
      </c>
      <c r="W740" s="128">
        <v>926.5252925533282</v>
      </c>
      <c r="X740" s="128">
        <v>15.0</v>
      </c>
      <c r="Y740" s="128">
        <v>923.350960486065</v>
      </c>
      <c r="Z740" s="44" t="s">
        <v>27</v>
      </c>
      <c r="AA740" s="128">
        <v>1019.7947581524547</v>
      </c>
      <c r="AB740" s="128">
        <v>13.0</v>
      </c>
      <c r="AC740" s="128">
        <v>1015.9690902197179</v>
      </c>
      <c r="AD740" s="44"/>
      <c r="AE740" s="128"/>
      <c r="AF740" s="128"/>
      <c r="AG740" s="128"/>
      <c r="AH740" s="44"/>
      <c r="AI740" s="128"/>
      <c r="AJ740" s="128"/>
      <c r="AK740" s="128"/>
      <c r="AP740" s="128">
        <v>19.0</v>
      </c>
      <c r="AQ740" s="128">
        <v>9.0</v>
      </c>
      <c r="AT740" s="44">
        <v>739.0</v>
      </c>
      <c r="AU740" s="44"/>
      <c r="AW740" s="93"/>
      <c r="AY740" s="93"/>
      <c r="AZ740" s="93"/>
      <c r="BA740" s="93"/>
      <c r="BB740" s="155"/>
      <c r="BC740" s="93"/>
      <c r="BE740" s="93"/>
      <c r="BG740" s="93"/>
      <c r="BH740" s="93"/>
      <c r="BI740" s="93"/>
      <c r="BJ740" s="155"/>
      <c r="BK740" s="93"/>
    </row>
    <row r="741">
      <c r="A741" s="166">
        <v>44513.96550496528</v>
      </c>
      <c r="B741" s="44" t="s">
        <v>34</v>
      </c>
      <c r="C741" s="128">
        <v>873.5247839699325</v>
      </c>
      <c r="D741" s="128">
        <v>14.0</v>
      </c>
      <c r="E741" s="128">
        <v>875.7199023151062</v>
      </c>
      <c r="F741" s="44" t="s">
        <v>98</v>
      </c>
      <c r="G741" s="128">
        <v>928.5247840943413</v>
      </c>
      <c r="H741" s="128">
        <v>19.0</v>
      </c>
      <c r="I741" s="128">
        <v>932.6933856174577</v>
      </c>
      <c r="J741" s="44" t="s">
        <v>61</v>
      </c>
      <c r="K741" s="128">
        <v>1013.0388482747137</v>
      </c>
      <c r="L741" s="128">
        <v>11.0</v>
      </c>
      <c r="M741" s="128">
        <v>1013.7370558719774</v>
      </c>
      <c r="N741" s="44" t="s">
        <v>35</v>
      </c>
      <c r="O741" s="128">
        <v>1495.4271957143753</v>
      </c>
      <c r="P741" s="128">
        <v>41.0</v>
      </c>
      <c r="Q741" s="128">
        <v>1508.3652682488216</v>
      </c>
      <c r="V741" s="44" t="s">
        <v>107</v>
      </c>
      <c r="W741" s="128">
        <v>876.1085337341059</v>
      </c>
      <c r="X741" s="128">
        <v>10.0</v>
      </c>
      <c r="Y741" s="128">
        <v>867.2669848800056</v>
      </c>
      <c r="Z741" s="44" t="s">
        <v>47</v>
      </c>
      <c r="AA741" s="128">
        <v>979.6468063072551</v>
      </c>
      <c r="AB741" s="128">
        <v>18.0</v>
      </c>
      <c r="AC741" s="128">
        <v>973.9609874328429</v>
      </c>
      <c r="AD741" s="44" t="s">
        <v>236</v>
      </c>
      <c r="AE741" s="128">
        <v>1032.6052885970312</v>
      </c>
      <c r="AF741" s="128">
        <v>22.0</v>
      </c>
      <c r="AG741" s="128">
        <v>1028.5155691297903</v>
      </c>
      <c r="AH741" s="44" t="s">
        <v>23</v>
      </c>
      <c r="AI741" s="128">
        <v>1416.2494214877047</v>
      </c>
      <c r="AJ741" s="128">
        <v>29.0</v>
      </c>
      <c r="AK741" s="128">
        <v>1414.8665086834583</v>
      </c>
      <c r="AP741" s="128">
        <v>16.0</v>
      </c>
      <c r="AQ741" s="128">
        <v>12.0</v>
      </c>
      <c r="AS741" s="44" t="s">
        <v>229</v>
      </c>
      <c r="AT741" s="44">
        <v>740.0</v>
      </c>
      <c r="AU741" s="44"/>
      <c r="AW741" s="93"/>
      <c r="AY741" s="93"/>
      <c r="AZ741" s="93"/>
      <c r="BA741" s="93"/>
      <c r="BB741" s="155"/>
      <c r="BC741" s="93"/>
      <c r="BE741" s="93"/>
      <c r="BG741" s="93"/>
      <c r="BH741" s="93"/>
      <c r="BI741" s="93"/>
      <c r="BJ741" s="155"/>
      <c r="BK741" s="93"/>
    </row>
    <row r="742">
      <c r="A742" s="166">
        <v>44514.984298738425</v>
      </c>
      <c r="B742" s="44" t="s">
        <v>123</v>
      </c>
      <c r="C742" s="128">
        <v>716.2710824252262</v>
      </c>
      <c r="D742" s="128">
        <v>33.0</v>
      </c>
      <c r="E742" s="128">
        <v>715.0206845191394</v>
      </c>
      <c r="F742" s="44" t="s">
        <v>92</v>
      </c>
      <c r="G742" s="128">
        <v>923.350960486065</v>
      </c>
      <c r="H742" s="128">
        <v>24.0</v>
      </c>
      <c r="I742" s="128">
        <v>919.6682376191887</v>
      </c>
      <c r="J742" s="44" t="s">
        <v>108</v>
      </c>
      <c r="K742" s="128">
        <v>928.0786499545051</v>
      </c>
      <c r="L742" s="128">
        <v>10.0</v>
      </c>
      <c r="M742" s="128">
        <v>921.1811653702216</v>
      </c>
      <c r="N742" s="44" t="s">
        <v>35</v>
      </c>
      <c r="O742" s="128">
        <v>1508.3652682488216</v>
      </c>
      <c r="P742" s="128">
        <v>45.0</v>
      </c>
      <c r="Q742" s="128">
        <v>1508.3552682488216</v>
      </c>
      <c r="V742" s="44" t="s">
        <v>88</v>
      </c>
      <c r="W742" s="128">
        <v>821.1096942104829</v>
      </c>
      <c r="X742" s="128">
        <v>21.0</v>
      </c>
      <c r="Y742" s="128">
        <v>822.3758970618798</v>
      </c>
      <c r="Z742" s="44" t="s">
        <v>107</v>
      </c>
      <c r="AA742" s="128">
        <v>867.2669848800056</v>
      </c>
      <c r="AB742" s="128">
        <v>26.0</v>
      </c>
      <c r="AC742" s="128">
        <v>869.6008320796885</v>
      </c>
      <c r="AD742" s="44" t="s">
        <v>112</v>
      </c>
      <c r="AE742" s="128">
        <v>934.4583764003511</v>
      </c>
      <c r="AF742" s="128">
        <v>23.0</v>
      </c>
      <c r="AG742" s="128">
        <v>936.0063139802871</v>
      </c>
      <c r="AH742" s="44" t="s">
        <v>23</v>
      </c>
      <c r="AI742" s="128">
        <v>1414.8665086834583</v>
      </c>
      <c r="AJ742" s="128">
        <v>43.0</v>
      </c>
      <c r="AK742" s="128">
        <v>1420.7185210524424</v>
      </c>
      <c r="AP742" s="128">
        <v>20.0</v>
      </c>
      <c r="AQ742" s="128">
        <v>22.0</v>
      </c>
      <c r="AS742" s="44" t="s">
        <v>237</v>
      </c>
      <c r="AT742" s="44">
        <v>741.0</v>
      </c>
      <c r="AU742" s="44"/>
      <c r="AW742" s="93"/>
      <c r="AY742" s="93"/>
      <c r="AZ742" s="93"/>
      <c r="BA742" s="93"/>
      <c r="BB742" s="155"/>
      <c r="BC742" s="93"/>
      <c r="BE742" s="93"/>
      <c r="BG742" s="93"/>
      <c r="BH742" s="93"/>
      <c r="BI742" s="93"/>
      <c r="BJ742" s="155"/>
      <c r="BK742" s="93"/>
    </row>
    <row r="743">
      <c r="A743" s="166">
        <v>44515.032568379625</v>
      </c>
      <c r="B743" s="44" t="s">
        <v>123</v>
      </c>
      <c r="C743" s="128">
        <v>715.0206845191394</v>
      </c>
      <c r="D743" s="128">
        <v>15.0</v>
      </c>
      <c r="E743" s="128">
        <v>711.9763594777509</v>
      </c>
      <c r="F743" s="44" t="s">
        <v>108</v>
      </c>
      <c r="G743" s="128">
        <v>921.1811653702216</v>
      </c>
      <c r="H743" s="128">
        <v>9.0</v>
      </c>
      <c r="I743" s="128">
        <v>916.6640229923192</v>
      </c>
      <c r="J743" s="44" t="s">
        <v>245</v>
      </c>
      <c r="K743" s="128">
        <v>1073.3169502321816</v>
      </c>
      <c r="L743" s="128">
        <v>26.0</v>
      </c>
      <c r="M743" s="128">
        <v>1072.2415442133404</v>
      </c>
      <c r="N743" s="44" t="s">
        <v>23</v>
      </c>
      <c r="O743" s="128">
        <v>1420.7185210524424</v>
      </c>
      <c r="P743" s="128">
        <v>25.0</v>
      </c>
      <c r="Q743" s="128">
        <v>1419.3553944905746</v>
      </c>
      <c r="V743" s="44" t="s">
        <v>88</v>
      </c>
      <c r="W743" s="128">
        <v>822.3758970618798</v>
      </c>
      <c r="X743" s="128">
        <v>15.0</v>
      </c>
      <c r="Y743" s="128">
        <v>823.9505081451816</v>
      </c>
      <c r="Z743" s="44" t="s">
        <v>34</v>
      </c>
      <c r="AA743" s="128">
        <v>875.7199023151062</v>
      </c>
      <c r="AB743" s="128">
        <v>16.0</v>
      </c>
      <c r="AC743" s="128">
        <v>877.4456490522306</v>
      </c>
      <c r="AD743" s="44" t="s">
        <v>112</v>
      </c>
      <c r="AE743" s="128">
        <v>936.0063139802871</v>
      </c>
      <c r="AF743" s="128">
        <v>17.0</v>
      </c>
      <c r="AG743" s="128">
        <v>937.8846040314252</v>
      </c>
      <c r="AH743" s="44" t="s">
        <v>35</v>
      </c>
      <c r="AI743" s="128">
        <v>1508.3552682488216</v>
      </c>
      <c r="AJ743" s="128">
        <v>32.0</v>
      </c>
      <c r="AK743" s="128">
        <v>1513.1766203772572</v>
      </c>
      <c r="AP743" s="128">
        <v>13.0</v>
      </c>
      <c r="AQ743" s="128">
        <v>15.0</v>
      </c>
      <c r="AR743" s="44" t="s">
        <v>565</v>
      </c>
      <c r="AS743" s="44" t="s">
        <v>290</v>
      </c>
      <c r="AT743" s="44">
        <v>742.0</v>
      </c>
      <c r="AU743" s="44"/>
      <c r="AW743" s="93"/>
      <c r="AY743" s="93"/>
      <c r="AZ743" s="93"/>
      <c r="BA743" s="93"/>
      <c r="BB743" s="155"/>
      <c r="BC743" s="93"/>
      <c r="BE743" s="93"/>
      <c r="BG743" s="93"/>
      <c r="BH743" s="93"/>
      <c r="BI743" s="93"/>
      <c r="BJ743" s="155"/>
      <c r="BK743" s="93"/>
    </row>
    <row r="744">
      <c r="A744" s="166">
        <v>44516.01368498843</v>
      </c>
      <c r="B744" s="44" t="s">
        <v>88</v>
      </c>
      <c r="C744" s="128">
        <v>823.9505081451816</v>
      </c>
      <c r="D744" s="128">
        <v>13.0</v>
      </c>
      <c r="E744" s="128">
        <v>824.984236006559</v>
      </c>
      <c r="F744" s="44" t="s">
        <v>92</v>
      </c>
      <c r="G744" s="128">
        <v>919.6682376191887</v>
      </c>
      <c r="H744" s="128">
        <v>20.0</v>
      </c>
      <c r="I744" s="128">
        <v>922.1496418602246</v>
      </c>
      <c r="J744" s="44" t="s">
        <v>35</v>
      </c>
      <c r="K744" s="128">
        <v>1513.1766203772572</v>
      </c>
      <c r="L744" s="128">
        <v>30.0</v>
      </c>
      <c r="M744" s="128">
        <v>1517.661488274844</v>
      </c>
      <c r="N744" s="44"/>
      <c r="O744" s="128"/>
      <c r="P744" s="128"/>
      <c r="Q744" s="128"/>
      <c r="V744" s="44" t="s">
        <v>112</v>
      </c>
      <c r="W744" s="128">
        <v>937.8846040314252</v>
      </c>
      <c r="X744" s="128">
        <v>15.0</v>
      </c>
      <c r="Y744" s="128">
        <v>934.8177450096507</v>
      </c>
      <c r="Z744" s="44" t="s">
        <v>61</v>
      </c>
      <c r="AA744" s="128">
        <v>1013.7370558719774</v>
      </c>
      <c r="AB744" s="128">
        <v>19.0</v>
      </c>
      <c r="AC744" s="128">
        <v>1011.5082016126844</v>
      </c>
      <c r="AD744" s="44" t="s">
        <v>245</v>
      </c>
      <c r="AE744" s="128">
        <v>1072.2415442133404</v>
      </c>
      <c r="AF744" s="128">
        <v>17.0</v>
      </c>
      <c r="AG744" s="128">
        <v>1069.5372574944079</v>
      </c>
      <c r="AH744" s="44"/>
      <c r="AI744" s="128"/>
      <c r="AJ744" s="128"/>
      <c r="AK744" s="128"/>
      <c r="AP744" s="128">
        <v>17.0</v>
      </c>
      <c r="AQ744" s="128">
        <v>11.0</v>
      </c>
      <c r="AR744" s="44" t="s">
        <v>566</v>
      </c>
      <c r="AS744" s="44" t="s">
        <v>229</v>
      </c>
      <c r="AT744" s="44">
        <v>743.0</v>
      </c>
      <c r="AU744" s="44"/>
      <c r="AW744" s="93"/>
      <c r="AY744" s="93"/>
      <c r="AZ744" s="93"/>
      <c r="BA744" s="93"/>
      <c r="BB744" s="155"/>
      <c r="BC744" s="93"/>
      <c r="BE744" s="93"/>
      <c r="BG744" s="93"/>
      <c r="BH744" s="93"/>
      <c r="BI744" s="93"/>
      <c r="BJ744" s="155"/>
      <c r="BK744" s="93"/>
    </row>
    <row r="745">
      <c r="A745" s="166">
        <v>44516.04634164352</v>
      </c>
      <c r="B745" s="44" t="s">
        <v>123</v>
      </c>
      <c r="C745" s="128">
        <v>711.9763594777509</v>
      </c>
      <c r="D745" s="128">
        <v>3.0</v>
      </c>
      <c r="E745" s="128">
        <v>695.2173161802762</v>
      </c>
      <c r="F745" s="44" t="s">
        <v>88</v>
      </c>
      <c r="G745" s="128">
        <v>824.984236006559</v>
      </c>
      <c r="H745" s="128">
        <v>15.0</v>
      </c>
      <c r="I745" s="128">
        <v>815.1442357907217</v>
      </c>
      <c r="J745" s="44" t="s">
        <v>35</v>
      </c>
      <c r="K745" s="128">
        <v>1517.661488274844</v>
      </c>
      <c r="L745" s="128">
        <v>40.0</v>
      </c>
      <c r="M745" s="128">
        <v>1517.651488274844</v>
      </c>
      <c r="N745" s="44"/>
      <c r="O745" s="128"/>
      <c r="P745" s="128"/>
      <c r="Q745" s="128"/>
      <c r="V745" s="44" t="s">
        <v>112</v>
      </c>
      <c r="W745" s="128">
        <v>934.8177450096507</v>
      </c>
      <c r="X745" s="128">
        <v>10.0</v>
      </c>
      <c r="Y745" s="128">
        <v>936.9902655842582</v>
      </c>
      <c r="Z745" s="44" t="s">
        <v>61</v>
      </c>
      <c r="AA745" s="128">
        <v>1011.5082016126844</v>
      </c>
      <c r="AB745" s="128">
        <v>11.0</v>
      </c>
      <c r="AC745" s="128">
        <v>1014.1353948383014</v>
      </c>
      <c r="AD745" s="44" t="s">
        <v>245</v>
      </c>
      <c r="AE745" s="128">
        <v>1069.5372574944079</v>
      </c>
      <c r="AF745" s="128">
        <v>35.0</v>
      </c>
      <c r="AG745" s="128">
        <v>1086.7375436941834</v>
      </c>
      <c r="AH745" s="44"/>
      <c r="AI745" s="128"/>
      <c r="AJ745" s="128"/>
      <c r="AK745" s="128"/>
      <c r="AP745" s="128">
        <v>12.0</v>
      </c>
      <c r="AQ745" s="128">
        <v>16.0</v>
      </c>
      <c r="AS745" s="44" t="s">
        <v>280</v>
      </c>
      <c r="AT745" s="44">
        <v>744.0</v>
      </c>
      <c r="AU745" s="44"/>
      <c r="AW745" s="93"/>
      <c r="AY745" s="93"/>
      <c r="AZ745" s="93"/>
      <c r="BA745" s="93"/>
      <c r="BB745" s="155"/>
      <c r="BC745" s="93"/>
      <c r="BE745" s="93"/>
      <c r="BG745" s="93"/>
      <c r="BH745" s="93"/>
      <c r="BI745" s="93"/>
      <c r="BJ745" s="155"/>
      <c r="BK745" s="93"/>
    </row>
    <row r="746">
      <c r="A746" s="166">
        <v>44516.97218924768</v>
      </c>
      <c r="B746" s="44" t="s">
        <v>34</v>
      </c>
      <c r="C746" s="128">
        <v>877.4456490522306</v>
      </c>
      <c r="D746" s="128">
        <v>12.0</v>
      </c>
      <c r="E746" s="128">
        <v>878.7431189516512</v>
      </c>
      <c r="F746" s="44" t="s">
        <v>27</v>
      </c>
      <c r="G746" s="128">
        <v>1015.9690902197179</v>
      </c>
      <c r="H746" s="128">
        <v>19.0</v>
      </c>
      <c r="I746" s="128">
        <v>1018.7116797014794</v>
      </c>
      <c r="J746" s="44" t="s">
        <v>23</v>
      </c>
      <c r="K746" s="128">
        <v>1419.3553944905746</v>
      </c>
      <c r="L746" s="128">
        <v>25.0</v>
      </c>
      <c r="M746" s="128">
        <v>1423.3153351093924</v>
      </c>
      <c r="N746" s="44"/>
      <c r="O746" s="128"/>
      <c r="P746" s="128"/>
      <c r="Q746" s="128"/>
      <c r="V746" s="44" t="s">
        <v>88</v>
      </c>
      <c r="W746" s="128">
        <v>815.1442357907217</v>
      </c>
      <c r="X746" s="128">
        <v>9.0</v>
      </c>
      <c r="Y746" s="128">
        <v>810.8228216473296</v>
      </c>
      <c r="Z746" s="44" t="s">
        <v>92</v>
      </c>
      <c r="AA746" s="128">
        <v>922.1496418602246</v>
      </c>
      <c r="AB746" s="128">
        <v>16.0</v>
      </c>
      <c r="AC746" s="128">
        <v>919.2865372181943</v>
      </c>
      <c r="AD746" s="44" t="s">
        <v>35</v>
      </c>
      <c r="AE746" s="128">
        <v>1517.651488274844</v>
      </c>
      <c r="AF746" s="128">
        <v>26.0</v>
      </c>
      <c r="AG746" s="128">
        <v>1516.8360070602664</v>
      </c>
      <c r="AH746" s="44"/>
      <c r="AI746" s="128"/>
      <c r="AJ746" s="128"/>
      <c r="AK746" s="128"/>
      <c r="AP746" s="128">
        <v>15.0</v>
      </c>
      <c r="AQ746" s="128">
        <v>13.0</v>
      </c>
      <c r="AT746" s="44">
        <v>745.0</v>
      </c>
      <c r="AU746" s="44"/>
      <c r="AW746" s="93"/>
      <c r="AY746" s="93"/>
      <c r="AZ746" s="93"/>
      <c r="BA746" s="93"/>
      <c r="BB746" s="155"/>
      <c r="BC746" s="93"/>
      <c r="BE746" s="93"/>
      <c r="BG746" s="93"/>
      <c r="BH746" s="93"/>
      <c r="BI746" s="93"/>
      <c r="BJ746" s="155"/>
      <c r="BK746" s="93"/>
    </row>
    <row r="747">
      <c r="A747" s="166">
        <v>44517.01080428241</v>
      </c>
      <c r="B747" s="44" t="s">
        <v>107</v>
      </c>
      <c r="C747" s="128">
        <v>869.6008320796885</v>
      </c>
      <c r="D747" s="128">
        <v>14.0</v>
      </c>
      <c r="E747" s="128">
        <v>868.734861801527</v>
      </c>
      <c r="F747" s="44" t="s">
        <v>92</v>
      </c>
      <c r="G747" s="128">
        <v>919.2865372181943</v>
      </c>
      <c r="H747" s="128">
        <v>14.0</v>
      </c>
      <c r="I747" s="128">
        <v>918.4094697484893</v>
      </c>
      <c r="J747" s="44" t="s">
        <v>35</v>
      </c>
      <c r="K747" s="128">
        <v>1516.8360070602664</v>
      </c>
      <c r="L747" s="128">
        <v>26.0</v>
      </c>
      <c r="M747" s="128">
        <v>1516.579044808133</v>
      </c>
      <c r="N747" s="44"/>
      <c r="O747" s="128"/>
      <c r="P747" s="128"/>
      <c r="Q747" s="128"/>
      <c r="V747" s="44" t="s">
        <v>88</v>
      </c>
      <c r="W747" s="128">
        <v>810.8228216473296</v>
      </c>
      <c r="X747" s="128">
        <v>7.0</v>
      </c>
      <c r="Y747" s="128">
        <v>810.9881768036597</v>
      </c>
      <c r="Z747" s="44" t="s">
        <v>27</v>
      </c>
      <c r="AA747" s="128">
        <v>1018.7116797014794</v>
      </c>
      <c r="AB747" s="128">
        <v>18.0</v>
      </c>
      <c r="AC747" s="128">
        <v>1019.4474020346262</v>
      </c>
      <c r="AD747" s="44" t="s">
        <v>23</v>
      </c>
      <c r="AE747" s="128">
        <v>1423.3153351093924</v>
      </c>
      <c r="AF747" s="128">
        <v>25.0</v>
      </c>
      <c r="AG747" s="128">
        <v>1424.4142576199156</v>
      </c>
      <c r="AH747" s="44"/>
      <c r="AI747" s="128"/>
      <c r="AJ747" s="128"/>
      <c r="AK747" s="128"/>
      <c r="AP747" s="128">
        <v>14.0</v>
      </c>
      <c r="AQ747" s="128">
        <v>14.0</v>
      </c>
      <c r="AT747" s="44">
        <v>746.0</v>
      </c>
      <c r="AU747" s="44"/>
      <c r="AW747" s="93"/>
      <c r="AY747" s="93"/>
      <c r="AZ747" s="93"/>
      <c r="BA747" s="93"/>
      <c r="BB747" s="155"/>
      <c r="BC747" s="93"/>
      <c r="BE747" s="93"/>
      <c r="BG747" s="93"/>
      <c r="BH747" s="93"/>
      <c r="BI747" s="93"/>
      <c r="BJ747" s="155"/>
      <c r="BK747" s="93"/>
    </row>
    <row r="748">
      <c r="A748" s="166">
        <v>44517.95478506944</v>
      </c>
      <c r="B748" s="44" t="s">
        <v>123</v>
      </c>
      <c r="C748" s="128">
        <v>695.2173161802762</v>
      </c>
      <c r="D748" s="128">
        <v>9.0</v>
      </c>
      <c r="E748" s="128">
        <v>695.7297470094343</v>
      </c>
      <c r="F748" s="44" t="s">
        <v>61</v>
      </c>
      <c r="G748" s="128">
        <v>1014.1353948383014</v>
      </c>
      <c r="H748" s="128">
        <v>21.0</v>
      </c>
      <c r="I748" s="128">
        <v>1025.7544817148282</v>
      </c>
      <c r="J748" s="44" t="s">
        <v>27</v>
      </c>
      <c r="K748" s="128">
        <v>1019.4474020346262</v>
      </c>
      <c r="L748" s="128">
        <v>30.0</v>
      </c>
      <c r="M748" s="128">
        <v>1040.796968722009</v>
      </c>
      <c r="N748" s="44" t="s">
        <v>23</v>
      </c>
      <c r="O748" s="128">
        <v>1424.4142576199156</v>
      </c>
      <c r="P748" s="128">
        <v>28.0</v>
      </c>
      <c r="Q748" s="128">
        <v>1442.9331732268479</v>
      </c>
      <c r="V748" s="44" t="s">
        <v>88</v>
      </c>
      <c r="W748" s="128">
        <v>810.9881768036597</v>
      </c>
      <c r="X748" s="128">
        <v>14.0</v>
      </c>
      <c r="Y748" s="128">
        <v>798.5326053910672</v>
      </c>
      <c r="Z748" s="44" t="s">
        <v>112</v>
      </c>
      <c r="AA748" s="128">
        <v>936.9902655842582</v>
      </c>
      <c r="AB748" s="128">
        <v>15.0</v>
      </c>
      <c r="AC748" s="128">
        <v>925.1671533771821</v>
      </c>
      <c r="AD748" s="44" t="s">
        <v>125</v>
      </c>
      <c r="AE748" s="128">
        <v>1000.0</v>
      </c>
      <c r="AF748" s="128">
        <v>4.0</v>
      </c>
      <c r="AG748" s="128">
        <v>976.0878528039073</v>
      </c>
      <c r="AH748" s="44" t="s">
        <v>35</v>
      </c>
      <c r="AI748" s="128">
        <v>1516.579044808133</v>
      </c>
      <c r="AJ748" s="128">
        <v>23.0</v>
      </c>
      <c r="AK748" s="128">
        <v>1512.7698756238942</v>
      </c>
      <c r="AP748" s="128">
        <v>21.0</v>
      </c>
      <c r="AQ748" s="128">
        <v>7.0</v>
      </c>
      <c r="AS748" s="44" t="s">
        <v>229</v>
      </c>
      <c r="AT748" s="44">
        <v>747.0</v>
      </c>
      <c r="AU748" s="44"/>
      <c r="AW748" s="93"/>
      <c r="AY748" s="93"/>
      <c r="AZ748" s="93"/>
      <c r="BA748" s="93"/>
      <c r="BB748" s="155"/>
      <c r="BC748" s="93"/>
      <c r="BE748" s="93"/>
      <c r="BG748" s="93"/>
      <c r="BH748" s="93"/>
      <c r="BI748" s="93"/>
      <c r="BJ748" s="155"/>
      <c r="BK748" s="93"/>
    </row>
    <row r="749">
      <c r="A749" s="166">
        <v>44518.01121596065</v>
      </c>
      <c r="B749" s="44" t="s">
        <v>123</v>
      </c>
      <c r="C749" s="128">
        <v>695.7297470094343</v>
      </c>
      <c r="D749" s="128">
        <v>17.0</v>
      </c>
      <c r="E749" s="128">
        <v>686.6887556863991</v>
      </c>
      <c r="F749" s="44" t="s">
        <v>125</v>
      </c>
      <c r="G749" s="128">
        <v>976.0878528039073</v>
      </c>
      <c r="H749" s="128">
        <v>5.0</v>
      </c>
      <c r="I749" s="128">
        <v>957.0613894256165</v>
      </c>
      <c r="J749" s="44" t="s">
        <v>27</v>
      </c>
      <c r="K749" s="128">
        <v>1040.796968722009</v>
      </c>
      <c r="L749" s="128">
        <v>17.0</v>
      </c>
      <c r="M749" s="128">
        <v>1030.6310768914486</v>
      </c>
      <c r="N749" s="44" t="s">
        <v>35</v>
      </c>
      <c r="O749" s="128">
        <v>1512.7698756238942</v>
      </c>
      <c r="P749" s="128">
        <v>34.0</v>
      </c>
      <c r="Q749" s="128">
        <v>1512.7598756238942</v>
      </c>
      <c r="V749" s="44" t="s">
        <v>107</v>
      </c>
      <c r="W749" s="128">
        <v>868.734861801527</v>
      </c>
      <c r="X749" s="128">
        <v>31.0</v>
      </c>
      <c r="Y749" s="128">
        <v>883.429883839725</v>
      </c>
      <c r="Z749" s="44" t="s">
        <v>112</v>
      </c>
      <c r="AA749" s="128">
        <v>925.1671533771821</v>
      </c>
      <c r="AB749" s="128">
        <v>17.0</v>
      </c>
      <c r="AC749" s="128">
        <v>929.1402131712531</v>
      </c>
      <c r="AD749" s="44" t="s">
        <v>61</v>
      </c>
      <c r="AE749" s="128">
        <v>1025.7544817148282</v>
      </c>
      <c r="AF749" s="128">
        <v>24.0</v>
      </c>
      <c r="AG749" s="128">
        <v>1034.6624854743197</v>
      </c>
      <c r="AH749" s="44" t="s">
        <v>23</v>
      </c>
      <c r="AI749" s="128">
        <v>1442.9331732268479</v>
      </c>
      <c r="AJ749" s="128">
        <v>24.0</v>
      </c>
      <c r="AK749" s="128">
        <v>1451.3570876350875</v>
      </c>
      <c r="AP749" s="128">
        <v>7.0</v>
      </c>
      <c r="AQ749" s="128">
        <v>21.0</v>
      </c>
      <c r="AS749" s="44" t="s">
        <v>266</v>
      </c>
      <c r="AT749" s="44">
        <v>748.0</v>
      </c>
      <c r="AU749" s="44"/>
      <c r="AW749" s="93"/>
      <c r="AY749" s="93"/>
      <c r="AZ749" s="93"/>
      <c r="BA749" s="93"/>
      <c r="BB749" s="155"/>
      <c r="BC749" s="93"/>
      <c r="BE749" s="93"/>
      <c r="BG749" s="93"/>
      <c r="BH749" s="93"/>
      <c r="BI749" s="93"/>
      <c r="BJ749" s="155"/>
      <c r="BK749" s="93"/>
    </row>
    <row r="750">
      <c r="A750" s="166">
        <v>44519.9321428588</v>
      </c>
      <c r="B750" s="44" t="s">
        <v>123</v>
      </c>
      <c r="C750" s="128">
        <v>686.6887556863991</v>
      </c>
      <c r="D750" s="128">
        <v>12.0</v>
      </c>
      <c r="E750" s="128">
        <v>680.8889057214811</v>
      </c>
      <c r="F750" s="44" t="s">
        <v>47</v>
      </c>
      <c r="G750" s="128">
        <v>973.9609874328429</v>
      </c>
      <c r="H750" s="128">
        <v>21.0</v>
      </c>
      <c r="I750" s="128">
        <v>971.4326880703359</v>
      </c>
      <c r="J750" s="44" t="s">
        <v>296</v>
      </c>
      <c r="K750" s="128">
        <v>977.005256487527</v>
      </c>
      <c r="L750" s="128">
        <v>12.0</v>
      </c>
      <c r="M750" s="128">
        <v>970.8399685527021</v>
      </c>
      <c r="N750" s="44" t="s">
        <v>61</v>
      </c>
      <c r="O750" s="128">
        <v>1034.6624854743197</v>
      </c>
      <c r="P750" s="128">
        <v>14.0</v>
      </c>
      <c r="Q750" s="128">
        <v>1029.1559227365697</v>
      </c>
      <c r="V750" s="44" t="s">
        <v>88</v>
      </c>
      <c r="W750" s="128">
        <v>798.5326053910672</v>
      </c>
      <c r="X750" s="128">
        <v>17.0</v>
      </c>
      <c r="Y750" s="128">
        <v>802.1121641675205</v>
      </c>
      <c r="Z750" s="44" t="s">
        <v>108</v>
      </c>
      <c r="AA750" s="128">
        <v>916.6640229923192</v>
      </c>
      <c r="AB750" s="128">
        <v>15.0</v>
      </c>
      <c r="AC750" s="128">
        <v>919.1499992908173</v>
      </c>
      <c r="AD750" s="44" t="s">
        <v>112</v>
      </c>
      <c r="AE750" s="128">
        <v>929.1402131712531</v>
      </c>
      <c r="AF750" s="128">
        <v>30.0</v>
      </c>
      <c r="AG750" s="128">
        <v>937.853095531607</v>
      </c>
      <c r="AH750" s="44" t="s">
        <v>27</v>
      </c>
      <c r="AI750" s="128">
        <v>1030.6310768914486</v>
      </c>
      <c r="AJ750" s="128">
        <v>22.0</v>
      </c>
      <c r="AK750" s="128">
        <v>1035.8526594561433</v>
      </c>
      <c r="AP750" s="128">
        <v>10.0</v>
      </c>
      <c r="AQ750" s="128">
        <v>18.0</v>
      </c>
      <c r="AS750" s="44" t="s">
        <v>229</v>
      </c>
      <c r="AT750" s="44">
        <v>749.0</v>
      </c>
      <c r="AU750" s="44"/>
      <c r="AW750" s="93"/>
      <c r="AY750" s="93"/>
      <c r="AZ750" s="93"/>
      <c r="BA750" s="93"/>
      <c r="BB750" s="155"/>
      <c r="BC750" s="93"/>
      <c r="BE750" s="93"/>
      <c r="BG750" s="93"/>
      <c r="BH750" s="93"/>
      <c r="BI750" s="93"/>
      <c r="BJ750" s="155"/>
      <c r="BK750" s="93"/>
    </row>
    <row r="751">
      <c r="A751" s="166">
        <v>44519.976111689815</v>
      </c>
      <c r="B751" s="44" t="s">
        <v>123</v>
      </c>
      <c r="C751" s="128">
        <v>680.8889057214811</v>
      </c>
      <c r="D751" s="128">
        <v>9.0</v>
      </c>
      <c r="E751" s="128">
        <v>674.9834076228473</v>
      </c>
      <c r="F751" s="44" t="s">
        <v>88</v>
      </c>
      <c r="G751" s="128">
        <v>802.1121641675205</v>
      </c>
      <c r="H751" s="128">
        <v>14.0</v>
      </c>
      <c r="I751" s="128">
        <v>797.6675136404216</v>
      </c>
      <c r="J751" s="44" t="s">
        <v>112</v>
      </c>
      <c r="K751" s="128">
        <v>937.853095531607</v>
      </c>
      <c r="L751" s="128">
        <v>17.0</v>
      </c>
      <c r="M751" s="128">
        <v>934.2344562790328</v>
      </c>
      <c r="N751" s="44" t="s">
        <v>296</v>
      </c>
      <c r="O751" s="128">
        <v>970.8399685527021</v>
      </c>
      <c r="P751" s="128">
        <v>10.0</v>
      </c>
      <c r="Q751" s="128">
        <v>964.986546186371</v>
      </c>
      <c r="R751" s="44" t="s">
        <v>23</v>
      </c>
      <c r="S751" s="128">
        <v>1451.3570876350875</v>
      </c>
      <c r="T751" s="128">
        <v>28.0</v>
      </c>
      <c r="U751" s="128">
        <v>1451.1792978797257</v>
      </c>
      <c r="V751" s="44" t="s">
        <v>107</v>
      </c>
      <c r="W751" s="128">
        <v>883.429883839725</v>
      </c>
      <c r="X751" s="128">
        <v>23.0</v>
      </c>
      <c r="Y751" s="128">
        <v>888.0807726816334</v>
      </c>
      <c r="Z751" s="44" t="s">
        <v>108</v>
      </c>
      <c r="AA751" s="128">
        <v>919.1499992908173</v>
      </c>
      <c r="AB751" s="128">
        <v>17.0</v>
      </c>
      <c r="AC751" s="128">
        <v>921.7442704776389</v>
      </c>
      <c r="AD751" s="44" t="s">
        <v>47</v>
      </c>
      <c r="AE751" s="128">
        <v>971.4326880703359</v>
      </c>
      <c r="AF751" s="128">
        <v>27.0</v>
      </c>
      <c r="AG751" s="128">
        <v>977.2872423646687</v>
      </c>
      <c r="AH751" s="44" t="s">
        <v>61</v>
      </c>
      <c r="AI751" s="128">
        <v>1029.1559227365697</v>
      </c>
      <c r="AJ751" s="128">
        <v>22.0</v>
      </c>
      <c r="AK751" s="128">
        <v>1033.2762261467199</v>
      </c>
      <c r="AL751" s="44" t="s">
        <v>27</v>
      </c>
      <c r="AM751" s="128">
        <v>1035.8526594561433</v>
      </c>
      <c r="AN751" s="128">
        <v>18.0</v>
      </c>
      <c r="AO751" s="128">
        <v>1038.6326417229302</v>
      </c>
      <c r="AP751" s="128">
        <v>10.0</v>
      </c>
      <c r="AQ751" s="128">
        <v>18.0</v>
      </c>
      <c r="AS751" s="44" t="s">
        <v>266</v>
      </c>
      <c r="AT751" s="44">
        <v>750.0</v>
      </c>
      <c r="AU751" s="44"/>
      <c r="AW751" s="93"/>
      <c r="AY751" s="93"/>
      <c r="AZ751" s="93"/>
      <c r="BA751" s="93"/>
      <c r="BB751" s="155"/>
      <c r="BC751" s="93"/>
      <c r="BE751" s="93"/>
      <c r="BG751" s="93"/>
      <c r="BH751" s="93"/>
      <c r="BI751" s="93"/>
      <c r="BJ751" s="155"/>
      <c r="BK751" s="93"/>
    </row>
    <row r="752">
      <c r="A752" s="166">
        <v>44520.036507384255</v>
      </c>
      <c r="B752" s="44" t="s">
        <v>123</v>
      </c>
      <c r="C752" s="128">
        <v>674.9834076228473</v>
      </c>
      <c r="D752" s="128">
        <v>19.0</v>
      </c>
      <c r="E752" s="128">
        <v>671.4059490337404</v>
      </c>
      <c r="F752" s="44" t="s">
        <v>88</v>
      </c>
      <c r="G752" s="128">
        <v>797.6675136404216</v>
      </c>
      <c r="H752" s="128">
        <v>32.0</v>
      </c>
      <c r="I752" s="128">
        <v>796.3181897356519</v>
      </c>
      <c r="J752" s="44" t="s">
        <v>47</v>
      </c>
      <c r="K752" s="128">
        <v>977.2872423646687</v>
      </c>
      <c r="L752" s="128">
        <v>31.0</v>
      </c>
      <c r="M752" s="128">
        <v>975.5311238424606</v>
      </c>
      <c r="N752" s="44" t="s">
        <v>23</v>
      </c>
      <c r="O752" s="128">
        <v>1451.1792978797257</v>
      </c>
      <c r="P752" s="128">
        <v>29.0</v>
      </c>
      <c r="Q752" s="128">
        <v>1448.8621988958103</v>
      </c>
      <c r="V752" s="44" t="s">
        <v>108</v>
      </c>
      <c r="W752" s="128">
        <v>921.7442704776389</v>
      </c>
      <c r="X752" s="128">
        <v>18.0</v>
      </c>
      <c r="Y752" s="128">
        <v>921.572407008911</v>
      </c>
      <c r="Z752" s="44" t="s">
        <v>112</v>
      </c>
      <c r="AA752" s="128">
        <v>934.2344562790328</v>
      </c>
      <c r="AB752" s="128">
        <v>33.0</v>
      </c>
      <c r="AC752" s="128">
        <v>936.860090909846</v>
      </c>
      <c r="AD752" s="44" t="s">
        <v>61</v>
      </c>
      <c r="AE752" s="128">
        <v>1033.2762261467199</v>
      </c>
      <c r="AF752" s="128">
        <v>40.0</v>
      </c>
      <c r="AG752" s="128">
        <v>1037.114096258674</v>
      </c>
      <c r="AH752" s="44" t="s">
        <v>27</v>
      </c>
      <c r="AI752" s="128">
        <v>1038.6326417229302</v>
      </c>
      <c r="AJ752" s="128">
        <v>34.0</v>
      </c>
      <c r="AK752" s="128">
        <v>1041.341000448891</v>
      </c>
      <c r="AP752" s="128">
        <v>20.0</v>
      </c>
      <c r="AQ752" s="128">
        <v>21.0</v>
      </c>
      <c r="AS752" s="44" t="s">
        <v>567</v>
      </c>
      <c r="AT752" s="44">
        <v>751.0</v>
      </c>
      <c r="AU752" s="44"/>
      <c r="AW752" s="93"/>
      <c r="AY752" s="93"/>
      <c r="AZ752" s="93"/>
      <c r="BA752" s="93"/>
      <c r="BB752" s="155"/>
      <c r="BC752" s="93"/>
      <c r="BE752" s="93"/>
      <c r="BG752" s="93"/>
      <c r="BH752" s="93"/>
      <c r="BI752" s="93"/>
      <c r="BJ752" s="155"/>
      <c r="BK752" s="93"/>
    </row>
    <row r="753">
      <c r="A753" s="166">
        <v>44520.07819306713</v>
      </c>
      <c r="B753" s="44" t="s">
        <v>123</v>
      </c>
      <c r="C753" s="128">
        <v>671.4059490337404</v>
      </c>
      <c r="D753" s="128">
        <v>14.0</v>
      </c>
      <c r="E753" s="128">
        <v>666.8178039770493</v>
      </c>
      <c r="F753" s="44" t="s">
        <v>88</v>
      </c>
      <c r="G753" s="128">
        <v>796.3181897356519</v>
      </c>
      <c r="H753" s="128">
        <v>25.0</v>
      </c>
      <c r="I753" s="128">
        <v>794.9845838318515</v>
      </c>
      <c r="J753" s="44" t="s">
        <v>112</v>
      </c>
      <c r="K753" s="128">
        <v>936.860090909846</v>
      </c>
      <c r="L753" s="128">
        <v>26.0</v>
      </c>
      <c r="M753" s="128">
        <v>935.6498226006394</v>
      </c>
      <c r="N753" s="44" t="s">
        <v>125</v>
      </c>
      <c r="O753" s="128">
        <v>957.0613894256165</v>
      </c>
      <c r="P753" s="128">
        <v>5.0</v>
      </c>
      <c r="Q753" s="128">
        <v>949.1788700828433</v>
      </c>
      <c r="R753" s="44" t="s">
        <v>23</v>
      </c>
      <c r="S753" s="128">
        <v>1448.8621988958103</v>
      </c>
      <c r="T753" s="128">
        <v>18.0</v>
      </c>
      <c r="U753" s="128">
        <v>1444.8767375082818</v>
      </c>
      <c r="V753" s="44" t="s">
        <v>34</v>
      </c>
      <c r="W753" s="128">
        <v>878.7431189516512</v>
      </c>
      <c r="X753" s="128">
        <v>19.0</v>
      </c>
      <c r="Y753" s="128">
        <v>881.3965373343407</v>
      </c>
      <c r="Z753" s="44" t="s">
        <v>107</v>
      </c>
      <c r="AA753" s="128">
        <v>888.0807726816334</v>
      </c>
      <c r="AB753" s="128">
        <v>17.0</v>
      </c>
      <c r="AC753" s="128">
        <v>890.0850481105151</v>
      </c>
      <c r="AD753" s="44" t="s">
        <v>47</v>
      </c>
      <c r="AE753" s="128">
        <v>975.5311238424606</v>
      </c>
      <c r="AF753" s="128">
        <v>41.0</v>
      </c>
      <c r="AG753" s="128">
        <v>985.0057929516738</v>
      </c>
      <c r="AH753" s="44" t="s">
        <v>61</v>
      </c>
      <c r="AI753" s="128">
        <v>1037.114096258674</v>
      </c>
      <c r="AJ753" s="128">
        <v>17.0</v>
      </c>
      <c r="AK753" s="128">
        <v>1038.9167745791096</v>
      </c>
      <c r="AL753" s="44" t="s">
        <v>27</v>
      </c>
      <c r="AM753" s="128">
        <v>1041.341000448891</v>
      </c>
      <c r="AN753" s="128">
        <v>21.0</v>
      </c>
      <c r="AO753" s="128">
        <v>1044.405959207671</v>
      </c>
      <c r="AP753" s="128">
        <v>10.0</v>
      </c>
      <c r="AQ753" s="128">
        <v>18.0</v>
      </c>
      <c r="AS753" s="44" t="s">
        <v>229</v>
      </c>
      <c r="AT753" s="44">
        <v>752.0</v>
      </c>
      <c r="AU753" s="44"/>
      <c r="AW753" s="93"/>
      <c r="AY753" s="93"/>
      <c r="AZ753" s="93"/>
      <c r="BA753" s="93"/>
      <c r="BB753" s="155"/>
      <c r="BC753" s="93"/>
      <c r="BE753" s="93"/>
      <c r="BG753" s="93"/>
      <c r="BH753" s="93"/>
      <c r="BI753" s="93"/>
      <c r="BJ753" s="155"/>
      <c r="BK753" s="93"/>
    </row>
    <row r="754">
      <c r="A754" s="166">
        <v>44520.11617789352</v>
      </c>
      <c r="B754" s="44" t="s">
        <v>88</v>
      </c>
      <c r="C754" s="128">
        <v>794.9845838318515</v>
      </c>
      <c r="D754" s="128">
        <v>18.0</v>
      </c>
      <c r="E754" s="128">
        <v>790.0980959929698</v>
      </c>
      <c r="F754" s="44" t="s">
        <v>125</v>
      </c>
      <c r="G754" s="128">
        <v>949.1788700828433</v>
      </c>
      <c r="H754" s="128">
        <v>11.0</v>
      </c>
      <c r="I754" s="128">
        <v>940.8911852411795</v>
      </c>
      <c r="J754" s="44" t="s">
        <v>23</v>
      </c>
      <c r="K754" s="128">
        <v>1444.8767375082818</v>
      </c>
      <c r="L754" s="128">
        <v>24.0</v>
      </c>
      <c r="M754" s="128">
        <v>1442.0509101888274</v>
      </c>
      <c r="N754" s="44"/>
      <c r="O754" s="128"/>
      <c r="P754" s="128"/>
      <c r="Q754" s="128"/>
      <c r="V754" s="44" t="s">
        <v>112</v>
      </c>
      <c r="W754" s="128">
        <v>935.6498226006394</v>
      </c>
      <c r="X754" s="128">
        <v>24.0</v>
      </c>
      <c r="Y754" s="128">
        <v>942.8402771244348</v>
      </c>
      <c r="Z754" s="44" t="s">
        <v>47</v>
      </c>
      <c r="AA754" s="128">
        <v>985.0057929516738</v>
      </c>
      <c r="AB754" s="128">
        <v>23.0</v>
      </c>
      <c r="AC754" s="128">
        <v>991.6703102334467</v>
      </c>
      <c r="AD754" s="44" t="s">
        <v>61</v>
      </c>
      <c r="AE754" s="128">
        <v>1038.9167745791096</v>
      </c>
      <c r="AF754" s="128">
        <v>13.0</v>
      </c>
      <c r="AG754" s="128">
        <v>1041.0618027735413</v>
      </c>
      <c r="AH754" s="44"/>
      <c r="AI754" s="128"/>
      <c r="AJ754" s="128"/>
      <c r="AK754" s="128"/>
      <c r="AP754" s="128">
        <v>13.0</v>
      </c>
      <c r="AQ754" s="128">
        <v>15.0</v>
      </c>
      <c r="AS754" s="44" t="s">
        <v>456</v>
      </c>
      <c r="AT754" s="44">
        <v>753.0</v>
      </c>
      <c r="AU754" s="44"/>
      <c r="AW754" s="93"/>
      <c r="AY754" s="93"/>
      <c r="AZ754" s="93"/>
      <c r="BA754" s="93"/>
      <c r="BB754" s="155"/>
      <c r="BC754" s="93"/>
      <c r="BE754" s="93"/>
      <c r="BG754" s="93"/>
      <c r="BH754" s="93"/>
      <c r="BI754" s="93"/>
      <c r="BJ754" s="155"/>
      <c r="BK754" s="93"/>
    </row>
    <row r="755">
      <c r="A755" s="166">
        <v>44520.924429039354</v>
      </c>
      <c r="B755" s="44" t="s">
        <v>47</v>
      </c>
      <c r="C755" s="128">
        <v>991.6703102334467</v>
      </c>
      <c r="D755" s="128">
        <v>25.0</v>
      </c>
      <c r="E755" s="128">
        <v>995.4832307038229</v>
      </c>
      <c r="F755" s="44" t="s">
        <v>23</v>
      </c>
      <c r="G755" s="128">
        <v>1442.0509101888274</v>
      </c>
      <c r="H755" s="128">
        <v>13.0</v>
      </c>
      <c r="I755" s="128">
        <v>1443.2379897184512</v>
      </c>
      <c r="J755" s="44"/>
      <c r="K755" s="128"/>
      <c r="L755" s="128"/>
      <c r="M755" s="128"/>
      <c r="N755" s="44"/>
      <c r="O755" s="128"/>
      <c r="P755" s="128"/>
      <c r="Q755" s="128"/>
      <c r="V755" s="44" t="s">
        <v>61</v>
      </c>
      <c r="W755" s="128">
        <v>1041.0618027735413</v>
      </c>
      <c r="X755" s="128">
        <v>14.0</v>
      </c>
      <c r="Y755" s="128">
        <v>1038.3541940633647</v>
      </c>
      <c r="Z755" s="44" t="s">
        <v>27</v>
      </c>
      <c r="AA755" s="128">
        <v>1044.405959207671</v>
      </c>
      <c r="AB755" s="128">
        <v>16.0</v>
      </c>
      <c r="AC755" s="128">
        <v>1042.1135679178476</v>
      </c>
      <c r="AD755" s="44"/>
      <c r="AE755" s="128"/>
      <c r="AF755" s="128"/>
      <c r="AG755" s="128"/>
      <c r="AH755" s="44"/>
      <c r="AI755" s="128"/>
      <c r="AJ755" s="128"/>
      <c r="AK755" s="128"/>
      <c r="AP755" s="128">
        <v>16.0</v>
      </c>
      <c r="AQ755" s="128">
        <v>12.0</v>
      </c>
      <c r="AT755" s="44">
        <v>754.0</v>
      </c>
      <c r="AU755" s="44"/>
      <c r="AW755" s="93"/>
      <c r="AY755" s="93"/>
      <c r="AZ755" s="93"/>
      <c r="BA755" s="93"/>
      <c r="BB755" s="155"/>
      <c r="BC755" s="93"/>
      <c r="BE755" s="93"/>
      <c r="BG755" s="93"/>
      <c r="BH755" s="93"/>
      <c r="BI755" s="93"/>
      <c r="BJ755" s="155"/>
      <c r="BK755" s="93"/>
    </row>
    <row r="756">
      <c r="A756" s="166">
        <v>44520.9655464699</v>
      </c>
      <c r="B756" s="44" t="s">
        <v>47</v>
      </c>
      <c r="C756" s="128">
        <v>995.4832307038229</v>
      </c>
      <c r="D756" s="128">
        <v>19.0</v>
      </c>
      <c r="E756" s="128">
        <v>999.2486244890047</v>
      </c>
      <c r="F756" s="44" t="s">
        <v>61</v>
      </c>
      <c r="G756" s="128">
        <v>1038.3541940633647</v>
      </c>
      <c r="H756" s="128">
        <v>22.0</v>
      </c>
      <c r="I756" s="128">
        <v>1043.1540211799536</v>
      </c>
      <c r="J756" s="44" t="s">
        <v>27</v>
      </c>
      <c r="K756" s="128">
        <v>1042.1135679178476</v>
      </c>
      <c r="L756" s="128">
        <v>21.0</v>
      </c>
      <c r="M756" s="128">
        <v>1046.548347016077</v>
      </c>
      <c r="N756" s="44"/>
      <c r="O756" s="128"/>
      <c r="P756" s="128"/>
      <c r="Q756" s="128"/>
      <c r="V756" s="44" t="s">
        <v>88</v>
      </c>
      <c r="W756" s="128">
        <v>790.0980959929698</v>
      </c>
      <c r="X756" s="128">
        <v>17.0</v>
      </c>
      <c r="Y756" s="128">
        <v>785.9477539823138</v>
      </c>
      <c r="Z756" s="44" t="s">
        <v>296</v>
      </c>
      <c r="AA756" s="128">
        <v>964.986546186371</v>
      </c>
      <c r="AB756" s="128">
        <v>5.0</v>
      </c>
      <c r="AC756" s="128">
        <v>956.4410275322628</v>
      </c>
      <c r="AD756" s="44" t="s">
        <v>23</v>
      </c>
      <c r="AE756" s="128">
        <v>1443.2379897184512</v>
      </c>
      <c r="AF756" s="128">
        <v>29.0</v>
      </c>
      <c r="AG756" s="128">
        <v>1442.9338503832155</v>
      </c>
      <c r="AH756" s="44"/>
      <c r="AI756" s="128"/>
      <c r="AJ756" s="128"/>
      <c r="AK756" s="128"/>
      <c r="AP756" s="128">
        <v>15.0</v>
      </c>
      <c r="AQ756" s="128">
        <v>13.0</v>
      </c>
      <c r="AT756" s="44">
        <v>755.0</v>
      </c>
      <c r="AU756" s="44"/>
      <c r="AW756" s="93"/>
      <c r="AY756" s="93"/>
      <c r="AZ756" s="93"/>
      <c r="BA756" s="93"/>
      <c r="BB756" s="155"/>
      <c r="BC756" s="93"/>
      <c r="BE756" s="93"/>
      <c r="BG756" s="93"/>
      <c r="BH756" s="93"/>
      <c r="BI756" s="93"/>
      <c r="BJ756" s="155"/>
      <c r="BK756" s="93"/>
    </row>
    <row r="757">
      <c r="A757" s="166">
        <v>44521.017500347225</v>
      </c>
      <c r="B757" s="44" t="s">
        <v>47</v>
      </c>
      <c r="C757" s="128">
        <v>999.2486244890047</v>
      </c>
      <c r="D757" s="128">
        <v>24.0</v>
      </c>
      <c r="E757" s="128">
        <v>995.6123141041539</v>
      </c>
      <c r="F757" s="44" t="s">
        <v>61</v>
      </c>
      <c r="G757" s="128">
        <v>1043.1540211799536</v>
      </c>
      <c r="H757" s="128">
        <v>27.0</v>
      </c>
      <c r="I757" s="128">
        <v>1040.2237339387939</v>
      </c>
      <c r="J757" s="44" t="s">
        <v>27</v>
      </c>
      <c r="K757" s="128">
        <v>1046.548347016077</v>
      </c>
      <c r="L757" s="128">
        <v>29.0</v>
      </c>
      <c r="M757" s="128">
        <v>1044.1149446420877</v>
      </c>
      <c r="N757" s="44"/>
      <c r="O757" s="128"/>
      <c r="P757" s="128"/>
      <c r="Q757" s="128"/>
      <c r="V757" s="44" t="s">
        <v>88</v>
      </c>
      <c r="W757" s="128">
        <v>785.9477539823138</v>
      </c>
      <c r="X757" s="128">
        <v>20.0</v>
      </c>
      <c r="Y757" s="128">
        <v>787.1980384612315</v>
      </c>
      <c r="Z757" s="44" t="s">
        <v>107</v>
      </c>
      <c r="AA757" s="128">
        <v>890.0850481105151</v>
      </c>
      <c r="AB757" s="128">
        <v>30.0</v>
      </c>
      <c r="AC757" s="128">
        <v>893.645011195303</v>
      </c>
      <c r="AD757" s="44" t="s">
        <v>23</v>
      </c>
      <c r="AE757" s="128">
        <v>1442.9338503832155</v>
      </c>
      <c r="AF757" s="128">
        <v>34.0</v>
      </c>
      <c r="AG757" s="128">
        <v>1447.1236028195099</v>
      </c>
      <c r="AH757" s="44"/>
      <c r="AI757" s="128"/>
      <c r="AJ757" s="128"/>
      <c r="AK757" s="128"/>
      <c r="AP757" s="128">
        <v>20.0</v>
      </c>
      <c r="AQ757" s="128">
        <v>22.0</v>
      </c>
      <c r="AT757" s="44">
        <v>756.0</v>
      </c>
      <c r="AU757" s="44"/>
      <c r="AW757" s="93"/>
      <c r="AY757" s="93"/>
      <c r="AZ757" s="93"/>
      <c r="BA757" s="93"/>
      <c r="BB757" s="155"/>
      <c r="BC757" s="93"/>
      <c r="BE757" s="93"/>
      <c r="BG757" s="93"/>
      <c r="BH757" s="93"/>
      <c r="BI757" s="93"/>
      <c r="BJ757" s="155"/>
      <c r="BK757" s="93"/>
    </row>
    <row r="758">
      <c r="A758" s="166">
        <v>44521.055201446754</v>
      </c>
      <c r="B758" s="44" t="s">
        <v>125</v>
      </c>
      <c r="C758" s="128">
        <v>940.8911852411795</v>
      </c>
      <c r="D758" s="128">
        <v>9.0</v>
      </c>
      <c r="E758" s="128">
        <v>934.7152279171682</v>
      </c>
      <c r="F758" s="44" t="s">
        <v>47</v>
      </c>
      <c r="G758" s="128">
        <v>995.6123141041539</v>
      </c>
      <c r="H758" s="128">
        <v>21.0</v>
      </c>
      <c r="I758" s="128">
        <v>993.384761721829</v>
      </c>
      <c r="J758" s="44" t="s">
        <v>61</v>
      </c>
      <c r="K758" s="128">
        <v>1040.2237339387939</v>
      </c>
      <c r="L758" s="128">
        <v>17.0</v>
      </c>
      <c r="M758" s="128">
        <v>1036.6272436451302</v>
      </c>
      <c r="N758" s="44"/>
      <c r="O758" s="128"/>
      <c r="P758" s="128"/>
      <c r="Q758" s="128"/>
      <c r="V758" s="44" t="s">
        <v>88</v>
      </c>
      <c r="W758" s="128">
        <v>787.1980384612315</v>
      </c>
      <c r="X758" s="128">
        <v>20.0</v>
      </c>
      <c r="Y758" s="128">
        <v>791.0078247626361</v>
      </c>
      <c r="Z758" s="44" t="s">
        <v>107</v>
      </c>
      <c r="AA758" s="128">
        <v>893.645011195303</v>
      </c>
      <c r="AB758" s="128">
        <v>29.0</v>
      </c>
      <c r="AC758" s="128">
        <v>900.2586098838178</v>
      </c>
      <c r="AD758" s="44" t="s">
        <v>23</v>
      </c>
      <c r="AE758" s="128">
        <v>1447.1236028195099</v>
      </c>
      <c r="AF758" s="128">
        <v>15.0</v>
      </c>
      <c r="AG758" s="128">
        <v>1448.7002178295904</v>
      </c>
      <c r="AH758" s="44"/>
      <c r="AI758" s="128"/>
      <c r="AJ758" s="128"/>
      <c r="AK758" s="128"/>
      <c r="AP758" s="128">
        <v>10.0</v>
      </c>
      <c r="AQ758" s="128">
        <v>18.0</v>
      </c>
      <c r="AT758" s="44">
        <v>757.0</v>
      </c>
      <c r="AU758" s="44"/>
      <c r="AW758" s="93"/>
      <c r="AY758" s="93"/>
      <c r="AZ758" s="93"/>
      <c r="BA758" s="93"/>
      <c r="BB758" s="155"/>
      <c r="BC758" s="93"/>
      <c r="BE758" s="93"/>
      <c r="BG758" s="93"/>
      <c r="BH758" s="93"/>
      <c r="BI758" s="93"/>
      <c r="BJ758" s="155"/>
      <c r="BK758" s="93"/>
    </row>
    <row r="759">
      <c r="A759" s="166">
        <v>44521.82772659722</v>
      </c>
      <c r="B759" s="44" t="s">
        <v>125</v>
      </c>
      <c r="C759" s="128">
        <v>934.7152279171682</v>
      </c>
      <c r="D759" s="128">
        <v>6.0</v>
      </c>
      <c r="E759" s="128">
        <v>930.7984415820772</v>
      </c>
      <c r="F759" s="44" t="s">
        <v>47</v>
      </c>
      <c r="G759" s="128">
        <v>993.384761721829</v>
      </c>
      <c r="H759" s="128">
        <v>26.0</v>
      </c>
      <c r="I759" s="128">
        <v>992.7696628702711</v>
      </c>
      <c r="J759" s="44" t="s">
        <v>61</v>
      </c>
      <c r="K759" s="128">
        <v>1036.6272436451302</v>
      </c>
      <c r="L759" s="128">
        <v>21.0</v>
      </c>
      <c r="M759" s="128">
        <v>1035.1591288317793</v>
      </c>
      <c r="N759" s="44"/>
      <c r="O759" s="128"/>
      <c r="P759" s="128"/>
      <c r="Q759" s="128"/>
      <c r="V759" s="44" t="s">
        <v>88</v>
      </c>
      <c r="W759" s="128">
        <v>791.0078247626361</v>
      </c>
      <c r="X759" s="128">
        <v>18.0</v>
      </c>
      <c r="Y759" s="128">
        <v>792.734543849187</v>
      </c>
      <c r="Z759" s="44" t="s">
        <v>34</v>
      </c>
      <c r="AA759" s="128">
        <v>881.3965373343407</v>
      </c>
      <c r="AB759" s="128">
        <v>18.0</v>
      </c>
      <c r="AC759" s="128">
        <v>883.042977783853</v>
      </c>
      <c r="AD759" s="44" t="s">
        <v>23</v>
      </c>
      <c r="AE759" s="128">
        <v>1448.7002178295904</v>
      </c>
      <c r="AF759" s="128">
        <v>25.0</v>
      </c>
      <c r="AG759" s="128">
        <v>1451.3270582935272</v>
      </c>
      <c r="AH759" s="44"/>
      <c r="AI759" s="128"/>
      <c r="AJ759" s="128"/>
      <c r="AK759" s="128"/>
      <c r="AP759" s="128">
        <v>13.0</v>
      </c>
      <c r="AQ759" s="128">
        <v>15.0</v>
      </c>
      <c r="AT759" s="44">
        <v>758.0</v>
      </c>
      <c r="AU759" s="44"/>
      <c r="AW759" s="93"/>
      <c r="AY759" s="93"/>
      <c r="AZ759" s="93"/>
      <c r="BA759" s="93"/>
      <c r="BB759" s="155"/>
      <c r="BC759" s="93"/>
      <c r="BE759" s="93"/>
      <c r="BG759" s="93"/>
      <c r="BH759" s="93"/>
      <c r="BI759" s="93"/>
      <c r="BJ759" s="155"/>
      <c r="BK759" s="93"/>
    </row>
    <row r="760">
      <c r="A760" s="166">
        <v>44521.93936908565</v>
      </c>
      <c r="B760" s="44" t="s">
        <v>88</v>
      </c>
      <c r="C760" s="128">
        <v>792.734543849187</v>
      </c>
      <c r="D760" s="128">
        <v>20.0</v>
      </c>
      <c r="E760" s="128">
        <v>797.2410812088856</v>
      </c>
      <c r="F760" s="44" t="s">
        <v>110</v>
      </c>
      <c r="G760" s="128">
        <v>932.2750284953629</v>
      </c>
      <c r="H760" s="128">
        <v>24.0</v>
      </c>
      <c r="I760" s="128">
        <v>938.1349736575149</v>
      </c>
      <c r="J760" s="44" t="s">
        <v>112</v>
      </c>
      <c r="K760" s="128">
        <v>942.8402771244348</v>
      </c>
      <c r="L760" s="128">
        <v>18.0</v>
      </c>
      <c r="M760" s="128">
        <v>946.1808792812806</v>
      </c>
      <c r="N760" s="44" t="s">
        <v>23</v>
      </c>
      <c r="O760" s="128">
        <v>1451.3270582935272</v>
      </c>
      <c r="P760" s="128">
        <v>26.0</v>
      </c>
      <c r="Q760" s="128">
        <v>1457.619973614831</v>
      </c>
      <c r="V760" s="44" t="s">
        <v>123</v>
      </c>
      <c r="W760" s="128">
        <v>666.8178039770493</v>
      </c>
      <c r="X760" s="128">
        <v>10.0</v>
      </c>
      <c r="Y760" s="128">
        <v>659.4039952328465</v>
      </c>
      <c r="Z760" s="44" t="s">
        <v>107</v>
      </c>
      <c r="AA760" s="128">
        <v>900.2586098838178</v>
      </c>
      <c r="AB760" s="128">
        <v>22.0</v>
      </c>
      <c r="AC760" s="128">
        <v>897.3572566721786</v>
      </c>
      <c r="AD760" s="44" t="s">
        <v>27</v>
      </c>
      <c r="AE760" s="128">
        <v>1044.1149446420877</v>
      </c>
      <c r="AF760" s="128">
        <v>10.0</v>
      </c>
      <c r="AG760" s="128">
        <v>1036.028769430528</v>
      </c>
      <c r="AH760" s="44" t="s">
        <v>35</v>
      </c>
      <c r="AI760" s="128">
        <v>1512.7598756238942</v>
      </c>
      <c r="AJ760" s="128">
        <v>26.0</v>
      </c>
      <c r="AK760" s="128">
        <v>1511.161212791296</v>
      </c>
      <c r="AP760" s="128">
        <v>17.0</v>
      </c>
      <c r="AQ760" s="128">
        <v>11.0</v>
      </c>
      <c r="AS760" s="44" t="s">
        <v>313</v>
      </c>
      <c r="AT760" s="44">
        <v>759.0</v>
      </c>
      <c r="AU760" s="44"/>
      <c r="AW760" s="93"/>
      <c r="AY760" s="93"/>
      <c r="AZ760" s="93"/>
      <c r="BA760" s="93"/>
      <c r="BB760" s="155"/>
      <c r="BC760" s="93"/>
      <c r="BE760" s="93"/>
      <c r="BG760" s="93"/>
      <c r="BH760" s="93"/>
      <c r="BI760" s="93"/>
      <c r="BJ760" s="155"/>
      <c r="BK760" s="93"/>
    </row>
    <row r="761">
      <c r="A761" s="166">
        <v>44521.98101694444</v>
      </c>
      <c r="B761" s="44" t="s">
        <v>88</v>
      </c>
      <c r="C761" s="128">
        <v>797.2410812088856</v>
      </c>
      <c r="D761" s="128">
        <v>11.0</v>
      </c>
      <c r="E761" s="128">
        <v>792.6508396467958</v>
      </c>
      <c r="F761" s="44" t="s">
        <v>110</v>
      </c>
      <c r="G761" s="128">
        <v>938.1349736575149</v>
      </c>
      <c r="H761" s="128">
        <v>11.0</v>
      </c>
      <c r="I761" s="128">
        <v>933.3912514881152</v>
      </c>
      <c r="J761" s="44" t="s">
        <v>112</v>
      </c>
      <c r="K761" s="128">
        <v>946.1808792812806</v>
      </c>
      <c r="L761" s="128">
        <v>24.0</v>
      </c>
      <c r="M761" s="128">
        <v>944.4091782852435</v>
      </c>
      <c r="N761" s="44" t="s">
        <v>23</v>
      </c>
      <c r="O761" s="128">
        <v>1457.619973614831</v>
      </c>
      <c r="P761" s="128">
        <v>33.0</v>
      </c>
      <c r="Q761" s="128">
        <v>1457.609973614831</v>
      </c>
      <c r="V761" s="44" t="s">
        <v>123</v>
      </c>
      <c r="W761" s="128">
        <v>659.4039952328465</v>
      </c>
      <c r="X761" s="128">
        <v>11.0</v>
      </c>
      <c r="Y761" s="128">
        <v>659.9982031513691</v>
      </c>
      <c r="Z761" s="44" t="s">
        <v>107</v>
      </c>
      <c r="AA761" s="128">
        <v>897.3572566721786</v>
      </c>
      <c r="AB761" s="128">
        <v>27.0</v>
      </c>
      <c r="AC761" s="128">
        <v>901.2617269406184</v>
      </c>
      <c r="AD761" s="44" t="s">
        <v>27</v>
      </c>
      <c r="AE761" s="128">
        <v>1036.028769430528</v>
      </c>
      <c r="AF761" s="128">
        <v>21.0</v>
      </c>
      <c r="AG761" s="128">
        <v>1038.4294955371188</v>
      </c>
      <c r="AH761" s="44" t="s">
        <v>35</v>
      </c>
      <c r="AI761" s="128">
        <v>1511.161212791296</v>
      </c>
      <c r="AJ761" s="128">
        <v>29.0</v>
      </c>
      <c r="AK761" s="128">
        <v>1515.2618084977428</v>
      </c>
      <c r="AP761" s="128">
        <v>13.0</v>
      </c>
      <c r="AQ761" s="128">
        <v>15.0</v>
      </c>
      <c r="AS761" s="44" t="s">
        <v>271</v>
      </c>
      <c r="AT761" s="44">
        <v>760.0</v>
      </c>
      <c r="AU761" s="44"/>
      <c r="AW761" s="93"/>
      <c r="AY761" s="93"/>
      <c r="AZ761" s="93"/>
      <c r="BA761" s="93"/>
      <c r="BB761" s="155"/>
      <c r="BC761" s="93"/>
      <c r="BE761" s="93"/>
      <c r="BG761" s="93"/>
      <c r="BH761" s="93"/>
      <c r="BI761" s="93"/>
      <c r="BJ761" s="155"/>
      <c r="BK761" s="93"/>
    </row>
    <row r="762">
      <c r="A762" s="166">
        <v>44522.02207738426</v>
      </c>
      <c r="B762" s="44" t="s">
        <v>88</v>
      </c>
      <c r="C762" s="128">
        <v>792.6508396467958</v>
      </c>
      <c r="D762" s="128">
        <v>22.0</v>
      </c>
      <c r="E762" s="128">
        <v>795.3218080456699</v>
      </c>
      <c r="F762" s="44" t="s">
        <v>107</v>
      </c>
      <c r="G762" s="128">
        <v>901.2617269406184</v>
      </c>
      <c r="H762" s="128">
        <v>21.0</v>
      </c>
      <c r="I762" s="128">
        <v>903.6260937094776</v>
      </c>
      <c r="J762" s="44" t="s">
        <v>23</v>
      </c>
      <c r="K762" s="128">
        <v>1457.609973614831</v>
      </c>
      <c r="L762" s="128">
        <v>20.0</v>
      </c>
      <c r="M762" s="128">
        <v>1459.5746384470979</v>
      </c>
      <c r="N762" s="44"/>
      <c r="O762" s="128"/>
      <c r="P762" s="128"/>
      <c r="Q762" s="128"/>
      <c r="V762" s="44" t="s">
        <v>92</v>
      </c>
      <c r="W762" s="128">
        <v>918.4094697484893</v>
      </c>
      <c r="X762" s="128">
        <v>15.0</v>
      </c>
      <c r="Y762" s="128">
        <v>915.7774926285833</v>
      </c>
      <c r="Z762" s="44" t="s">
        <v>125</v>
      </c>
      <c r="AA762" s="128">
        <v>930.7984415820772</v>
      </c>
      <c r="AB762" s="128">
        <v>13.0</v>
      </c>
      <c r="AC762" s="128">
        <v>927.7693212157576</v>
      </c>
      <c r="AD762" s="44" t="s">
        <v>27</v>
      </c>
      <c r="AE762" s="128">
        <v>1038.4294955371188</v>
      </c>
      <c r="AF762" s="128">
        <v>22.0</v>
      </c>
      <c r="AG762" s="128">
        <v>1037.0905930233444</v>
      </c>
      <c r="AH762" s="44"/>
      <c r="AI762" s="128"/>
      <c r="AJ762" s="128"/>
      <c r="AK762" s="128"/>
      <c r="AP762" s="128">
        <v>17.0</v>
      </c>
      <c r="AQ762" s="128">
        <v>11.0</v>
      </c>
      <c r="AT762" s="44">
        <v>761.0</v>
      </c>
      <c r="AU762" s="44"/>
      <c r="AW762" s="93"/>
      <c r="AY762" s="93"/>
      <c r="AZ762" s="93"/>
      <c r="BA762" s="93"/>
      <c r="BB762" s="155"/>
      <c r="BC762" s="93"/>
      <c r="BE762" s="93"/>
      <c r="BG762" s="93"/>
      <c r="BH762" s="93"/>
      <c r="BI762" s="93"/>
      <c r="BJ762" s="155"/>
      <c r="BK762" s="93"/>
    </row>
    <row r="763">
      <c r="A763" s="166">
        <v>44522.95595545138</v>
      </c>
      <c r="B763" s="44" t="s">
        <v>123</v>
      </c>
      <c r="C763" s="128">
        <v>659.9982031513691</v>
      </c>
      <c r="D763" s="128">
        <v>16.0</v>
      </c>
      <c r="E763" s="128">
        <v>666.6084002499629</v>
      </c>
      <c r="F763" s="44" t="s">
        <v>125</v>
      </c>
      <c r="G763" s="128">
        <v>927.7693212157576</v>
      </c>
      <c r="H763" s="128">
        <v>10.0</v>
      </c>
      <c r="I763" s="128">
        <v>927.7793212157576</v>
      </c>
      <c r="J763" s="44" t="s">
        <v>35</v>
      </c>
      <c r="K763" s="128">
        <v>1515.2618084977428</v>
      </c>
      <c r="L763" s="128">
        <v>47.0</v>
      </c>
      <c r="M763" s="128">
        <v>1556.8871386726523</v>
      </c>
      <c r="N763" s="44"/>
      <c r="O763" s="128"/>
      <c r="P763" s="128"/>
      <c r="Q763" s="128"/>
      <c r="V763" s="44" t="s">
        <v>112</v>
      </c>
      <c r="W763" s="128">
        <v>944.4091782852435</v>
      </c>
      <c r="X763" s="128">
        <v>14.0</v>
      </c>
      <c r="Y763" s="128">
        <v>932.0621671779535</v>
      </c>
      <c r="Z763" s="44" t="s">
        <v>61</v>
      </c>
      <c r="AA763" s="128">
        <v>1035.1591288317793</v>
      </c>
      <c r="AB763" s="128">
        <v>7.0</v>
      </c>
      <c r="AC763" s="128">
        <v>1013.8346906473369</v>
      </c>
      <c r="AD763" s="44" t="s">
        <v>27</v>
      </c>
      <c r="AE763" s="128">
        <v>1037.0905930233444</v>
      </c>
      <c r="AF763" s="128">
        <v>15.0</v>
      </c>
      <c r="AG763" s="128">
        <v>1025.7620423150768</v>
      </c>
      <c r="AH763" s="44"/>
      <c r="AI763" s="128"/>
      <c r="AJ763" s="128"/>
      <c r="AK763" s="128"/>
      <c r="AP763" s="128">
        <v>23.0</v>
      </c>
      <c r="AQ763" s="128">
        <v>5.0</v>
      </c>
      <c r="AS763" s="44" t="s">
        <v>232</v>
      </c>
      <c r="AT763" s="44">
        <v>762.0</v>
      </c>
      <c r="AU763" s="44"/>
      <c r="AW763" s="93"/>
      <c r="AY763" s="93"/>
      <c r="AZ763" s="93"/>
      <c r="BA763" s="93"/>
      <c r="BB763" s="155"/>
      <c r="BC763" s="93"/>
      <c r="BE763" s="93"/>
      <c r="BG763" s="93"/>
      <c r="BH763" s="93"/>
      <c r="BI763" s="93"/>
      <c r="BJ763" s="155"/>
      <c r="BK763" s="93"/>
    </row>
    <row r="764">
      <c r="A764" s="166">
        <v>44523.03373978009</v>
      </c>
      <c r="B764" s="44" t="s">
        <v>123</v>
      </c>
      <c r="C764" s="128">
        <v>666.6084002499629</v>
      </c>
      <c r="D764" s="128">
        <v>10.0</v>
      </c>
      <c r="E764" s="128">
        <v>652.9884937704721</v>
      </c>
      <c r="F764" s="44" t="s">
        <v>125</v>
      </c>
      <c r="G764" s="128">
        <v>927.7793212157576</v>
      </c>
      <c r="H764" s="128">
        <v>17.0</v>
      </c>
      <c r="I764" s="128">
        <v>916.4805682571293</v>
      </c>
      <c r="J764" s="44" t="s">
        <v>35</v>
      </c>
      <c r="K764" s="128">
        <v>1556.8871386726523</v>
      </c>
      <c r="L764" s="128">
        <v>59.0</v>
      </c>
      <c r="M764" s="128">
        <v>1556.8771386726523</v>
      </c>
      <c r="N764" s="44"/>
      <c r="O764" s="128"/>
      <c r="P764" s="128"/>
      <c r="Q764" s="128"/>
      <c r="V764" s="44" t="s">
        <v>107</v>
      </c>
      <c r="W764" s="128">
        <v>903.6260937094776</v>
      </c>
      <c r="X764" s="128">
        <v>33.0</v>
      </c>
      <c r="Y764" s="128">
        <v>910.9880804181024</v>
      </c>
      <c r="Z764" s="44" t="s">
        <v>112</v>
      </c>
      <c r="AA764" s="128">
        <v>932.0621671779535</v>
      </c>
      <c r="AB764" s="128">
        <v>26.0</v>
      </c>
      <c r="AC764" s="128">
        <v>936.0367957729952</v>
      </c>
      <c r="AD764" s="44" t="s">
        <v>61</v>
      </c>
      <c r="AE764" s="128">
        <v>1013.8346906473369</v>
      </c>
      <c r="AF764" s="128">
        <v>30.0</v>
      </c>
      <c r="AG764" s="128">
        <v>1019.4980753436703</v>
      </c>
      <c r="AH764" s="44"/>
      <c r="AI764" s="128"/>
      <c r="AJ764" s="128"/>
      <c r="AK764" s="128"/>
      <c r="AP764" s="128">
        <v>20.0</v>
      </c>
      <c r="AQ764" s="128">
        <v>22.0</v>
      </c>
      <c r="AS764" s="44" t="s">
        <v>568</v>
      </c>
      <c r="AT764" s="44">
        <v>763.0</v>
      </c>
      <c r="AU764" s="44"/>
      <c r="AW764" s="93"/>
      <c r="AY764" s="93"/>
      <c r="AZ764" s="93"/>
      <c r="BA764" s="93"/>
      <c r="BB764" s="155"/>
      <c r="BC764" s="93"/>
      <c r="BE764" s="93"/>
      <c r="BG764" s="93"/>
      <c r="BH764" s="93"/>
      <c r="BI764" s="93"/>
      <c r="BJ764" s="155"/>
      <c r="BK764" s="93"/>
    </row>
    <row r="765">
      <c r="A765" s="166">
        <v>44523.98195579861</v>
      </c>
      <c r="B765" s="44" t="s">
        <v>88</v>
      </c>
      <c r="C765" s="128">
        <v>795.3218080456699</v>
      </c>
      <c r="D765" s="128">
        <v>21.0</v>
      </c>
      <c r="E765" s="128">
        <v>792.1844804569388</v>
      </c>
      <c r="F765" s="44" t="s">
        <v>23</v>
      </c>
      <c r="G765" s="128">
        <v>1459.5746384470979</v>
      </c>
      <c r="H765" s="128">
        <v>29.0</v>
      </c>
      <c r="I765" s="128">
        <v>1457.711966035829</v>
      </c>
      <c r="J765" s="44"/>
      <c r="K765" s="128"/>
      <c r="L765" s="128"/>
      <c r="M765" s="128"/>
      <c r="N765" s="44"/>
      <c r="O765" s="128"/>
      <c r="P765" s="128"/>
      <c r="Q765" s="128"/>
      <c r="V765" s="44" t="s">
        <v>61</v>
      </c>
      <c r="W765" s="128">
        <v>1019.4980753436703</v>
      </c>
      <c r="X765" s="128">
        <v>24.0</v>
      </c>
      <c r="Y765" s="128">
        <v>1021.5838803542385</v>
      </c>
      <c r="Z765" s="44" t="s">
        <v>27</v>
      </c>
      <c r="AA765" s="128">
        <v>1025.7620423150768</v>
      </c>
      <c r="AB765" s="128">
        <v>28.0</v>
      </c>
      <c r="AC765" s="128">
        <v>1028.6762373045085</v>
      </c>
      <c r="AD765" s="44"/>
      <c r="AE765" s="128"/>
      <c r="AF765" s="128"/>
      <c r="AG765" s="128"/>
      <c r="AH765" s="44"/>
      <c r="AI765" s="128"/>
      <c r="AJ765" s="128"/>
      <c r="AK765" s="128"/>
      <c r="AP765" s="128">
        <v>21.0</v>
      </c>
      <c r="AQ765" s="128">
        <v>21.0</v>
      </c>
      <c r="AS765" s="44" t="s">
        <v>362</v>
      </c>
      <c r="AT765" s="44">
        <v>764.0</v>
      </c>
      <c r="AU765" s="44"/>
      <c r="AW765" s="93"/>
      <c r="AY765" s="93"/>
      <c r="AZ765" s="93"/>
      <c r="BA765" s="93"/>
      <c r="BB765" s="155"/>
      <c r="BC765" s="93"/>
      <c r="BE765" s="93"/>
      <c r="BG765" s="93"/>
      <c r="BH765" s="93"/>
      <c r="BI765" s="93"/>
      <c r="BJ765" s="155"/>
      <c r="BK765" s="93"/>
    </row>
    <row r="766">
      <c r="A766" s="166">
        <v>44524.01552598379</v>
      </c>
      <c r="B766" s="44" t="s">
        <v>88</v>
      </c>
      <c r="C766" s="128">
        <v>792.1844804569388</v>
      </c>
      <c r="D766" s="128">
        <v>17.0</v>
      </c>
      <c r="E766" s="128">
        <v>788.5266297571368</v>
      </c>
      <c r="F766" s="44" t="s">
        <v>61</v>
      </c>
      <c r="G766" s="128">
        <v>1021.5838803542385</v>
      </c>
      <c r="H766" s="128">
        <v>17.0</v>
      </c>
      <c r="I766" s="128">
        <v>1017.658508520829</v>
      </c>
      <c r="J766" s="44" t="s">
        <v>35</v>
      </c>
      <c r="K766" s="128">
        <v>1556.8771386726523</v>
      </c>
      <c r="L766" s="128">
        <v>16.0</v>
      </c>
      <c r="M766" s="128">
        <v>1552.4603612058638</v>
      </c>
      <c r="N766" s="44"/>
      <c r="O766" s="128"/>
      <c r="P766" s="128"/>
      <c r="Q766" s="128"/>
      <c r="V766" s="44" t="s">
        <v>125</v>
      </c>
      <c r="W766" s="128">
        <v>916.4805682571293</v>
      </c>
      <c r="X766" s="128">
        <v>9.0</v>
      </c>
      <c r="Y766" s="128">
        <v>917.3615605735015</v>
      </c>
      <c r="Z766" s="44" t="s">
        <v>112</v>
      </c>
      <c r="AA766" s="128">
        <v>936.0367957729952</v>
      </c>
      <c r="AB766" s="128">
        <v>17.0</v>
      </c>
      <c r="AC766" s="128">
        <v>939.5604195874176</v>
      </c>
      <c r="AD766" s="44" t="s">
        <v>23</v>
      </c>
      <c r="AE766" s="128">
        <v>1457.711966035829</v>
      </c>
      <c r="AF766" s="128">
        <v>30.0</v>
      </c>
      <c r="AG766" s="128">
        <v>1465.3073499050342</v>
      </c>
      <c r="AH766" s="44"/>
      <c r="AI766" s="128"/>
      <c r="AJ766" s="128"/>
      <c r="AK766" s="128"/>
      <c r="AP766" s="128">
        <v>13.0</v>
      </c>
      <c r="AQ766" s="128">
        <v>15.0</v>
      </c>
      <c r="AS766" s="44" t="s">
        <v>253</v>
      </c>
      <c r="AT766" s="44">
        <v>765.0</v>
      </c>
      <c r="AU766" s="44"/>
      <c r="AW766" s="93"/>
      <c r="AY766" s="93"/>
      <c r="AZ766" s="93"/>
      <c r="BA766" s="93"/>
      <c r="BB766" s="155"/>
      <c r="BC766" s="93"/>
      <c r="BE766" s="93"/>
      <c r="BG766" s="93"/>
      <c r="BH766" s="93"/>
      <c r="BI766" s="93"/>
      <c r="BJ766" s="155"/>
      <c r="BK766" s="93"/>
    </row>
    <row r="767">
      <c r="A767" s="166">
        <v>44524.98664625</v>
      </c>
      <c r="B767" s="44" t="s">
        <v>88</v>
      </c>
      <c r="C767" s="128">
        <v>788.5266297571368</v>
      </c>
      <c r="D767" s="128">
        <v>11.0</v>
      </c>
      <c r="E767" s="128">
        <v>782.6700869690852</v>
      </c>
      <c r="F767" s="44" t="s">
        <v>27</v>
      </c>
      <c r="G767" s="128">
        <v>1028.6762373045085</v>
      </c>
      <c r="H767" s="128">
        <v>19.0</v>
      </c>
      <c r="I767" s="128">
        <v>1025.53278009256</v>
      </c>
      <c r="J767" s="44"/>
      <c r="K767" s="128"/>
      <c r="L767" s="128"/>
      <c r="M767" s="128"/>
      <c r="N767" s="44"/>
      <c r="O767" s="128"/>
      <c r="P767" s="128"/>
      <c r="Q767" s="128"/>
      <c r="V767" s="44" t="s">
        <v>107</v>
      </c>
      <c r="W767" s="128">
        <v>910.9880804181024</v>
      </c>
      <c r="X767" s="128">
        <v>18.0</v>
      </c>
      <c r="Y767" s="128">
        <v>916.2552889312398</v>
      </c>
      <c r="Z767" s="44" t="s">
        <v>112</v>
      </c>
      <c r="AA767" s="128">
        <v>939.5604195874176</v>
      </c>
      <c r="AB767" s="128">
        <v>14.0</v>
      </c>
      <c r="AC767" s="128">
        <v>943.2932110742803</v>
      </c>
      <c r="AD767" s="44"/>
      <c r="AE767" s="128"/>
      <c r="AF767" s="128"/>
      <c r="AG767" s="128"/>
      <c r="AH767" s="44"/>
      <c r="AI767" s="128"/>
      <c r="AJ767" s="128"/>
      <c r="AK767" s="128"/>
      <c r="AP767" s="128">
        <v>13.0</v>
      </c>
      <c r="AQ767" s="128">
        <v>15.0</v>
      </c>
      <c r="AT767" s="44">
        <v>766.0</v>
      </c>
      <c r="AU767" s="44"/>
      <c r="AW767" s="93"/>
      <c r="AY767" s="93"/>
      <c r="AZ767" s="93"/>
      <c r="BA767" s="93"/>
      <c r="BB767" s="155"/>
      <c r="BC767" s="93"/>
      <c r="BE767" s="93"/>
      <c r="BG767" s="93"/>
      <c r="BH767" s="93"/>
      <c r="BI767" s="93"/>
      <c r="BJ767" s="155"/>
      <c r="BK767" s="93"/>
    </row>
    <row r="768">
      <c r="A768" s="166">
        <v>44525.017051006944</v>
      </c>
      <c r="B768" s="44" t="s">
        <v>88</v>
      </c>
      <c r="C768" s="128">
        <v>782.6700869690852</v>
      </c>
      <c r="D768" s="128">
        <v>21.0</v>
      </c>
      <c r="E768" s="128">
        <v>786.6277494371809</v>
      </c>
      <c r="F768" s="44" t="s">
        <v>112</v>
      </c>
      <c r="G768" s="128">
        <v>943.2932110742803</v>
      </c>
      <c r="H768" s="128">
        <v>21.0</v>
      </c>
      <c r="I768" s="128">
        <v>947.0461390063298</v>
      </c>
      <c r="J768" s="44" t="s">
        <v>27</v>
      </c>
      <c r="K768" s="128">
        <v>1025.53278009256</v>
      </c>
      <c r="L768" s="128">
        <v>16.0</v>
      </c>
      <c r="M768" s="128">
        <v>1027.822189692415</v>
      </c>
      <c r="N768" s="44"/>
      <c r="O768" s="128"/>
      <c r="P768" s="128"/>
      <c r="Q768" s="128"/>
      <c r="V768" s="44" t="s">
        <v>107</v>
      </c>
      <c r="W768" s="128">
        <v>916.2552889312398</v>
      </c>
      <c r="X768" s="128">
        <v>24.0</v>
      </c>
      <c r="Y768" s="128">
        <v>914.5022628436985</v>
      </c>
      <c r="Z768" s="44" t="s">
        <v>125</v>
      </c>
      <c r="AA768" s="128">
        <v>917.3615605735015</v>
      </c>
      <c r="AB768" s="128">
        <v>12.0</v>
      </c>
      <c r="AC768" s="128">
        <v>912.2740432559193</v>
      </c>
      <c r="AD768" s="44" t="s">
        <v>110</v>
      </c>
      <c r="AE768" s="128">
        <v>933.3912514881152</v>
      </c>
      <c r="AF768" s="128">
        <v>19.0</v>
      </c>
      <c r="AG768" s="128">
        <v>930.2317948932387</v>
      </c>
      <c r="AH768" s="44"/>
      <c r="AI768" s="128"/>
      <c r="AJ768" s="128"/>
      <c r="AK768" s="128"/>
      <c r="AP768" s="128">
        <v>15.0</v>
      </c>
      <c r="AQ768" s="128">
        <v>13.0</v>
      </c>
      <c r="AT768" s="44">
        <v>767.0</v>
      </c>
      <c r="AU768" s="44"/>
      <c r="AW768" s="93"/>
      <c r="AY768" s="93"/>
      <c r="AZ768" s="93"/>
      <c r="BA768" s="93"/>
      <c r="BB768" s="155"/>
      <c r="BC768" s="93"/>
      <c r="BE768" s="93"/>
      <c r="BG768" s="93"/>
      <c r="BH768" s="93"/>
      <c r="BI768" s="93"/>
      <c r="BJ768" s="155"/>
      <c r="BK768" s="93"/>
    </row>
    <row r="769">
      <c r="A769" s="166">
        <v>44525.0625805787</v>
      </c>
      <c r="B769" s="44" t="s">
        <v>88</v>
      </c>
      <c r="C769" s="128">
        <v>786.6277494371809</v>
      </c>
      <c r="D769" s="128">
        <v>20.0</v>
      </c>
      <c r="E769" s="128">
        <v>782.4555013835001</v>
      </c>
      <c r="F769" s="44" t="s">
        <v>125</v>
      </c>
      <c r="G769" s="128">
        <v>912.2740432559193</v>
      </c>
      <c r="H769" s="128">
        <v>9.0</v>
      </c>
      <c r="I769" s="128">
        <v>903.2803750032291</v>
      </c>
      <c r="J769" s="44" t="s">
        <v>31</v>
      </c>
      <c r="K769" s="128">
        <v>1302.2758540111618</v>
      </c>
      <c r="L769" s="128">
        <v>27.0</v>
      </c>
      <c r="M769" s="128">
        <v>1300.4417703175327</v>
      </c>
      <c r="N769" s="44"/>
      <c r="O769" s="128"/>
      <c r="P769" s="128"/>
      <c r="Q769" s="128"/>
      <c r="V769" s="44" t="s">
        <v>107</v>
      </c>
      <c r="W769" s="128">
        <v>914.5022628436985</v>
      </c>
      <c r="X769" s="128">
        <v>25.0</v>
      </c>
      <c r="Y769" s="128">
        <v>922.1660492544648</v>
      </c>
      <c r="Z769" s="44" t="s">
        <v>110</v>
      </c>
      <c r="AA769" s="128">
        <v>930.2317948932387</v>
      </c>
      <c r="AB769" s="128">
        <v>12.0</v>
      </c>
      <c r="AC769" s="128">
        <v>932.4541883995374</v>
      </c>
      <c r="AD769" s="44" t="s">
        <v>112</v>
      </c>
      <c r="AE769" s="128">
        <v>947.0461390063298</v>
      </c>
      <c r="AF769" s="128">
        <v>19.0</v>
      </c>
      <c r="AG769" s="128">
        <v>952.1599590892647</v>
      </c>
      <c r="AH769" s="44"/>
      <c r="AI769" s="128"/>
      <c r="AJ769" s="128"/>
      <c r="AK769" s="128"/>
      <c r="AP769" s="128">
        <v>13.0</v>
      </c>
      <c r="AQ769" s="128">
        <v>15.0</v>
      </c>
      <c r="AT769" s="44">
        <v>768.0</v>
      </c>
      <c r="AU769" s="44"/>
      <c r="AW769" s="93"/>
      <c r="AY769" s="93"/>
      <c r="AZ769" s="93"/>
      <c r="BA769" s="93"/>
      <c r="BB769" s="155"/>
      <c r="BC769" s="93"/>
      <c r="BE769" s="93"/>
      <c r="BG769" s="93"/>
      <c r="BH769" s="93"/>
      <c r="BI769" s="93"/>
      <c r="BJ769" s="155"/>
      <c r="BK769" s="93"/>
    </row>
    <row r="770">
      <c r="A770" s="166">
        <v>44525.96348820602</v>
      </c>
      <c r="B770" s="44" t="s">
        <v>88</v>
      </c>
      <c r="C770" s="128">
        <v>782.4555013835001</v>
      </c>
      <c r="D770" s="128">
        <v>9.0</v>
      </c>
      <c r="E770" s="128">
        <v>768.9816582657738</v>
      </c>
      <c r="F770" s="44" t="s">
        <v>125</v>
      </c>
      <c r="G770" s="128">
        <v>903.2803750032291</v>
      </c>
      <c r="H770" s="128">
        <v>15.0</v>
      </c>
      <c r="I770" s="128">
        <v>893.6199818936373</v>
      </c>
      <c r="J770" s="44" t="s">
        <v>31</v>
      </c>
      <c r="K770" s="128">
        <v>1300.4417703175327</v>
      </c>
      <c r="L770" s="128">
        <v>27.0</v>
      </c>
      <c r="M770" s="128">
        <v>1298.5760065448508</v>
      </c>
      <c r="N770" s="44"/>
      <c r="O770" s="128"/>
      <c r="P770" s="128"/>
      <c r="Q770" s="128"/>
      <c r="V770" s="44" t="s">
        <v>107</v>
      </c>
      <c r="W770" s="128">
        <v>922.1660492544648</v>
      </c>
      <c r="X770" s="128">
        <v>19.0</v>
      </c>
      <c r="Y770" s="128">
        <v>929.6862330032857</v>
      </c>
      <c r="Z770" s="44" t="s">
        <v>112</v>
      </c>
      <c r="AA770" s="128">
        <v>952.1599590892647</v>
      </c>
      <c r="AB770" s="128">
        <v>21.0</v>
      </c>
      <c r="AC770" s="128">
        <v>960.9874733991079</v>
      </c>
      <c r="AD770" s="44" t="s">
        <v>27</v>
      </c>
      <c r="AE770" s="128">
        <v>1027.822189692415</v>
      </c>
      <c r="AF770" s="128">
        <v>21.0</v>
      </c>
      <c r="AG770" s="128">
        <v>1036.4744916337509</v>
      </c>
      <c r="AH770" s="44"/>
      <c r="AI770" s="128"/>
      <c r="AJ770" s="128"/>
      <c r="AK770" s="128"/>
      <c r="AP770" s="128">
        <v>12.0</v>
      </c>
      <c r="AQ770" s="128">
        <v>16.0</v>
      </c>
      <c r="AS770" s="44" t="s">
        <v>255</v>
      </c>
      <c r="AT770" s="44">
        <v>769.0</v>
      </c>
      <c r="AU770" s="44"/>
      <c r="AW770" s="93"/>
      <c r="AY770" s="93"/>
      <c r="AZ770" s="93"/>
      <c r="BA770" s="93"/>
      <c r="BB770" s="155"/>
      <c r="BC770" s="93"/>
      <c r="BE770" s="93"/>
      <c r="BG770" s="93"/>
      <c r="BH770" s="93"/>
      <c r="BI770" s="93"/>
      <c r="BJ770" s="155"/>
      <c r="BK770" s="93"/>
    </row>
    <row r="771">
      <c r="A771" s="166">
        <v>44526.00845984954</v>
      </c>
      <c r="B771" s="44" t="s">
        <v>88</v>
      </c>
      <c r="C771" s="128">
        <v>768.9816582657738</v>
      </c>
      <c r="D771" s="128">
        <v>12.0</v>
      </c>
      <c r="E771" s="128">
        <v>771.9935169061158</v>
      </c>
      <c r="F771" s="44" t="s">
        <v>125</v>
      </c>
      <c r="G771" s="128">
        <v>893.6199818936373</v>
      </c>
      <c r="H771" s="128">
        <v>12.0</v>
      </c>
      <c r="I771" s="128">
        <v>896.3364275734166</v>
      </c>
      <c r="J771" s="44" t="s">
        <v>31</v>
      </c>
      <c r="K771" s="128">
        <v>1298.5760065448508</v>
      </c>
      <c r="L771" s="128">
        <v>32.0</v>
      </c>
      <c r="M771" s="128">
        <v>1310.8477022247296</v>
      </c>
      <c r="N771" s="44"/>
      <c r="O771" s="128"/>
      <c r="P771" s="128"/>
      <c r="Q771" s="128"/>
      <c r="V771" s="44" t="s">
        <v>107</v>
      </c>
      <c r="W771" s="128">
        <v>929.6862330032857</v>
      </c>
      <c r="X771" s="128">
        <v>16.0</v>
      </c>
      <c r="Y771" s="128">
        <v>923.7494563725559</v>
      </c>
      <c r="Z771" s="44" t="s">
        <v>112</v>
      </c>
      <c r="AA771" s="128">
        <v>960.9874733991079</v>
      </c>
      <c r="AB771" s="128">
        <v>20.0</v>
      </c>
      <c r="AC771" s="128">
        <v>957.0038037857167</v>
      </c>
      <c r="AD771" s="44" t="s">
        <v>27</v>
      </c>
      <c r="AE771" s="128">
        <v>1036.4744916337509</v>
      </c>
      <c r="AF771" s="128">
        <v>12.0</v>
      </c>
      <c r="AG771" s="128">
        <v>1028.3949378778718</v>
      </c>
      <c r="AH771" s="44"/>
      <c r="AI771" s="128"/>
      <c r="AJ771" s="128"/>
      <c r="AK771" s="128"/>
      <c r="AP771" s="128">
        <v>16.0</v>
      </c>
      <c r="AQ771" s="128">
        <v>12.0</v>
      </c>
      <c r="AS771" s="44" t="s">
        <v>253</v>
      </c>
      <c r="AT771" s="44">
        <v>770.0</v>
      </c>
      <c r="AU771" s="44"/>
      <c r="AW771" s="93"/>
      <c r="AY771" s="93"/>
      <c r="AZ771" s="93"/>
      <c r="BA771" s="93"/>
      <c r="BB771" s="155"/>
      <c r="BC771" s="93"/>
      <c r="BE771" s="93"/>
      <c r="BG771" s="93"/>
      <c r="BH771" s="93"/>
      <c r="BI771" s="93"/>
      <c r="BJ771" s="155"/>
      <c r="BK771" s="93"/>
    </row>
    <row r="772">
      <c r="A772" s="166">
        <v>44526.976787719905</v>
      </c>
      <c r="B772" s="44" t="s">
        <v>125</v>
      </c>
      <c r="C772" s="128">
        <v>896.3364275734166</v>
      </c>
      <c r="D772" s="128">
        <v>10.0</v>
      </c>
      <c r="E772" s="128">
        <v>888.3349387503541</v>
      </c>
      <c r="F772" s="44" t="s">
        <v>107</v>
      </c>
      <c r="G772" s="128">
        <v>923.7494563725559</v>
      </c>
      <c r="H772" s="128">
        <v>18.0</v>
      </c>
      <c r="I772" s="128">
        <v>919.0401951968123</v>
      </c>
      <c r="J772" s="44" t="s">
        <v>112</v>
      </c>
      <c r="K772" s="128">
        <v>957.0038037857167</v>
      </c>
      <c r="L772" s="128">
        <v>18.0</v>
      </c>
      <c r="M772" s="128">
        <v>952.2487222752382</v>
      </c>
      <c r="N772" s="44" t="s">
        <v>23</v>
      </c>
      <c r="O772" s="128">
        <v>1465.3073499050342</v>
      </c>
      <c r="P772" s="128">
        <v>24.0</v>
      </c>
      <c r="Q772" s="128">
        <v>1462.7731814143187</v>
      </c>
      <c r="V772" s="44" t="s">
        <v>92</v>
      </c>
      <c r="W772" s="128">
        <v>915.7774926285833</v>
      </c>
      <c r="X772" s="128">
        <v>24.0</v>
      </c>
      <c r="Y772" s="128">
        <v>922.1930924358642</v>
      </c>
      <c r="Z772" s="44" t="s">
        <v>47</v>
      </c>
      <c r="AA772" s="128">
        <v>992.7696628702711</v>
      </c>
      <c r="AB772" s="128">
        <v>15.0</v>
      </c>
      <c r="AC772" s="128">
        <v>995.3137290965514</v>
      </c>
      <c r="AD772" s="44" t="s">
        <v>27</v>
      </c>
      <c r="AE772" s="128">
        <v>1028.3949378778718</v>
      </c>
      <c r="AF772" s="128">
        <v>24.0</v>
      </c>
      <c r="AG772" s="128">
        <v>1034.6419776895268</v>
      </c>
      <c r="AH772" s="44" t="s">
        <v>31</v>
      </c>
      <c r="AI772" s="128">
        <v>1310.8477022247296</v>
      </c>
      <c r="AJ772" s="128">
        <v>21.0</v>
      </c>
      <c r="AK772" s="128">
        <v>1315.6409963795136</v>
      </c>
      <c r="AP772" s="128">
        <v>11.0</v>
      </c>
      <c r="AQ772" s="128">
        <v>17.0</v>
      </c>
      <c r="AS772" s="44" t="s">
        <v>229</v>
      </c>
      <c r="AT772" s="44">
        <v>771.0</v>
      </c>
      <c r="AU772" s="44"/>
      <c r="AW772" s="93"/>
      <c r="AY772" s="93"/>
      <c r="AZ772" s="93"/>
      <c r="BA772" s="93"/>
      <c r="BB772" s="155"/>
      <c r="BC772" s="93"/>
      <c r="BE772" s="93"/>
      <c r="BG772" s="93"/>
      <c r="BH772" s="93"/>
      <c r="BI772" s="93"/>
      <c r="BJ772" s="155"/>
      <c r="BK772" s="93"/>
    </row>
    <row r="773">
      <c r="A773" s="166">
        <v>44527.02680056713</v>
      </c>
      <c r="B773" s="44" t="s">
        <v>125</v>
      </c>
      <c r="C773" s="128">
        <v>888.3349387503541</v>
      </c>
      <c r="D773" s="128">
        <v>30.0</v>
      </c>
      <c r="E773" s="128">
        <v>892.7205216511001</v>
      </c>
      <c r="F773" s="44" t="s">
        <v>107</v>
      </c>
      <c r="G773" s="128">
        <v>919.0401951968123</v>
      </c>
      <c r="H773" s="128">
        <v>38.0</v>
      </c>
      <c r="I773" s="128">
        <v>926.157391932995</v>
      </c>
      <c r="J773" s="44" t="s">
        <v>110</v>
      </c>
      <c r="K773" s="128">
        <v>932.4541883995374</v>
      </c>
      <c r="L773" s="128">
        <v>17.0</v>
      </c>
      <c r="M773" s="128">
        <v>932.4641883995374</v>
      </c>
      <c r="N773" s="44" t="s">
        <v>47</v>
      </c>
      <c r="O773" s="128">
        <v>995.3137290965514</v>
      </c>
      <c r="P773" s="128">
        <v>31.0</v>
      </c>
      <c r="Q773" s="128">
        <v>999.8349776384385</v>
      </c>
      <c r="R773" s="44" t="s">
        <v>23</v>
      </c>
      <c r="S773" s="128">
        <v>1462.7731814143187</v>
      </c>
      <c r="T773" s="128">
        <v>34.0</v>
      </c>
      <c r="U773" s="128">
        <v>1468.010073653109</v>
      </c>
      <c r="V773" s="44" t="s">
        <v>112</v>
      </c>
      <c r="W773" s="128">
        <v>952.2487222752382</v>
      </c>
      <c r="X773" s="128">
        <v>17.0</v>
      </c>
      <c r="Y773" s="128">
        <v>947.011164763195</v>
      </c>
      <c r="Z773" s="44" t="s">
        <v>121</v>
      </c>
      <c r="AA773" s="128">
        <v>953.3450091533998</v>
      </c>
      <c r="AB773" s="128">
        <v>15.0</v>
      </c>
      <c r="AC773" s="128">
        <v>947.4060312392363</v>
      </c>
      <c r="AD773" s="44" t="s">
        <v>296</v>
      </c>
      <c r="AE773" s="128">
        <v>956.4410275322628</v>
      </c>
      <c r="AF773" s="128">
        <v>2.0</v>
      </c>
      <c r="AG773" s="128">
        <v>946.2409418607557</v>
      </c>
      <c r="AH773" s="44" t="s">
        <v>27</v>
      </c>
      <c r="AI773" s="128">
        <v>1034.6419776895268</v>
      </c>
      <c r="AJ773" s="128">
        <v>23.0</v>
      </c>
      <c r="AK773" s="128">
        <v>1031.410344212637</v>
      </c>
      <c r="AL773" s="44" t="s">
        <v>31</v>
      </c>
      <c r="AM773" s="128">
        <v>1315.6409963795136</v>
      </c>
      <c r="AN773" s="128">
        <v>43.0</v>
      </c>
      <c r="AO773" s="128">
        <v>1319.249250954117</v>
      </c>
      <c r="AP773" s="128">
        <v>16.0</v>
      </c>
      <c r="AQ773" s="128">
        <v>12.0</v>
      </c>
      <c r="AS773" s="44" t="s">
        <v>232</v>
      </c>
      <c r="AT773" s="44">
        <v>772.0</v>
      </c>
      <c r="AU773" s="44"/>
      <c r="AV773" s="44" t="s">
        <v>127</v>
      </c>
      <c r="AW773" s="145">
        <v>562.69</v>
      </c>
      <c r="AX773" s="44">
        <v>10.0</v>
      </c>
      <c r="AY773" s="145">
        <v>562.7</v>
      </c>
      <c r="AZ773" s="93"/>
      <c r="BA773" s="93"/>
      <c r="BB773" s="155"/>
      <c r="BC773" s="93"/>
      <c r="BD773" s="44" t="s">
        <v>455</v>
      </c>
      <c r="BE773" s="45">
        <v>759.061788173923</v>
      </c>
      <c r="BF773" s="44">
        <v>6.0</v>
      </c>
      <c r="BG773" s="145">
        <v>752.54</v>
      </c>
      <c r="BH773" s="145" t="s">
        <v>569</v>
      </c>
      <c r="BI773" s="145">
        <v>800.0</v>
      </c>
      <c r="BJ773" s="146" t="s">
        <v>570</v>
      </c>
      <c r="BK773" s="145">
        <v>793.99</v>
      </c>
    </row>
    <row r="774">
      <c r="A774" s="166">
        <v>44527.949327002316</v>
      </c>
      <c r="B774" s="44" t="s">
        <v>88</v>
      </c>
      <c r="C774" s="128">
        <v>771.9935169061158</v>
      </c>
      <c r="D774" s="128">
        <v>22.0</v>
      </c>
      <c r="E774" s="128">
        <v>775.8179907741512</v>
      </c>
      <c r="F774" s="44" t="s">
        <v>107</v>
      </c>
      <c r="G774" s="128">
        <v>926.157391932995</v>
      </c>
      <c r="H774" s="128">
        <v>19.0</v>
      </c>
      <c r="I774" s="128">
        <v>928.8684312215693</v>
      </c>
      <c r="J774" s="44" t="s">
        <v>110</v>
      </c>
      <c r="K774" s="128">
        <v>932.4641883995374</v>
      </c>
      <c r="L774" s="128">
        <v>16.0</v>
      </c>
      <c r="M774" s="128">
        <v>934.2923058301458</v>
      </c>
      <c r="N774" s="44" t="s">
        <v>23</v>
      </c>
      <c r="O774" s="128">
        <v>1468.010073653109</v>
      </c>
      <c r="P774" s="128">
        <v>30.0</v>
      </c>
      <c r="Q774" s="128">
        <v>1473.646443065891</v>
      </c>
      <c r="V774" s="44" t="s">
        <v>296</v>
      </c>
      <c r="W774" s="128">
        <v>946.2409418607557</v>
      </c>
      <c r="X774" s="128">
        <v>17.0</v>
      </c>
      <c r="Y774" s="128">
        <v>942.5784691409227</v>
      </c>
      <c r="Z774" s="44" t="s">
        <v>47</v>
      </c>
      <c r="AA774" s="128">
        <v>999.8349776384385</v>
      </c>
      <c r="AB774" s="128">
        <v>14.0</v>
      </c>
      <c r="AC774" s="128">
        <v>994.9444036409852</v>
      </c>
      <c r="AD774" s="44" t="s">
        <v>61</v>
      </c>
      <c r="AE774" s="128">
        <v>1017.658508520829</v>
      </c>
      <c r="AF774" s="128">
        <v>16.0</v>
      </c>
      <c r="AG774" s="128">
        <v>1013.3363251700666</v>
      </c>
      <c r="AH774" s="44" t="s">
        <v>27</v>
      </c>
      <c r="AI774" s="128">
        <v>1031.410344212637</v>
      </c>
      <c r="AJ774" s="128">
        <v>27.0</v>
      </c>
      <c r="AK774" s="128">
        <v>1030.2855742806855</v>
      </c>
      <c r="AP774" s="128">
        <v>15.0</v>
      </c>
      <c r="AQ774" s="128">
        <v>11.0</v>
      </c>
      <c r="AT774" s="44">
        <v>773.0</v>
      </c>
      <c r="AU774" s="44"/>
      <c r="AW774" s="93"/>
      <c r="AY774" s="93"/>
      <c r="AZ774" s="93"/>
      <c r="BA774" s="93"/>
      <c r="BB774" s="155"/>
      <c r="BC774" s="93"/>
      <c r="BE774" s="93"/>
      <c r="BG774" s="93"/>
      <c r="BH774" s="93"/>
      <c r="BI774" s="93"/>
      <c r="BJ774" s="155"/>
      <c r="BK774" s="93"/>
    </row>
    <row r="775">
      <c r="A775" s="166">
        <v>44527.995259710646</v>
      </c>
      <c r="B775" s="44" t="s">
        <v>88</v>
      </c>
      <c r="C775" s="128">
        <v>775.8179907741512</v>
      </c>
      <c r="D775" s="128">
        <v>14.0</v>
      </c>
      <c r="E775" s="128">
        <v>768.0236482168688</v>
      </c>
      <c r="F775" s="44" t="s">
        <v>107</v>
      </c>
      <c r="G775" s="128">
        <v>928.8684312215693</v>
      </c>
      <c r="H775" s="128">
        <v>13.0</v>
      </c>
      <c r="I775" s="128">
        <v>920.1687171030042</v>
      </c>
      <c r="J775" s="44" t="s">
        <v>110</v>
      </c>
      <c r="K775" s="128">
        <v>934.2923058301458</v>
      </c>
      <c r="L775" s="128">
        <v>21.0</v>
      </c>
      <c r="M775" s="128">
        <v>930.0827088283143</v>
      </c>
      <c r="N775" s="44" t="s">
        <v>23</v>
      </c>
      <c r="O775" s="128">
        <v>1473.646443065891</v>
      </c>
      <c r="P775" s="128">
        <v>18.0</v>
      </c>
      <c r="Q775" s="128">
        <v>1467.35009674357</v>
      </c>
      <c r="V775" s="44" t="s">
        <v>112</v>
      </c>
      <c r="W775" s="128">
        <v>947.011164763195</v>
      </c>
      <c r="X775" s="128">
        <v>23.0</v>
      </c>
      <c r="Y775" s="128">
        <v>955.4022374606053</v>
      </c>
      <c r="Z775" s="44" t="s">
        <v>47</v>
      </c>
      <c r="AA775" s="128">
        <v>994.9444036409852</v>
      </c>
      <c r="AB775" s="128">
        <v>23.0</v>
      </c>
      <c r="AC775" s="128">
        <v>1003.2410140268042</v>
      </c>
      <c r="AD775" s="44" t="s">
        <v>61</v>
      </c>
      <c r="AE775" s="128">
        <v>1013.3363251700666</v>
      </c>
      <c r="AF775" s="128">
        <v>17.0</v>
      </c>
      <c r="AG775" s="128">
        <v>1018.2253650947822</v>
      </c>
      <c r="AH775" s="44" t="s">
        <v>27</v>
      </c>
      <c r="AI775" s="128">
        <v>1030.2855742806855</v>
      </c>
      <c r="AJ775" s="128">
        <v>18.0</v>
      </c>
      <c r="AK775" s="128">
        <v>1035.7088512727407</v>
      </c>
      <c r="AP775" s="128">
        <v>12.0</v>
      </c>
      <c r="AQ775" s="128">
        <v>16.0</v>
      </c>
      <c r="AT775" s="44">
        <v>774.0</v>
      </c>
      <c r="AU775" s="44"/>
      <c r="AW775" s="93"/>
      <c r="AY775" s="93"/>
      <c r="AZ775" s="93"/>
      <c r="BA775" s="93"/>
      <c r="BB775" s="155"/>
      <c r="BC775" s="93"/>
      <c r="BE775" s="93"/>
      <c r="BG775" s="93"/>
      <c r="BH775" s="93"/>
      <c r="BI775" s="93"/>
      <c r="BJ775" s="155"/>
      <c r="BK775" s="93"/>
    </row>
    <row r="776">
      <c r="A776" s="166">
        <v>44528.02800832176</v>
      </c>
      <c r="B776" s="44" t="s">
        <v>88</v>
      </c>
      <c r="C776" s="128">
        <v>768.0236482168688</v>
      </c>
      <c r="D776" s="128">
        <v>12.0</v>
      </c>
      <c r="E776" s="128">
        <v>759.3806897714144</v>
      </c>
      <c r="F776" s="44" t="s">
        <v>107</v>
      </c>
      <c r="G776" s="128">
        <v>920.1687171030042</v>
      </c>
      <c r="H776" s="128">
        <v>23.0</v>
      </c>
      <c r="I776" s="128">
        <v>916.688080187805</v>
      </c>
      <c r="J776" s="44" t="s">
        <v>108</v>
      </c>
      <c r="K776" s="128">
        <v>921.572407008911</v>
      </c>
      <c r="L776" s="128">
        <v>12.0</v>
      </c>
      <c r="M776" s="128">
        <v>912.589209025847</v>
      </c>
      <c r="N776" s="44" t="s">
        <v>23</v>
      </c>
      <c r="O776" s="128">
        <v>1467.35009674357</v>
      </c>
      <c r="P776" s="128">
        <v>25.0</v>
      </c>
      <c r="Q776" s="128">
        <v>1464.4568900872875</v>
      </c>
      <c r="V776" s="44" t="s">
        <v>112</v>
      </c>
      <c r="W776" s="128">
        <v>955.4022374606053</v>
      </c>
      <c r="X776" s="128">
        <v>18.0</v>
      </c>
      <c r="Y776" s="128">
        <v>960.8524045435539</v>
      </c>
      <c r="Z776" s="44" t="s">
        <v>47</v>
      </c>
      <c r="AA776" s="128">
        <v>1003.2410140268042</v>
      </c>
      <c r="AB776" s="128">
        <v>22.0</v>
      </c>
      <c r="AC776" s="128">
        <v>1010.6136263250677</v>
      </c>
      <c r="AD776" s="44" t="s">
        <v>61</v>
      </c>
      <c r="AE776" s="128">
        <v>1018.2253650947822</v>
      </c>
      <c r="AF776" s="128">
        <v>16.0</v>
      </c>
      <c r="AG776" s="128">
        <v>1022.576063487406</v>
      </c>
      <c r="AH776" s="44" t="s">
        <v>27</v>
      </c>
      <c r="AI776" s="128">
        <v>1035.7088512727407</v>
      </c>
      <c r="AJ776" s="128">
        <v>21.0</v>
      </c>
      <c r="AK776" s="128">
        <v>1042.5353734989048</v>
      </c>
      <c r="AP776" s="128">
        <v>12.0</v>
      </c>
      <c r="AQ776" s="128">
        <v>16.0</v>
      </c>
      <c r="AT776" s="44">
        <v>775.0</v>
      </c>
      <c r="AU776" s="44"/>
      <c r="AW776" s="93"/>
      <c r="AY776" s="93"/>
      <c r="AZ776" s="93"/>
      <c r="BA776" s="93"/>
      <c r="BB776" s="155"/>
      <c r="BC776" s="93"/>
      <c r="BE776" s="93"/>
      <c r="BG776" s="93"/>
      <c r="BH776" s="93"/>
      <c r="BI776" s="93"/>
      <c r="BJ776" s="155"/>
      <c r="BK776" s="93"/>
    </row>
    <row r="777">
      <c r="A777" s="166">
        <v>44528.08640320602</v>
      </c>
      <c r="B777" s="44" t="s">
        <v>88</v>
      </c>
      <c r="C777" s="128">
        <v>759.3806897714144</v>
      </c>
      <c r="D777" s="128">
        <v>32.0</v>
      </c>
      <c r="E777" s="128">
        <v>754.980876120268</v>
      </c>
      <c r="F777" s="44" t="s">
        <v>108</v>
      </c>
      <c r="G777" s="128">
        <v>912.589209025847</v>
      </c>
      <c r="H777" s="128">
        <v>16.0</v>
      </c>
      <c r="I777" s="128">
        <v>901.4788458413408</v>
      </c>
      <c r="J777" s="44" t="s">
        <v>23</v>
      </c>
      <c r="K777" s="128">
        <v>1464.4568900872875</v>
      </c>
      <c r="L777" s="128">
        <v>50.0</v>
      </c>
      <c r="M777" s="128">
        <v>1464.4468900872876</v>
      </c>
      <c r="N777" s="44"/>
      <c r="O777" s="128"/>
      <c r="P777" s="128"/>
      <c r="Q777" s="128"/>
      <c r="V777" s="44" t="s">
        <v>112</v>
      </c>
      <c r="W777" s="128">
        <v>960.8524045435539</v>
      </c>
      <c r="X777" s="128">
        <v>33.0</v>
      </c>
      <c r="Y777" s="128">
        <v>963.0200171717772</v>
      </c>
      <c r="Z777" s="44" t="s">
        <v>47</v>
      </c>
      <c r="AA777" s="128">
        <v>1010.6136263250677</v>
      </c>
      <c r="AB777" s="128">
        <v>35.0</v>
      </c>
      <c r="AC777" s="128">
        <v>1013.4324406321108</v>
      </c>
      <c r="AD777" s="44" t="s">
        <v>61</v>
      </c>
      <c r="AE777" s="128">
        <v>1022.576063487406</v>
      </c>
      <c r="AF777" s="128">
        <v>51.0</v>
      </c>
      <c r="AG777" s="128">
        <v>1031.5896365521396</v>
      </c>
      <c r="AH777" s="44"/>
      <c r="AI777" s="128"/>
      <c r="AJ777" s="128"/>
      <c r="AK777" s="128"/>
      <c r="AP777" s="128">
        <v>25.0</v>
      </c>
      <c r="AQ777" s="128">
        <v>31.0</v>
      </c>
      <c r="AS777" s="44" t="s">
        <v>571</v>
      </c>
      <c r="AT777" s="44">
        <v>776.0</v>
      </c>
      <c r="AU777" s="44"/>
      <c r="AW777" s="93"/>
      <c r="AY777" s="93"/>
      <c r="AZ777" s="93"/>
      <c r="BA777" s="93"/>
      <c r="BB777" s="155"/>
      <c r="BC777" s="93"/>
      <c r="BE777" s="93"/>
      <c r="BG777" s="93"/>
      <c r="BH777" s="93"/>
      <c r="BI777" s="93"/>
      <c r="BJ777" s="155"/>
      <c r="BK777" s="93"/>
    </row>
    <row r="778">
      <c r="A778" s="166">
        <v>44528.93783872685</v>
      </c>
      <c r="B778" s="44" t="s">
        <v>88</v>
      </c>
      <c r="C778" s="128">
        <v>754.980876120268</v>
      </c>
      <c r="D778" s="128">
        <v>13.0</v>
      </c>
      <c r="E778" s="128">
        <v>747.4964078530062</v>
      </c>
      <c r="F778" s="44" t="s">
        <v>92</v>
      </c>
      <c r="G778" s="128">
        <v>922.1930924358642</v>
      </c>
      <c r="H778" s="128">
        <v>18.0</v>
      </c>
      <c r="I778" s="128">
        <v>916.8616793487128</v>
      </c>
      <c r="J778" s="44" t="s">
        <v>31</v>
      </c>
      <c r="K778" s="128">
        <v>1319.249250954117</v>
      </c>
      <c r="L778" s="128">
        <v>19.0</v>
      </c>
      <c r="M778" s="128">
        <v>1314.0651323085303</v>
      </c>
      <c r="N778" s="44"/>
      <c r="O778" s="128"/>
      <c r="P778" s="128"/>
      <c r="Q778" s="128"/>
      <c r="V778" s="44" t="s">
        <v>112</v>
      </c>
      <c r="W778" s="128">
        <v>963.0200171717772</v>
      </c>
      <c r="X778" s="128">
        <v>27.0</v>
      </c>
      <c r="Y778" s="128">
        <v>971.7705132505542</v>
      </c>
      <c r="Z778" s="44" t="s">
        <v>61</v>
      </c>
      <c r="AA778" s="128">
        <v>1031.5896365521396</v>
      </c>
      <c r="AB778" s="128">
        <v>19.0</v>
      </c>
      <c r="AC778" s="128">
        <v>1036.222571113923</v>
      </c>
      <c r="AD778" s="44" t="s">
        <v>27</v>
      </c>
      <c r="AE778" s="128">
        <v>1042.5353734989048</v>
      </c>
      <c r="AF778" s="128">
        <v>19.0</v>
      </c>
      <c r="AG778" s="128">
        <v>1047.1519428583445</v>
      </c>
      <c r="AH778" s="44"/>
      <c r="AI778" s="128"/>
      <c r="AJ778" s="128"/>
      <c r="AK778" s="128"/>
      <c r="AP778" s="128">
        <v>10.0</v>
      </c>
      <c r="AQ778" s="128">
        <v>17.0</v>
      </c>
      <c r="AS778" s="44" t="s">
        <v>243</v>
      </c>
      <c r="AT778" s="44">
        <v>777.0</v>
      </c>
      <c r="AU778" s="44"/>
      <c r="AW778" s="93"/>
      <c r="AY778" s="93"/>
      <c r="AZ778" s="93"/>
      <c r="BA778" s="93"/>
      <c r="BB778" s="155"/>
      <c r="BC778" s="93"/>
      <c r="BE778" s="93"/>
      <c r="BG778" s="93"/>
      <c r="BH778" s="93"/>
      <c r="BI778" s="93"/>
      <c r="BJ778" s="155"/>
      <c r="BK778" s="93"/>
    </row>
    <row r="779">
      <c r="A779" s="166">
        <v>44529.010763275466</v>
      </c>
      <c r="B779" s="44" t="s">
        <v>88</v>
      </c>
      <c r="C779" s="128">
        <v>747.4964078530062</v>
      </c>
      <c r="D779" s="128">
        <v>18.0</v>
      </c>
      <c r="E779" s="128">
        <v>750.1561880065861</v>
      </c>
      <c r="F779" s="44" t="s">
        <v>125</v>
      </c>
      <c r="G779" s="128">
        <v>892.7205216511001</v>
      </c>
      <c r="H779" s="128">
        <v>14.0</v>
      </c>
      <c r="I779" s="128">
        <v>893.7578104417813</v>
      </c>
      <c r="J779" s="44" t="s">
        <v>35</v>
      </c>
      <c r="K779" s="128">
        <v>1552.4603612058638</v>
      </c>
      <c r="L779" s="128">
        <v>37.0</v>
      </c>
      <c r="M779" s="128">
        <v>1560.7632922616026</v>
      </c>
      <c r="N779" s="44"/>
      <c r="O779" s="128"/>
      <c r="P779" s="128"/>
      <c r="Q779" s="128"/>
      <c r="V779" s="44" t="s">
        <v>112</v>
      </c>
      <c r="W779" s="128">
        <v>971.7705132505542</v>
      </c>
      <c r="X779" s="128">
        <v>15.0</v>
      </c>
      <c r="Y779" s="128">
        <v>967.6958697442399</v>
      </c>
      <c r="Z779" s="44" t="s">
        <v>61</v>
      </c>
      <c r="AA779" s="128">
        <v>1036.222571113923</v>
      </c>
      <c r="AB779" s="128">
        <v>17.0</v>
      </c>
      <c r="AC779" s="128">
        <v>1032.7636785367683</v>
      </c>
      <c r="AD779" s="44" t="s">
        <v>27</v>
      </c>
      <c r="AE779" s="128">
        <v>1047.1519428583445</v>
      </c>
      <c r="AF779" s="128">
        <v>14.0</v>
      </c>
      <c r="AG779" s="128">
        <v>1042.6854789418135</v>
      </c>
      <c r="AH779" s="44"/>
      <c r="AI779" s="128"/>
      <c r="AJ779" s="128"/>
      <c r="AK779" s="128"/>
      <c r="AP779" s="128">
        <v>18.0</v>
      </c>
      <c r="AQ779" s="128">
        <v>10.0</v>
      </c>
      <c r="AS779" s="44" t="s">
        <v>268</v>
      </c>
      <c r="AT779" s="44">
        <v>778.0</v>
      </c>
      <c r="AU779" s="44"/>
      <c r="AW779" s="93"/>
      <c r="AY779" s="93"/>
      <c r="AZ779" s="93"/>
      <c r="BA779" s="93"/>
      <c r="BB779" s="155"/>
      <c r="BC779" s="93"/>
      <c r="BE779" s="93"/>
      <c r="BG779" s="93"/>
      <c r="BH779" s="93"/>
      <c r="BI779" s="93"/>
      <c r="BJ779" s="155"/>
      <c r="BK779" s="93"/>
    </row>
    <row r="780">
      <c r="A780" s="166">
        <v>44529.965236874996</v>
      </c>
      <c r="B780" s="44" t="s">
        <v>88</v>
      </c>
      <c r="C780" s="128">
        <v>750.1561880065861</v>
      </c>
      <c r="D780" s="128">
        <v>17.0</v>
      </c>
      <c r="E780" s="128">
        <v>756.425813719085</v>
      </c>
      <c r="F780" s="44" t="s">
        <v>27</v>
      </c>
      <c r="G780" s="128">
        <v>1042.6854789418135</v>
      </c>
      <c r="H780" s="128">
        <v>19.0</v>
      </c>
      <c r="I780" s="128">
        <v>1049.4158532293147</v>
      </c>
      <c r="J780" s="44"/>
      <c r="K780" s="128"/>
      <c r="L780" s="128"/>
      <c r="M780" s="128"/>
      <c r="N780" s="44"/>
      <c r="O780" s="128"/>
      <c r="P780" s="128"/>
      <c r="Q780" s="128"/>
      <c r="V780" s="44" t="s">
        <v>110</v>
      </c>
      <c r="W780" s="128">
        <v>930.0827088283143</v>
      </c>
      <c r="X780" s="128">
        <v>13.0</v>
      </c>
      <c r="Y780" s="128">
        <v>921.9878641368153</v>
      </c>
      <c r="Z780" s="44" t="s">
        <v>112</v>
      </c>
      <c r="AA780" s="128">
        <v>967.6958697442399</v>
      </c>
      <c r="AB780" s="128">
        <v>19.0</v>
      </c>
      <c r="AC780" s="128">
        <v>962.7907144357388</v>
      </c>
      <c r="AD780" s="44"/>
      <c r="AE780" s="128"/>
      <c r="AF780" s="128"/>
      <c r="AG780" s="128"/>
      <c r="AH780" s="44"/>
      <c r="AI780" s="128"/>
      <c r="AJ780" s="128"/>
      <c r="AK780" s="128"/>
      <c r="AP780" s="128">
        <v>15.0</v>
      </c>
      <c r="AQ780" s="128">
        <v>13.0</v>
      </c>
      <c r="AS780" s="44" t="s">
        <v>229</v>
      </c>
      <c r="AT780" s="44">
        <v>779.0</v>
      </c>
      <c r="AU780" s="44"/>
      <c r="AW780" s="93"/>
      <c r="AY780" s="93"/>
      <c r="AZ780" s="93"/>
      <c r="BA780" s="93"/>
      <c r="BB780" s="155"/>
      <c r="BC780" s="93"/>
      <c r="BE780" s="93"/>
      <c r="BG780" s="93"/>
      <c r="BH780" s="93"/>
      <c r="BI780" s="93"/>
      <c r="BJ780" s="155"/>
      <c r="BK780" s="93"/>
    </row>
    <row r="781">
      <c r="A781" s="166">
        <v>44530.005560578706</v>
      </c>
      <c r="B781" s="44" t="s">
        <v>88</v>
      </c>
      <c r="C781" s="128">
        <v>756.425813719085</v>
      </c>
      <c r="D781" s="128">
        <v>18.0</v>
      </c>
      <c r="E781" s="128">
        <v>758.959050377807</v>
      </c>
      <c r="F781" s="44" t="s">
        <v>34</v>
      </c>
      <c r="G781" s="128">
        <v>883.042977783853</v>
      </c>
      <c r="H781" s="128">
        <v>18.0</v>
      </c>
      <c r="I781" s="128">
        <v>885.32122947831</v>
      </c>
      <c r="J781" s="44" t="s">
        <v>35</v>
      </c>
      <c r="K781" s="128">
        <v>1560.7632922616026</v>
      </c>
      <c r="L781" s="128">
        <v>34.0</v>
      </c>
      <c r="M781" s="128">
        <v>1567.9518039084235</v>
      </c>
      <c r="N781" s="44"/>
      <c r="O781" s="128"/>
      <c r="P781" s="128"/>
      <c r="Q781" s="128"/>
      <c r="V781" s="44" t="s">
        <v>125</v>
      </c>
      <c r="W781" s="128">
        <v>893.7578104417813</v>
      </c>
      <c r="X781" s="128">
        <v>10.0</v>
      </c>
      <c r="Y781" s="128">
        <v>888.5969867422923</v>
      </c>
      <c r="Z781" s="44" t="s">
        <v>112</v>
      </c>
      <c r="AA781" s="128">
        <v>962.7907144357388</v>
      </c>
      <c r="AB781" s="128">
        <v>17.0</v>
      </c>
      <c r="AC781" s="128">
        <v>959.9016151032354</v>
      </c>
      <c r="AD781" s="44" t="s">
        <v>27</v>
      </c>
      <c r="AE781" s="128">
        <v>1049.4158532293147</v>
      </c>
      <c r="AF781" s="128">
        <v>14.0</v>
      </c>
      <c r="AG781" s="128">
        <v>1045.4657762613072</v>
      </c>
      <c r="AH781" s="44"/>
      <c r="AI781" s="128"/>
      <c r="AJ781" s="128"/>
      <c r="AK781" s="128"/>
      <c r="AP781" s="128">
        <v>19.0</v>
      </c>
      <c r="AQ781" s="128">
        <v>9.0</v>
      </c>
      <c r="AS781" s="44" t="s">
        <v>229</v>
      </c>
      <c r="AT781" s="44">
        <v>780.0</v>
      </c>
      <c r="AU781" s="44"/>
      <c r="AW781" s="93"/>
      <c r="AY781" s="93"/>
      <c r="AZ781" s="93"/>
      <c r="BA781" s="93"/>
      <c r="BB781" s="155"/>
      <c r="BC781" s="93"/>
      <c r="BE781" s="93"/>
      <c r="BG781" s="93"/>
      <c r="BH781" s="93"/>
      <c r="BI781" s="93"/>
      <c r="BJ781" s="155"/>
      <c r="BK781" s="93"/>
    </row>
    <row r="782">
      <c r="A782" s="166">
        <v>44530.97700458333</v>
      </c>
      <c r="B782" s="44" t="s">
        <v>88</v>
      </c>
      <c r="C782" s="128">
        <v>758.959050377807</v>
      </c>
      <c r="D782" s="128">
        <v>17.0</v>
      </c>
      <c r="E782" s="128">
        <v>755.4579699841281</v>
      </c>
      <c r="F782" s="44" t="s">
        <v>110</v>
      </c>
      <c r="G782" s="128">
        <v>921.9878641368153</v>
      </c>
      <c r="H782" s="128">
        <v>22.0</v>
      </c>
      <c r="I782" s="128">
        <v>919.7716465301993</v>
      </c>
      <c r="J782" s="44" t="s">
        <v>112</v>
      </c>
      <c r="K782" s="128">
        <v>959.9016151032354</v>
      </c>
      <c r="L782" s="128">
        <v>20.0</v>
      </c>
      <c r="M782" s="128">
        <v>957.0469492831243</v>
      </c>
      <c r="N782" s="44" t="s">
        <v>47</v>
      </c>
      <c r="O782" s="128">
        <v>1013.4324406321108</v>
      </c>
      <c r="P782" s="128">
        <v>14.0</v>
      </c>
      <c r="Q782" s="128">
        <v>1008.7306160769524</v>
      </c>
      <c r="R782" s="44" t="s">
        <v>27</v>
      </c>
      <c r="S782" s="128">
        <v>1045.4657762613072</v>
      </c>
      <c r="T782" s="128">
        <v>14.0</v>
      </c>
      <c r="U782" s="128">
        <v>1040.7395646368716</v>
      </c>
      <c r="V782" s="44" t="s">
        <v>123</v>
      </c>
      <c r="W782" s="128">
        <v>652.9884937704721</v>
      </c>
      <c r="X782" s="128">
        <v>28.0</v>
      </c>
      <c r="Y782" s="128">
        <v>659.1290845164474</v>
      </c>
      <c r="Z782" s="44" t="s">
        <v>34</v>
      </c>
      <c r="AA782" s="128">
        <v>885.32122947831</v>
      </c>
      <c r="AB782" s="128">
        <v>14.0</v>
      </c>
      <c r="AC782" s="128">
        <v>886.8275776019683</v>
      </c>
      <c r="AD782" s="44" t="s">
        <v>125</v>
      </c>
      <c r="AE782" s="128">
        <v>888.5969867422923</v>
      </c>
      <c r="AF782" s="128">
        <v>14.0</v>
      </c>
      <c r="AG782" s="128">
        <v>890.0986470736634</v>
      </c>
      <c r="AH782" s="44" t="s">
        <v>572</v>
      </c>
      <c r="AI782" s="128">
        <v>1000.0</v>
      </c>
      <c r="AJ782" s="128">
        <v>17.0</v>
      </c>
      <c r="AK782" s="128">
        <v>1002.2654833663842</v>
      </c>
      <c r="AL782" s="44" t="s">
        <v>31</v>
      </c>
      <c r="AM782" s="128">
        <v>1314.0651323085303</v>
      </c>
      <c r="AN782" s="128">
        <v>32.0</v>
      </c>
      <c r="AO782" s="128">
        <v>1320.6510497411414</v>
      </c>
      <c r="AP782" s="128">
        <v>11.0</v>
      </c>
      <c r="AQ782" s="128">
        <v>17.0</v>
      </c>
      <c r="AS782" s="44" t="s">
        <v>232</v>
      </c>
      <c r="AT782" s="44">
        <v>781.0</v>
      </c>
      <c r="AU782" s="44"/>
      <c r="AW782" s="93"/>
      <c r="AY782" s="93"/>
      <c r="AZ782" s="93"/>
      <c r="BA782" s="93"/>
      <c r="BB782" s="155"/>
      <c r="BC782" s="93"/>
      <c r="BE782" s="93"/>
      <c r="BG782" s="93"/>
      <c r="BH782" s="93"/>
      <c r="BI782" s="93"/>
      <c r="BJ782" s="155"/>
      <c r="BK782" s="93"/>
    </row>
    <row r="783">
      <c r="A783" s="166">
        <v>44531.02161589121</v>
      </c>
      <c r="B783" s="44" t="s">
        <v>88</v>
      </c>
      <c r="C783" s="128">
        <v>755.4579699841281</v>
      </c>
      <c r="D783" s="128">
        <v>20.0</v>
      </c>
      <c r="E783" s="128">
        <v>753.1539626096841</v>
      </c>
      <c r="F783" s="44" t="s">
        <v>34</v>
      </c>
      <c r="G783" s="128">
        <v>886.8275776019683</v>
      </c>
      <c r="H783" s="128">
        <v>24.0</v>
      </c>
      <c r="I783" s="128">
        <v>885.12026235686</v>
      </c>
      <c r="J783" s="44" t="s">
        <v>47</v>
      </c>
      <c r="K783" s="128">
        <v>1008.7306160769524</v>
      </c>
      <c r="L783" s="128">
        <v>18.0</v>
      </c>
      <c r="M783" s="128">
        <v>1005.83179142743</v>
      </c>
      <c r="N783" s="44" t="s">
        <v>27</v>
      </c>
      <c r="O783" s="128">
        <v>1040.7395646368716</v>
      </c>
      <c r="P783" s="128">
        <v>16.0</v>
      </c>
      <c r="Q783" s="128">
        <v>1037.4553769233412</v>
      </c>
      <c r="R783" s="44" t="s">
        <v>31</v>
      </c>
      <c r="S783" s="128">
        <v>1320.6510497411414</v>
      </c>
      <c r="T783" s="128">
        <v>30.0</v>
      </c>
      <c r="U783" s="128">
        <v>1319.8453847237465</v>
      </c>
      <c r="V783" s="44" t="s">
        <v>123</v>
      </c>
      <c r="W783" s="128">
        <v>659.1290845164474</v>
      </c>
      <c r="X783" s="128">
        <v>14.0</v>
      </c>
      <c r="Y783" s="128">
        <v>660.5840536386754</v>
      </c>
      <c r="Z783" s="44" t="s">
        <v>125</v>
      </c>
      <c r="AA783" s="128">
        <v>890.0986470736634</v>
      </c>
      <c r="AB783" s="128">
        <v>11.0</v>
      </c>
      <c r="AC783" s="128">
        <v>890.7629835077113</v>
      </c>
      <c r="AD783" s="44" t="s">
        <v>110</v>
      </c>
      <c r="AE783" s="128">
        <v>919.7716465301993</v>
      </c>
      <c r="AF783" s="128">
        <v>14.0</v>
      </c>
      <c r="AG783" s="128">
        <v>920.9631645577236</v>
      </c>
      <c r="AH783" s="44" t="s">
        <v>112</v>
      </c>
      <c r="AI783" s="128">
        <v>957.0469492831243</v>
      </c>
      <c r="AJ783" s="128">
        <v>19.0</v>
      </c>
      <c r="AK783" s="128">
        <v>959.1290347996948</v>
      </c>
      <c r="AL783" s="44" t="s">
        <v>35</v>
      </c>
      <c r="AM783" s="128">
        <v>1567.9518039084235</v>
      </c>
      <c r="AN783" s="128">
        <v>39.0</v>
      </c>
      <c r="AO783" s="128">
        <v>1573.5588948080526</v>
      </c>
      <c r="AP783" s="128">
        <v>13.0</v>
      </c>
      <c r="AQ783" s="128">
        <v>14.0</v>
      </c>
      <c r="AS783" s="44" t="s">
        <v>295</v>
      </c>
      <c r="AT783" s="44">
        <v>782.0</v>
      </c>
      <c r="AU783" s="44"/>
      <c r="AW783" s="93"/>
      <c r="AY783" s="93"/>
      <c r="AZ783" s="93"/>
      <c r="BA783" s="93"/>
      <c r="BB783" s="155"/>
      <c r="BC783" s="93"/>
      <c r="BE783" s="93"/>
      <c r="BG783" s="93"/>
      <c r="BH783" s="93"/>
      <c r="BI783" s="93"/>
      <c r="BJ783" s="155"/>
      <c r="BK783" s="93"/>
    </row>
    <row r="784">
      <c r="A784" s="166">
        <v>44532.96244310185</v>
      </c>
      <c r="B784" s="44" t="s">
        <v>123</v>
      </c>
      <c r="C784" s="128">
        <v>660.5840536386754</v>
      </c>
      <c r="D784" s="128">
        <v>16.0</v>
      </c>
      <c r="E784" s="128">
        <v>660.8197628697848</v>
      </c>
      <c r="F784" s="44" t="s">
        <v>92</v>
      </c>
      <c r="G784" s="128">
        <v>916.8616793487128</v>
      </c>
      <c r="H784" s="128">
        <v>26.0</v>
      </c>
      <c r="I784" s="128">
        <v>917.9841586781205</v>
      </c>
      <c r="J784" s="44" t="s">
        <v>35</v>
      </c>
      <c r="K784" s="128">
        <v>1573.5588948080526</v>
      </c>
      <c r="L784" s="128">
        <v>41.0</v>
      </c>
      <c r="M784" s="128">
        <v>1576.2007062475354</v>
      </c>
      <c r="N784" s="44"/>
      <c r="O784" s="128"/>
      <c r="P784" s="128"/>
      <c r="Q784" s="128"/>
      <c r="V784" s="44" t="s">
        <v>110</v>
      </c>
      <c r="W784" s="128">
        <v>920.9631645577236</v>
      </c>
      <c r="X784" s="128">
        <v>29.0</v>
      </c>
      <c r="Y784" s="128">
        <v>919.7325440299511</v>
      </c>
      <c r="Z784" s="44" t="s">
        <v>112</v>
      </c>
      <c r="AA784" s="128">
        <v>959.1290347996948</v>
      </c>
      <c r="AB784" s="128">
        <v>31.0</v>
      </c>
      <c r="AC784" s="128">
        <v>958.0974980015673</v>
      </c>
      <c r="AD784" s="44" t="s">
        <v>27</v>
      </c>
      <c r="AE784" s="128">
        <v>1037.4553769233412</v>
      </c>
      <c r="AF784" s="128">
        <v>25.0</v>
      </c>
      <c r="AG784" s="128">
        <v>1035.7175342492412</v>
      </c>
      <c r="AH784" s="44"/>
      <c r="AI784" s="128"/>
      <c r="AJ784" s="128"/>
      <c r="AK784" s="128"/>
      <c r="AP784" s="128">
        <v>22.0</v>
      </c>
      <c r="AQ784" s="128">
        <v>20.0</v>
      </c>
      <c r="AS784" s="44" t="s">
        <v>573</v>
      </c>
      <c r="AT784" s="44">
        <v>783.0</v>
      </c>
      <c r="AU784" s="44"/>
      <c r="AW784" s="93"/>
      <c r="AY784" s="93"/>
      <c r="AZ784" s="93"/>
      <c r="BA784" s="93"/>
      <c r="BB784" s="155"/>
      <c r="BC784" s="93"/>
      <c r="BE784" s="93"/>
      <c r="BG784" s="93"/>
      <c r="BH784" s="93"/>
      <c r="BI784" s="93"/>
      <c r="BJ784" s="155"/>
      <c r="BK784" s="93"/>
    </row>
    <row r="785">
      <c r="A785" s="166">
        <v>44532.99191175926</v>
      </c>
      <c r="B785" s="44" t="s">
        <v>123</v>
      </c>
      <c r="C785" s="128">
        <v>660.8197628697848</v>
      </c>
      <c r="D785" s="128">
        <v>6.0</v>
      </c>
      <c r="E785" s="128">
        <v>643.5465134367511</v>
      </c>
      <c r="F785" s="44" t="s">
        <v>125</v>
      </c>
      <c r="G785" s="128">
        <v>890.7629835077113</v>
      </c>
      <c r="H785" s="128">
        <v>9.0</v>
      </c>
      <c r="I785" s="128">
        <v>875.2045529381028</v>
      </c>
      <c r="J785" s="44" t="s">
        <v>35</v>
      </c>
      <c r="K785" s="128">
        <v>1576.2007062475354</v>
      </c>
      <c r="L785" s="128">
        <v>30.0</v>
      </c>
      <c r="M785" s="128">
        <v>1576.1907062475354</v>
      </c>
      <c r="N785" s="44"/>
      <c r="O785" s="128"/>
      <c r="P785" s="128"/>
      <c r="Q785" s="128"/>
      <c r="V785" s="44" t="s">
        <v>92</v>
      </c>
      <c r="W785" s="128">
        <v>917.9841586781205</v>
      </c>
      <c r="X785" s="128">
        <v>14.0</v>
      </c>
      <c r="Y785" s="128">
        <v>924.4492632910722</v>
      </c>
      <c r="Z785" s="44" t="s">
        <v>112</v>
      </c>
      <c r="AA785" s="128">
        <v>958.0974980015673</v>
      </c>
      <c r="AB785" s="128">
        <v>26.0</v>
      </c>
      <c r="AC785" s="128">
        <v>974.7711627188982</v>
      </c>
      <c r="AD785" s="44" t="s">
        <v>27</v>
      </c>
      <c r="AE785" s="128">
        <v>1035.7175342492412</v>
      </c>
      <c r="AF785" s="128">
        <v>16.0</v>
      </c>
      <c r="AG785" s="128">
        <v>1043.5787649189588</v>
      </c>
      <c r="AH785" s="44"/>
      <c r="AI785" s="128"/>
      <c r="AJ785" s="128"/>
      <c r="AK785" s="128"/>
      <c r="AP785" s="128">
        <v>12.0</v>
      </c>
      <c r="AQ785" s="128">
        <v>16.0</v>
      </c>
      <c r="AS785" s="44" t="s">
        <v>244</v>
      </c>
      <c r="AT785" s="44">
        <v>784.0</v>
      </c>
      <c r="AU785" s="44"/>
      <c r="AW785" s="93"/>
      <c r="AY785" s="93"/>
      <c r="AZ785" s="93"/>
      <c r="BA785" s="93"/>
      <c r="BB785" s="155"/>
      <c r="BC785" s="93"/>
      <c r="BE785" s="93"/>
      <c r="BG785" s="93"/>
      <c r="BH785" s="93"/>
      <c r="BI785" s="93"/>
      <c r="BJ785" s="155"/>
      <c r="BK785" s="93"/>
    </row>
    <row r="786">
      <c r="A786" s="166">
        <v>44533.963448090275</v>
      </c>
      <c r="B786" s="44" t="s">
        <v>123</v>
      </c>
      <c r="C786" s="128">
        <v>643.5465134367511</v>
      </c>
      <c r="D786" s="128">
        <v>9.0</v>
      </c>
      <c r="E786" s="128">
        <v>644.3041628982252</v>
      </c>
      <c r="F786" s="44" t="s">
        <v>88</v>
      </c>
      <c r="G786" s="128">
        <v>753.1539626096841</v>
      </c>
      <c r="H786" s="128">
        <v>13.0</v>
      </c>
      <c r="I786" s="128">
        <v>755.0872608057082</v>
      </c>
      <c r="J786" s="44" t="s">
        <v>23</v>
      </c>
      <c r="K786" s="128">
        <v>1464.4468900872876</v>
      </c>
      <c r="L786" s="128">
        <v>38.0</v>
      </c>
      <c r="M786" s="128">
        <v>1474.7559424297892</v>
      </c>
      <c r="N786" s="44"/>
      <c r="O786" s="128"/>
      <c r="P786" s="128"/>
      <c r="Q786" s="128"/>
      <c r="V786" s="44" t="s">
        <v>110</v>
      </c>
      <c r="W786" s="128">
        <v>919.7325440299511</v>
      </c>
      <c r="X786" s="128">
        <v>16.0</v>
      </c>
      <c r="Y786" s="128">
        <v>914.9932044461059</v>
      </c>
      <c r="Z786" s="44" t="s">
        <v>47</v>
      </c>
      <c r="AA786" s="128">
        <v>1005.83179142743</v>
      </c>
      <c r="AB786" s="128">
        <v>13.0</v>
      </c>
      <c r="AC786" s="128">
        <v>999.9130882177111</v>
      </c>
      <c r="AD786" s="44" t="s">
        <v>27</v>
      </c>
      <c r="AE786" s="128">
        <v>1043.5787649189588</v>
      </c>
      <c r="AF786" s="128">
        <v>23.0</v>
      </c>
      <c r="AG786" s="128">
        <v>1041.2368077125227</v>
      </c>
      <c r="AH786" s="44"/>
      <c r="AI786" s="128"/>
      <c r="AJ786" s="128"/>
      <c r="AK786" s="128"/>
      <c r="AP786" s="128">
        <v>15.0</v>
      </c>
      <c r="AQ786" s="128">
        <v>13.0</v>
      </c>
      <c r="AT786" s="44">
        <v>785.0</v>
      </c>
      <c r="AU786" s="44"/>
      <c r="AW786" s="93"/>
      <c r="AY786" s="93"/>
      <c r="AZ786" s="93"/>
      <c r="BA786" s="93"/>
      <c r="BB786" s="155"/>
      <c r="BC786" s="93"/>
      <c r="BE786" s="93"/>
      <c r="BG786" s="93"/>
      <c r="BH786" s="93"/>
      <c r="BI786" s="93"/>
      <c r="BJ786" s="155"/>
      <c r="BK786" s="93"/>
    </row>
    <row r="787">
      <c r="A787" s="166">
        <v>44534.00232752315</v>
      </c>
      <c r="B787" s="44" t="s">
        <v>123</v>
      </c>
      <c r="C787" s="128">
        <v>644.3041628982252</v>
      </c>
      <c r="D787" s="128">
        <v>9.0</v>
      </c>
      <c r="E787" s="128">
        <v>624.8447813424657</v>
      </c>
      <c r="F787" s="44" t="s">
        <v>88</v>
      </c>
      <c r="G787" s="128">
        <v>755.0872608057082</v>
      </c>
      <c r="H787" s="128">
        <v>15.0</v>
      </c>
      <c r="I787" s="128">
        <v>740.808166313575</v>
      </c>
      <c r="J787" s="44" t="s">
        <v>23</v>
      </c>
      <c r="K787" s="128">
        <v>1474.7559424297892</v>
      </c>
      <c r="L787" s="128">
        <v>30.0</v>
      </c>
      <c r="M787" s="128">
        <v>1473.4944184776818</v>
      </c>
      <c r="N787" s="44"/>
      <c r="O787" s="128"/>
      <c r="P787" s="128"/>
      <c r="Q787" s="128"/>
      <c r="V787" s="44" t="s">
        <v>125</v>
      </c>
      <c r="W787" s="128">
        <v>875.2045529381028</v>
      </c>
      <c r="X787" s="128">
        <v>16.0</v>
      </c>
      <c r="Y787" s="128">
        <v>880.7863569682743</v>
      </c>
      <c r="Z787" s="44" t="s">
        <v>47</v>
      </c>
      <c r="AA787" s="128">
        <v>999.9130882177111</v>
      </c>
      <c r="AB787" s="128">
        <v>32.0</v>
      </c>
      <c r="AC787" s="128">
        <v>1020.522735719</v>
      </c>
      <c r="AD787" s="44" t="s">
        <v>27</v>
      </c>
      <c r="AE787" s="128">
        <v>1041.2368077125227</v>
      </c>
      <c r="AF787" s="128">
        <v>20.0</v>
      </c>
      <c r="AG787" s="128">
        <v>1050.0453561810623</v>
      </c>
      <c r="AH787" s="44"/>
      <c r="AI787" s="128"/>
      <c r="AJ787" s="128"/>
      <c r="AK787" s="128"/>
      <c r="AP787" s="128">
        <v>9.0</v>
      </c>
      <c r="AQ787" s="128">
        <v>18.0</v>
      </c>
      <c r="AT787" s="44">
        <v>786.0</v>
      </c>
      <c r="AU787" s="44"/>
      <c r="AW787" s="93"/>
      <c r="AY787" s="93"/>
      <c r="AZ787" s="93"/>
      <c r="BA787" s="93"/>
      <c r="BB787" s="155"/>
      <c r="BC787" s="93"/>
      <c r="BE787" s="93"/>
      <c r="BG787" s="93"/>
      <c r="BH787" s="93"/>
      <c r="BI787" s="93"/>
      <c r="BJ787" s="155"/>
      <c r="BK787" s="93"/>
    </row>
    <row r="788">
      <c r="A788" s="166">
        <v>44534.04596394676</v>
      </c>
      <c r="B788" s="44" t="s">
        <v>123</v>
      </c>
      <c r="C788" s="128">
        <v>624.8447813424657</v>
      </c>
      <c r="D788" s="128">
        <v>14.0</v>
      </c>
      <c r="E788" s="128">
        <v>619.2709123779</v>
      </c>
      <c r="F788" s="44" t="s">
        <v>88</v>
      </c>
      <c r="G788" s="128">
        <v>740.808166313575</v>
      </c>
      <c r="H788" s="128">
        <v>15.0</v>
      </c>
      <c r="I788" s="128">
        <v>735.3547298934673</v>
      </c>
      <c r="J788" s="44" t="s">
        <v>23</v>
      </c>
      <c r="K788" s="128">
        <v>1473.4944184776818</v>
      </c>
      <c r="L788" s="128">
        <v>23.0</v>
      </c>
      <c r="M788" s="128">
        <v>1470.5217238623554</v>
      </c>
      <c r="N788" s="44"/>
      <c r="O788" s="128"/>
      <c r="P788" s="128"/>
      <c r="Q788" s="128"/>
      <c r="V788" s="44" t="s">
        <v>125</v>
      </c>
      <c r="W788" s="128">
        <v>880.7863569682743</v>
      </c>
      <c r="X788" s="128">
        <v>17.0</v>
      </c>
      <c r="Y788" s="128">
        <v>884.811264905214</v>
      </c>
      <c r="Z788" s="44" t="s">
        <v>47</v>
      </c>
      <c r="AA788" s="128">
        <v>1020.522735719</v>
      </c>
      <c r="AB788" s="128">
        <v>15.0</v>
      </c>
      <c r="AC788" s="128">
        <v>1023.5809920065174</v>
      </c>
      <c r="AD788" s="44" t="s">
        <v>27</v>
      </c>
      <c r="AE788" s="128">
        <v>1050.0453561810623</v>
      </c>
      <c r="AF788" s="128">
        <v>25.0</v>
      </c>
      <c r="AG788" s="128">
        <v>1056.9621919566052</v>
      </c>
      <c r="AH788" s="44"/>
      <c r="AI788" s="128"/>
      <c r="AJ788" s="128"/>
      <c r="AK788" s="128"/>
      <c r="AP788" s="128">
        <v>12.0</v>
      </c>
      <c r="AQ788" s="128">
        <v>16.0</v>
      </c>
      <c r="AT788" s="44">
        <v>787.0</v>
      </c>
      <c r="AU788" s="44"/>
      <c r="AW788" s="93"/>
      <c r="AY788" s="93"/>
      <c r="AZ788" s="93"/>
      <c r="BA788" s="93"/>
      <c r="BB788" s="155"/>
      <c r="BC788" s="93"/>
      <c r="BE788" s="93"/>
      <c r="BG788" s="93"/>
      <c r="BH788" s="93"/>
      <c r="BI788" s="93"/>
      <c r="BJ788" s="155"/>
      <c r="BK788" s="93"/>
    </row>
    <row r="789">
      <c r="A789" s="166">
        <v>44534.90627212963</v>
      </c>
      <c r="B789" s="44" t="s">
        <v>107</v>
      </c>
      <c r="C789" s="128">
        <v>916.688080187805</v>
      </c>
      <c r="D789" s="128">
        <v>18.0</v>
      </c>
      <c r="E789" s="128">
        <v>916.698080187805</v>
      </c>
      <c r="F789" s="44" t="s">
        <v>61</v>
      </c>
      <c r="G789" s="128">
        <v>1032.7636785367683</v>
      </c>
      <c r="H789" s="128">
        <v>24.0</v>
      </c>
      <c r="I789" s="128">
        <v>1032.7736785367683</v>
      </c>
      <c r="J789" s="44" t="s">
        <v>27</v>
      </c>
      <c r="K789" s="128">
        <v>1056.9621919566052</v>
      </c>
      <c r="L789" s="128">
        <v>15.0</v>
      </c>
      <c r="M789" s="128">
        <v>1056.9721919566052</v>
      </c>
      <c r="N789" s="44"/>
      <c r="O789" s="128"/>
      <c r="P789" s="128"/>
      <c r="Q789" s="128"/>
      <c r="V789" s="44" t="s">
        <v>112</v>
      </c>
      <c r="W789" s="128">
        <v>974.7711627188982</v>
      </c>
      <c r="X789" s="128">
        <v>21.0</v>
      </c>
      <c r="Y789" s="128">
        <v>974.7711627188982</v>
      </c>
      <c r="Z789" s="44" t="s">
        <v>38</v>
      </c>
      <c r="AA789" s="128">
        <v>1000.0</v>
      </c>
      <c r="AB789" s="128">
        <v>17.0</v>
      </c>
      <c r="AC789" s="128">
        <v>1000.0</v>
      </c>
      <c r="AD789" s="44" t="s">
        <v>47</v>
      </c>
      <c r="AE789" s="128">
        <v>1023.5809920065174</v>
      </c>
      <c r="AF789" s="128">
        <v>15.0</v>
      </c>
      <c r="AG789" s="128">
        <v>1023.5809920065174</v>
      </c>
      <c r="AH789" s="44"/>
      <c r="AI789" s="128"/>
      <c r="AJ789" s="128"/>
      <c r="AK789" s="128"/>
      <c r="AP789" s="128">
        <v>14.0</v>
      </c>
      <c r="AQ789" s="128">
        <v>14.0</v>
      </c>
      <c r="AT789" s="44">
        <v>788.0</v>
      </c>
      <c r="AU789" s="44"/>
      <c r="AW789" s="93"/>
      <c r="AY789" s="93"/>
      <c r="AZ789" s="93"/>
      <c r="BA789" s="93"/>
      <c r="BB789" s="155"/>
      <c r="BC789" s="93"/>
      <c r="BE789" s="93"/>
      <c r="BG789" s="93"/>
      <c r="BH789" s="93"/>
      <c r="BI789" s="93"/>
      <c r="BJ789" s="155"/>
      <c r="BK789" s="93"/>
    </row>
    <row r="790">
      <c r="A790" s="166">
        <v>44534.94618425926</v>
      </c>
      <c r="B790" s="44" t="s">
        <v>88</v>
      </c>
      <c r="C790" s="128">
        <v>735.3547298934673</v>
      </c>
      <c r="D790" s="128">
        <v>19.0</v>
      </c>
      <c r="E790" s="128">
        <v>732.4875624076722</v>
      </c>
      <c r="F790" s="44" t="s">
        <v>107</v>
      </c>
      <c r="G790" s="128">
        <v>916.698080187805</v>
      </c>
      <c r="H790" s="128">
        <v>7.0</v>
      </c>
      <c r="I790" s="128">
        <v>908.7968344962486</v>
      </c>
      <c r="J790" s="44" t="s">
        <v>112</v>
      </c>
      <c r="K790" s="128">
        <v>974.7711627188982</v>
      </c>
      <c r="L790" s="128">
        <v>11.0</v>
      </c>
      <c r="M790" s="128">
        <v>968.3866591817532</v>
      </c>
      <c r="N790" s="44" t="s">
        <v>23</v>
      </c>
      <c r="O790" s="128">
        <v>1470.5217238623554</v>
      </c>
      <c r="P790" s="128">
        <v>23.0</v>
      </c>
      <c r="Q790" s="128">
        <v>1468.674640576852</v>
      </c>
      <c r="V790" s="44" t="s">
        <v>38</v>
      </c>
      <c r="W790" s="128">
        <v>1000.0</v>
      </c>
      <c r="X790" s="128">
        <v>12.0</v>
      </c>
      <c r="Y790" s="128">
        <v>1001.3210005254363</v>
      </c>
      <c r="Z790" s="44" t="s">
        <v>47</v>
      </c>
      <c r="AA790" s="128">
        <v>1023.5809920065174</v>
      </c>
      <c r="AB790" s="128">
        <v>23.0</v>
      </c>
      <c r="AC790" s="128">
        <v>1029.2264259321728</v>
      </c>
      <c r="AD790" s="44" t="s">
        <v>61</v>
      </c>
      <c r="AE790" s="128">
        <v>1032.7736785367683</v>
      </c>
      <c r="AF790" s="128">
        <v>21.0</v>
      </c>
      <c r="AG790" s="128">
        <v>1037.6165066192202</v>
      </c>
      <c r="AH790" s="44" t="s">
        <v>27</v>
      </c>
      <c r="AI790" s="128">
        <v>1056.9721919566052</v>
      </c>
      <c r="AJ790" s="128">
        <v>27.0</v>
      </c>
      <c r="AK790" s="128">
        <v>1064.1629294230618</v>
      </c>
      <c r="AP790" s="128">
        <v>11.0</v>
      </c>
      <c r="AQ790" s="128">
        <v>17.0</v>
      </c>
      <c r="AT790" s="44">
        <v>789.0</v>
      </c>
      <c r="AU790" s="44"/>
      <c r="AW790" s="93"/>
      <c r="AY790" s="93"/>
      <c r="AZ790" s="93"/>
      <c r="BA790" s="93"/>
      <c r="BB790" s="155"/>
      <c r="BC790" s="93"/>
      <c r="BE790" s="93"/>
      <c r="BG790" s="93"/>
      <c r="BH790" s="93"/>
      <c r="BI790" s="93"/>
      <c r="BJ790" s="155"/>
      <c r="BK790" s="93"/>
    </row>
    <row r="791">
      <c r="A791" s="166">
        <v>44534.998452858796</v>
      </c>
      <c r="B791" s="44" t="s">
        <v>88</v>
      </c>
      <c r="C791" s="128">
        <v>732.4875624076722</v>
      </c>
      <c r="D791" s="128">
        <v>19.0</v>
      </c>
      <c r="E791" s="128">
        <v>732.9675060443473</v>
      </c>
      <c r="F791" s="44" t="s">
        <v>107</v>
      </c>
      <c r="G791" s="128">
        <v>908.7968344962486</v>
      </c>
      <c r="H791" s="128">
        <v>17.0</v>
      </c>
      <c r="I791" s="128">
        <v>909.1237691804026</v>
      </c>
      <c r="J791" s="44" t="s">
        <v>112</v>
      </c>
      <c r="K791" s="128">
        <v>968.3866591817532</v>
      </c>
      <c r="L791" s="128">
        <v>14.0</v>
      </c>
      <c r="M791" s="128">
        <v>968.5503568293425</v>
      </c>
      <c r="N791" s="44" t="s">
        <v>38</v>
      </c>
      <c r="O791" s="128">
        <v>1001.3210005254363</v>
      </c>
      <c r="P791" s="128">
        <v>25.0</v>
      </c>
      <c r="Q791" s="128">
        <v>1002.0283567620152</v>
      </c>
      <c r="R791" s="44" t="s">
        <v>23</v>
      </c>
      <c r="S791" s="128">
        <v>1468.674640576852</v>
      </c>
      <c r="T791" s="128">
        <v>38.0</v>
      </c>
      <c r="U791" s="128">
        <v>1469.9967083718548</v>
      </c>
      <c r="V791" s="44" t="s">
        <v>123</v>
      </c>
      <c r="W791" s="128">
        <v>619.2709123779</v>
      </c>
      <c r="X791" s="128">
        <v>5.0</v>
      </c>
      <c r="Y791" s="128">
        <v>618.0174882089538</v>
      </c>
      <c r="Z791" s="44" t="s">
        <v>572</v>
      </c>
      <c r="AA791" s="128">
        <v>1002.2654833663842</v>
      </c>
      <c r="AB791" s="128">
        <v>21.0</v>
      </c>
      <c r="AC791" s="128">
        <v>1001.7084265576375</v>
      </c>
      <c r="AD791" s="44" t="s">
        <v>47</v>
      </c>
      <c r="AE791" s="128">
        <v>1029.2264259321728</v>
      </c>
      <c r="AF791" s="128">
        <v>15.0</v>
      </c>
      <c r="AG791" s="128">
        <v>1028.3652467853935</v>
      </c>
      <c r="AH791" s="44" t="s">
        <v>61</v>
      </c>
      <c r="AI791" s="128">
        <v>1037.6165066192202</v>
      </c>
      <c r="AJ791" s="128">
        <v>34.0</v>
      </c>
      <c r="AK791" s="128">
        <v>1037.704123001101</v>
      </c>
      <c r="AL791" s="44" t="s">
        <v>27</v>
      </c>
      <c r="AM791" s="128">
        <v>1064.1629294230618</v>
      </c>
      <c r="AN791" s="128">
        <v>24.0</v>
      </c>
      <c r="AO791" s="128">
        <v>1063.7469731656533</v>
      </c>
      <c r="AP791" s="128">
        <v>15.0</v>
      </c>
      <c r="AQ791" s="128">
        <v>13.0</v>
      </c>
      <c r="AR791" s="44" t="s">
        <v>574</v>
      </c>
      <c r="AS791" s="44" t="s">
        <v>229</v>
      </c>
      <c r="AT791" s="44">
        <v>790.0</v>
      </c>
      <c r="AU791" s="44"/>
      <c r="AW791" s="93"/>
      <c r="AY791" s="93"/>
      <c r="AZ791" s="93"/>
      <c r="BA791" s="93"/>
      <c r="BB791" s="155"/>
      <c r="BC791" s="93"/>
      <c r="BE791" s="93"/>
      <c r="BG791" s="93"/>
      <c r="BH791" s="93"/>
      <c r="BI791" s="93"/>
      <c r="BJ791" s="155"/>
      <c r="BK791" s="93"/>
    </row>
    <row r="792">
      <c r="A792" s="166">
        <v>44535.05882396991</v>
      </c>
      <c r="B792" s="44" t="s">
        <v>88</v>
      </c>
      <c r="C792" s="128">
        <v>732.9675060443473</v>
      </c>
      <c r="D792" s="128">
        <v>17.0</v>
      </c>
      <c r="E792" s="128">
        <v>734.5847565685847</v>
      </c>
      <c r="F792" s="44" t="s">
        <v>47</v>
      </c>
      <c r="G792" s="128">
        <v>1028.3652467853935</v>
      </c>
      <c r="H792" s="128">
        <v>24.0</v>
      </c>
      <c r="I792" s="128">
        <v>1030.9995137206852</v>
      </c>
      <c r="J792" s="44" t="s">
        <v>61</v>
      </c>
      <c r="K792" s="128">
        <v>1037.704123001101</v>
      </c>
      <c r="L792" s="128">
        <v>13.0</v>
      </c>
      <c r="M792" s="128">
        <v>1038.3164605392487</v>
      </c>
      <c r="N792" s="44" t="s">
        <v>27</v>
      </c>
      <c r="O792" s="128">
        <v>1063.7469731656533</v>
      </c>
      <c r="P792" s="128">
        <v>26.0</v>
      </c>
      <c r="Q792" s="128">
        <v>1066.7288961632687</v>
      </c>
      <c r="R792" s="44" t="s">
        <v>245</v>
      </c>
      <c r="S792" s="128">
        <v>1086.7375436941834</v>
      </c>
      <c r="T792" s="128">
        <v>27.0</v>
      </c>
      <c r="U792" s="128">
        <v>1089.891765698891</v>
      </c>
      <c r="V792" s="44" t="s">
        <v>123</v>
      </c>
      <c r="W792" s="128">
        <v>618.0174882089538</v>
      </c>
      <c r="X792" s="128">
        <v>10.0</v>
      </c>
      <c r="Y792" s="128">
        <v>614.7346061564368</v>
      </c>
      <c r="Z792" s="44" t="s">
        <v>107</v>
      </c>
      <c r="AA792" s="128">
        <v>909.1237691804026</v>
      </c>
      <c r="AB792" s="128">
        <v>17.0</v>
      </c>
      <c r="AC792" s="128">
        <v>906.8442923700676</v>
      </c>
      <c r="AD792" s="44" t="s">
        <v>112</v>
      </c>
      <c r="AE792" s="128">
        <v>968.5503568293425</v>
      </c>
      <c r="AF792" s="128">
        <v>21.0</v>
      </c>
      <c r="AG792" s="128">
        <v>966.966707233251</v>
      </c>
      <c r="AH792" s="44" t="s">
        <v>38</v>
      </c>
      <c r="AI792" s="128">
        <v>1002.0283567620152</v>
      </c>
      <c r="AJ792" s="128">
        <v>12.0</v>
      </c>
      <c r="AK792" s="128">
        <v>998.776403439688</v>
      </c>
      <c r="AL792" s="44" t="s">
        <v>23</v>
      </c>
      <c r="AM792" s="128">
        <v>1469.9967083718548</v>
      </c>
      <c r="AN792" s="128">
        <v>27.0</v>
      </c>
      <c r="AO792" s="128">
        <v>1469.3946701531254</v>
      </c>
      <c r="AP792" s="128">
        <v>15.0</v>
      </c>
      <c r="AQ792" s="128">
        <v>13.0</v>
      </c>
      <c r="AS792" s="44" t="s">
        <v>266</v>
      </c>
      <c r="AT792" s="44">
        <v>791.0</v>
      </c>
      <c r="AU792" s="44"/>
      <c r="AW792" s="93"/>
      <c r="AY792" s="93"/>
      <c r="AZ792" s="93"/>
      <c r="BA792" s="93"/>
      <c r="BB792" s="155"/>
      <c r="BC792" s="93"/>
      <c r="BE792" s="93"/>
      <c r="BG792" s="93"/>
      <c r="BH792" s="93"/>
      <c r="BI792" s="93"/>
      <c r="BJ792" s="155"/>
      <c r="BK792" s="93"/>
    </row>
    <row r="793">
      <c r="A793" s="166">
        <v>44535.09278690972</v>
      </c>
      <c r="B793" s="44" t="s">
        <v>112</v>
      </c>
      <c r="C793" s="128">
        <v>966.966707233251</v>
      </c>
      <c r="D793" s="128">
        <v>11.0</v>
      </c>
      <c r="E793" s="128">
        <v>960.8873116504535</v>
      </c>
      <c r="F793" s="44" t="s">
        <v>38</v>
      </c>
      <c r="G793" s="128">
        <v>998.776403439688</v>
      </c>
      <c r="H793" s="128">
        <v>11.0</v>
      </c>
      <c r="I793" s="128">
        <v>992.6663404192979</v>
      </c>
      <c r="J793" s="44" t="s">
        <v>61</v>
      </c>
      <c r="K793" s="128">
        <v>1038.3164605392487</v>
      </c>
      <c r="L793" s="128">
        <v>19.0</v>
      </c>
      <c r="M793" s="128">
        <v>1035.5059191424364</v>
      </c>
      <c r="N793" s="44"/>
      <c r="O793" s="128"/>
      <c r="P793" s="128"/>
      <c r="Q793" s="128"/>
      <c r="V793" s="44" t="s">
        <v>88</v>
      </c>
      <c r="W793" s="128">
        <v>734.5847565685847</v>
      </c>
      <c r="X793" s="128">
        <v>20.0</v>
      </c>
      <c r="Y793" s="128">
        <v>739.8312054966557</v>
      </c>
      <c r="Z793" s="44" t="s">
        <v>125</v>
      </c>
      <c r="AA793" s="128">
        <v>884.811264905214</v>
      </c>
      <c r="AB793" s="128">
        <v>11.0</v>
      </c>
      <c r="AC793" s="128">
        <v>885.9592423960936</v>
      </c>
      <c r="AD793" s="44" t="s">
        <v>23</v>
      </c>
      <c r="AE793" s="128">
        <v>1469.3946701531254</v>
      </c>
      <c r="AF793" s="128">
        <v>30.0</v>
      </c>
      <c r="AG793" s="128">
        <v>1478.0002437341748</v>
      </c>
      <c r="AH793" s="44"/>
      <c r="AI793" s="128"/>
      <c r="AJ793" s="128"/>
      <c r="AK793" s="128"/>
      <c r="AP793" s="128">
        <v>10.0</v>
      </c>
      <c r="AQ793" s="128">
        <v>18.0</v>
      </c>
      <c r="AR793" s="44" t="s">
        <v>575</v>
      </c>
      <c r="AS793" s="44" t="s">
        <v>229</v>
      </c>
      <c r="AT793" s="44">
        <v>792.0</v>
      </c>
      <c r="AU793" s="44"/>
      <c r="AW793" s="93"/>
      <c r="AY793" s="93"/>
      <c r="AZ793" s="93"/>
      <c r="BA793" s="93"/>
      <c r="BB793" s="155"/>
      <c r="BC793" s="93"/>
      <c r="BE793" s="93"/>
      <c r="BG793" s="93"/>
      <c r="BH793" s="93"/>
      <c r="BI793" s="93"/>
      <c r="BJ793" s="155"/>
      <c r="BK793" s="93"/>
    </row>
    <row r="794">
      <c r="A794" s="166">
        <v>44535.90506988426</v>
      </c>
      <c r="B794" s="44" t="s">
        <v>112</v>
      </c>
      <c r="C794" s="128">
        <v>960.8873116504535</v>
      </c>
      <c r="D794" s="128">
        <v>14.0</v>
      </c>
      <c r="E794" s="128">
        <v>964.1410814828456</v>
      </c>
      <c r="F794" s="44" t="s">
        <v>47</v>
      </c>
      <c r="G794" s="128">
        <v>1030.9995137206852</v>
      </c>
      <c r="H794" s="128">
        <v>26.0</v>
      </c>
      <c r="I794" s="128">
        <v>1042.7388366246691</v>
      </c>
      <c r="J794" s="44" t="s">
        <v>61</v>
      </c>
      <c r="K794" s="128">
        <v>1035.5059191424364</v>
      </c>
      <c r="L794" s="128">
        <v>25.0</v>
      </c>
      <c r="M794" s="128">
        <v>1046.5128264060602</v>
      </c>
      <c r="N794" s="44"/>
      <c r="O794" s="128"/>
      <c r="P794" s="128"/>
      <c r="Q794" s="128"/>
      <c r="V794" s="44" t="s">
        <v>88</v>
      </c>
      <c r="W794" s="128">
        <v>739.8312054966557</v>
      </c>
      <c r="X794" s="128">
        <v>15.0</v>
      </c>
      <c r="Y794" s="128">
        <v>731.226830047747</v>
      </c>
      <c r="Z794" s="44" t="s">
        <v>92</v>
      </c>
      <c r="AA794" s="128">
        <v>924.4492632910722</v>
      </c>
      <c r="AB794" s="128">
        <v>13.0</v>
      </c>
      <c r="AC794" s="128">
        <v>913.844346058535</v>
      </c>
      <c r="AD794" s="44" t="s">
        <v>23</v>
      </c>
      <c r="AE794" s="128">
        <v>1478.0002437341748</v>
      </c>
      <c r="AF794" s="128">
        <v>19.0</v>
      </c>
      <c r="AG794" s="128">
        <v>1471.2095364156207</v>
      </c>
      <c r="AH794" s="44"/>
      <c r="AI794" s="128"/>
      <c r="AJ794" s="128"/>
      <c r="AK794" s="128"/>
      <c r="AP794" s="128">
        <v>17.0</v>
      </c>
      <c r="AQ794" s="128">
        <v>11.0</v>
      </c>
      <c r="AS794" s="44" t="s">
        <v>229</v>
      </c>
      <c r="AT794" s="44">
        <v>793.0</v>
      </c>
      <c r="AU794" s="44"/>
      <c r="AW794" s="93"/>
      <c r="AY794" s="93"/>
      <c r="AZ794" s="93"/>
      <c r="BA794" s="93"/>
      <c r="BB794" s="155"/>
      <c r="BC794" s="93"/>
      <c r="BE794" s="93"/>
      <c r="BG794" s="93"/>
      <c r="BH794" s="93"/>
      <c r="BI794" s="93"/>
      <c r="BJ794" s="155"/>
      <c r="BK794" s="93"/>
    </row>
    <row r="795">
      <c r="A795" s="166">
        <v>44535.961213692135</v>
      </c>
      <c r="B795" s="44" t="s">
        <v>92</v>
      </c>
      <c r="C795" s="128">
        <v>913.844346058535</v>
      </c>
      <c r="D795" s="128">
        <v>14.0</v>
      </c>
      <c r="E795" s="128">
        <v>913.2943392341961</v>
      </c>
      <c r="F795" s="44" t="s">
        <v>112</v>
      </c>
      <c r="G795" s="128">
        <v>964.1410814828456</v>
      </c>
      <c r="H795" s="128">
        <v>32.0</v>
      </c>
      <c r="I795" s="128">
        <v>963.960091901447</v>
      </c>
      <c r="J795" s="44" t="s">
        <v>27</v>
      </c>
      <c r="K795" s="128">
        <v>1066.7288961632687</v>
      </c>
      <c r="L795" s="128">
        <v>26.0</v>
      </c>
      <c r="M795" s="128">
        <v>1066.4133703415284</v>
      </c>
      <c r="N795" s="44" t="s">
        <v>23</v>
      </c>
      <c r="O795" s="128">
        <v>1471.2095364156207</v>
      </c>
      <c r="P795" s="128">
        <v>44.0</v>
      </c>
      <c r="Q795" s="128">
        <v>1471.1995364156207</v>
      </c>
      <c r="V795" s="44" t="s">
        <v>88</v>
      </c>
      <c r="W795" s="128">
        <v>731.226830047747</v>
      </c>
      <c r="X795" s="128">
        <v>26.0</v>
      </c>
      <c r="Y795" s="128">
        <v>731.4899699632235</v>
      </c>
      <c r="Z795" s="44" t="s">
        <v>47</v>
      </c>
      <c r="AA795" s="128">
        <v>1042.7388366246691</v>
      </c>
      <c r="AB795" s="128">
        <v>22.0</v>
      </c>
      <c r="AC795" s="128">
        <v>1042.8782157494934</v>
      </c>
      <c r="AD795" s="44" t="s">
        <v>61</v>
      </c>
      <c r="AE795" s="128">
        <v>1046.5128264060602</v>
      </c>
      <c r="AF795" s="128">
        <v>17.0</v>
      </c>
      <c r="AG795" s="128">
        <v>1046.5477431189336</v>
      </c>
      <c r="AH795" s="44" t="s">
        <v>35</v>
      </c>
      <c r="AI795" s="128">
        <v>1576.1907062475354</v>
      </c>
      <c r="AJ795" s="128">
        <v>43.0</v>
      </c>
      <c r="AK795" s="128">
        <v>1576.7532704943612</v>
      </c>
      <c r="AP795" s="128">
        <v>21.0</v>
      </c>
      <c r="AQ795" s="128">
        <v>21.0</v>
      </c>
      <c r="AS795" s="44" t="s">
        <v>362</v>
      </c>
      <c r="AT795" s="44">
        <v>794.0</v>
      </c>
      <c r="AU795" s="44"/>
      <c r="AW795" s="93"/>
      <c r="AY795" s="93"/>
      <c r="AZ795" s="93"/>
      <c r="BA795" s="93"/>
      <c r="BB795" s="155"/>
      <c r="BC795" s="93"/>
      <c r="BE795" s="93"/>
      <c r="BG795" s="93"/>
      <c r="BH795" s="93"/>
      <c r="BI795" s="93"/>
      <c r="BJ795" s="155"/>
      <c r="BK795" s="93"/>
    </row>
    <row r="796">
      <c r="A796" s="166">
        <v>44536.002016597224</v>
      </c>
      <c r="B796" s="44" t="s">
        <v>92</v>
      </c>
      <c r="C796" s="128">
        <v>913.2943392341961</v>
      </c>
      <c r="D796" s="128">
        <v>11.0</v>
      </c>
      <c r="E796" s="128">
        <v>909.2852487761559</v>
      </c>
      <c r="F796" s="44" t="s">
        <v>112</v>
      </c>
      <c r="G796" s="128">
        <v>963.960091901447</v>
      </c>
      <c r="H796" s="128">
        <v>16.0</v>
      </c>
      <c r="I796" s="128">
        <v>960.9539185455435</v>
      </c>
      <c r="J796" s="44" t="s">
        <v>572</v>
      </c>
      <c r="K796" s="128">
        <v>1001.7084265576375</v>
      </c>
      <c r="L796" s="128">
        <v>17.0</v>
      </c>
      <c r="M796" s="128">
        <v>998.8854397303426</v>
      </c>
      <c r="N796" s="44" t="s">
        <v>245</v>
      </c>
      <c r="O796" s="128">
        <v>1089.891765698891</v>
      </c>
      <c r="P796" s="128">
        <v>30.0</v>
      </c>
      <c r="Q796" s="128">
        <v>1089.7300163401296</v>
      </c>
      <c r="V796" s="44" t="s">
        <v>88</v>
      </c>
      <c r="W796" s="128">
        <v>731.4899699632235</v>
      </c>
      <c r="X796" s="128">
        <v>17.0</v>
      </c>
      <c r="Y796" s="128">
        <v>733.6072280296523</v>
      </c>
      <c r="Z796" s="44" t="s">
        <v>34</v>
      </c>
      <c r="AA796" s="128">
        <v>885.12026235686</v>
      </c>
      <c r="AB796" s="128">
        <v>20.0</v>
      </c>
      <c r="AC796" s="128">
        <v>887.6843357130957</v>
      </c>
      <c r="AD796" s="44" t="s">
        <v>125</v>
      </c>
      <c r="AE796" s="128">
        <v>885.9592423960936</v>
      </c>
      <c r="AF796" s="128">
        <v>11.0</v>
      </c>
      <c r="AG796" s="128">
        <v>886.6475074962175</v>
      </c>
      <c r="AH796" s="44" t="s">
        <v>23</v>
      </c>
      <c r="AI796" s="128">
        <v>1471.1995364156207</v>
      </c>
      <c r="AJ796" s="128">
        <v>31.0</v>
      </c>
      <c r="AK796" s="128">
        <v>1475.8299398928325</v>
      </c>
      <c r="AP796" s="128">
        <v>13.0</v>
      </c>
      <c r="AQ796" s="128">
        <v>15.0</v>
      </c>
      <c r="AS796" s="44" t="s">
        <v>244</v>
      </c>
      <c r="AT796" s="44">
        <v>795.0</v>
      </c>
      <c r="AU796" s="44"/>
      <c r="AW796" s="93"/>
      <c r="AY796" s="93"/>
      <c r="AZ796" s="93"/>
      <c r="BA796" s="93"/>
      <c r="BB796" s="155"/>
      <c r="BC796" s="93"/>
      <c r="BE796" s="93"/>
      <c r="BG796" s="93"/>
      <c r="BH796" s="93"/>
      <c r="BI796" s="93"/>
      <c r="BJ796" s="155"/>
      <c r="BK796" s="93"/>
    </row>
    <row r="797">
      <c r="A797" s="166">
        <v>44536.892243344904</v>
      </c>
      <c r="B797" s="44" t="s">
        <v>38</v>
      </c>
      <c r="C797" s="128">
        <v>992.6663404192979</v>
      </c>
      <c r="D797" s="128">
        <v>14.0</v>
      </c>
      <c r="E797" s="128">
        <v>983.2356256740163</v>
      </c>
      <c r="F797" s="44" t="s">
        <v>61</v>
      </c>
      <c r="G797" s="128">
        <v>1046.5477431189336</v>
      </c>
      <c r="H797" s="128">
        <v>14.0</v>
      </c>
      <c r="I797" s="128">
        <v>1037.0274815577616</v>
      </c>
      <c r="J797" s="44" t="s">
        <v>27</v>
      </c>
      <c r="K797" s="128">
        <v>1066.4133703415284</v>
      </c>
      <c r="L797" s="128">
        <v>16.0</v>
      </c>
      <c r="M797" s="128">
        <v>1058.364346647982</v>
      </c>
      <c r="N797" s="44"/>
      <c r="O797" s="128"/>
      <c r="P797" s="128"/>
      <c r="Q797" s="128"/>
      <c r="V797" s="44" t="s">
        <v>88</v>
      </c>
      <c r="W797" s="128">
        <v>733.6072280296523</v>
      </c>
      <c r="X797" s="128">
        <v>11.0</v>
      </c>
      <c r="Y797" s="128">
        <v>736.3462870816801</v>
      </c>
      <c r="Z797" s="44" t="s">
        <v>92</v>
      </c>
      <c r="AA797" s="128">
        <v>909.2852487761559</v>
      </c>
      <c r="AB797" s="128">
        <v>14.0</v>
      </c>
      <c r="AC797" s="128">
        <v>913.5446117641045</v>
      </c>
      <c r="AD797" s="44" t="s">
        <v>35</v>
      </c>
      <c r="AE797" s="128">
        <v>1576.7532704943612</v>
      </c>
      <c r="AF797" s="128">
        <v>36.0</v>
      </c>
      <c r="AG797" s="128">
        <v>1596.7548484543847</v>
      </c>
      <c r="AH797" s="44"/>
      <c r="AI797" s="128"/>
      <c r="AJ797" s="128"/>
      <c r="AK797" s="128"/>
      <c r="AP797" s="128">
        <v>9.0</v>
      </c>
      <c r="AQ797" s="128">
        <v>19.0</v>
      </c>
      <c r="AS797" s="44" t="s">
        <v>229</v>
      </c>
      <c r="AT797" s="44">
        <v>796.0</v>
      </c>
      <c r="AU797" s="44"/>
      <c r="AW797" s="93"/>
      <c r="AY797" s="93"/>
      <c r="AZ797" s="93"/>
      <c r="BA797" s="93"/>
      <c r="BB797" s="155"/>
      <c r="BC797" s="93"/>
      <c r="BE797" s="93"/>
      <c r="BG797" s="93"/>
      <c r="BH797" s="93"/>
      <c r="BI797" s="93"/>
      <c r="BJ797" s="155"/>
      <c r="BK797" s="93"/>
    </row>
    <row r="798">
      <c r="A798" s="166">
        <v>44536.93531159722</v>
      </c>
      <c r="B798" s="44" t="s">
        <v>123</v>
      </c>
      <c r="C798" s="128">
        <v>614.7346061564368</v>
      </c>
      <c r="D798" s="128">
        <v>6.0</v>
      </c>
      <c r="E798" s="128">
        <v>598.9372070276211</v>
      </c>
      <c r="F798" s="44" t="s">
        <v>88</v>
      </c>
      <c r="G798" s="128">
        <v>736.3462870816801</v>
      </c>
      <c r="H798" s="128">
        <v>17.0</v>
      </c>
      <c r="I798" s="128">
        <v>728.261373461317</v>
      </c>
      <c r="J798" s="44" t="s">
        <v>38</v>
      </c>
      <c r="K798" s="128">
        <v>983.2356256740163</v>
      </c>
      <c r="L798" s="128">
        <v>7.0</v>
      </c>
      <c r="M798" s="128">
        <v>966.8952138662676</v>
      </c>
      <c r="N798" s="44" t="s">
        <v>35</v>
      </c>
      <c r="O798" s="128">
        <v>1596.7548484543847</v>
      </c>
      <c r="P798" s="128">
        <v>35.0</v>
      </c>
      <c r="Q798" s="128">
        <v>1596.7448484543847</v>
      </c>
      <c r="V798" s="44" t="s">
        <v>92</v>
      </c>
      <c r="W798" s="128">
        <v>913.5446117641045</v>
      </c>
      <c r="X798" s="128">
        <v>18.0</v>
      </c>
      <c r="Y798" s="128">
        <v>919.0344896543838</v>
      </c>
      <c r="Z798" s="44" t="s">
        <v>112</v>
      </c>
      <c r="AA798" s="128">
        <v>960.9539185455435</v>
      </c>
      <c r="AB798" s="128">
        <v>28.0</v>
      </c>
      <c r="AC798" s="128">
        <v>973.7826695357771</v>
      </c>
      <c r="AD798" s="44" t="s">
        <v>61</v>
      </c>
      <c r="AE798" s="128">
        <v>1037.0274815577616</v>
      </c>
      <c r="AF798" s="128">
        <v>22.0</v>
      </c>
      <c r="AG798" s="128">
        <v>1045.143244094952</v>
      </c>
      <c r="AH798" s="44" t="s">
        <v>27</v>
      </c>
      <c r="AI798" s="128">
        <v>1058.364346647982</v>
      </c>
      <c r="AJ798" s="128">
        <v>24.0</v>
      </c>
      <c r="AK798" s="128">
        <v>1067.9299552302787</v>
      </c>
      <c r="AP798" s="128">
        <v>7.0</v>
      </c>
      <c r="AQ798" s="128">
        <v>21.0</v>
      </c>
      <c r="AS798" s="44" t="s">
        <v>253</v>
      </c>
      <c r="AT798" s="44">
        <v>797.0</v>
      </c>
      <c r="AU798" s="44"/>
      <c r="AW798" s="93"/>
      <c r="AY798" s="93"/>
      <c r="AZ798" s="93"/>
      <c r="BA798" s="93"/>
      <c r="BB798" s="155"/>
      <c r="BC798" s="93"/>
      <c r="BE798" s="93"/>
      <c r="BG798" s="93"/>
      <c r="BH798" s="93"/>
      <c r="BI798" s="93"/>
      <c r="BJ798" s="155"/>
      <c r="BK798" s="93"/>
    </row>
    <row r="799">
      <c r="A799" s="166">
        <v>44536.98198871528</v>
      </c>
      <c r="B799" s="44" t="s">
        <v>88</v>
      </c>
      <c r="C799" s="128">
        <v>728.261373461317</v>
      </c>
      <c r="D799" s="128">
        <v>17.0</v>
      </c>
      <c r="E799" s="128">
        <v>723.5979065829375</v>
      </c>
      <c r="F799" s="44" t="s">
        <v>125</v>
      </c>
      <c r="G799" s="128">
        <v>886.6475074962175</v>
      </c>
      <c r="H799" s="128">
        <v>8.0</v>
      </c>
      <c r="I799" s="128">
        <v>878.1171608552627</v>
      </c>
      <c r="J799" s="44" t="s">
        <v>34</v>
      </c>
      <c r="K799" s="128">
        <v>887.6843357130957</v>
      </c>
      <c r="L799" s="128">
        <v>19.0</v>
      </c>
      <c r="M799" s="128">
        <v>883.5065075616441</v>
      </c>
      <c r="N799" s="44" t="s">
        <v>27</v>
      </c>
      <c r="O799" s="128">
        <v>1067.9299552302787</v>
      </c>
      <c r="P799" s="128">
        <v>26.0</v>
      </c>
      <c r="Q799" s="128">
        <v>1066.3015969010646</v>
      </c>
      <c r="V799" s="44" t="s">
        <v>123</v>
      </c>
      <c r="W799" s="128">
        <v>598.9372070276211</v>
      </c>
      <c r="X799" s="128">
        <v>13.0</v>
      </c>
      <c r="Y799" s="128">
        <v>601.2209101525569</v>
      </c>
      <c r="Z799" s="44" t="s">
        <v>38</v>
      </c>
      <c r="AA799" s="128">
        <v>966.8952138662676</v>
      </c>
      <c r="AB799" s="128">
        <v>21.0</v>
      </c>
      <c r="AC799" s="128">
        <v>971.4502739647545</v>
      </c>
      <c r="AD799" s="44" t="s">
        <v>112</v>
      </c>
      <c r="AE799" s="128">
        <v>973.7826695357771</v>
      </c>
      <c r="AF799" s="128">
        <v>25.0</v>
      </c>
      <c r="AG799" s="128">
        <v>979.9106698172408</v>
      </c>
      <c r="AH799" s="44" t="s">
        <v>61</v>
      </c>
      <c r="AI799" s="128">
        <v>1045.143244094952</v>
      </c>
      <c r="AJ799" s="128">
        <v>25.0</v>
      </c>
      <c r="AK799" s="128">
        <v>1051.1764805900655</v>
      </c>
      <c r="AP799" s="128">
        <v>11.0</v>
      </c>
      <c r="AQ799" s="128">
        <v>17.0</v>
      </c>
      <c r="AS799" s="44" t="s">
        <v>229</v>
      </c>
      <c r="AT799" s="44">
        <v>798.0</v>
      </c>
      <c r="AU799" s="44"/>
      <c r="AW799" s="93"/>
      <c r="AY799" s="93"/>
      <c r="AZ799" s="93"/>
      <c r="BA799" s="93"/>
      <c r="BB799" s="155"/>
      <c r="BC799" s="93"/>
      <c r="BE799" s="93"/>
      <c r="BG799" s="93"/>
      <c r="BH799" s="93"/>
      <c r="BI799" s="93"/>
      <c r="BJ799" s="155"/>
      <c r="BK799" s="93"/>
    </row>
    <row r="800">
      <c r="A800" s="166">
        <v>44537.013791122685</v>
      </c>
      <c r="B800" s="44" t="s">
        <v>123</v>
      </c>
      <c r="C800" s="128">
        <v>601.2209101525569</v>
      </c>
      <c r="D800" s="128">
        <v>12.0</v>
      </c>
      <c r="E800" s="128">
        <v>591.4374163275304</v>
      </c>
      <c r="F800" s="44" t="s">
        <v>38</v>
      </c>
      <c r="G800" s="128">
        <v>971.4502739647545</v>
      </c>
      <c r="H800" s="128">
        <v>17.0</v>
      </c>
      <c r="I800" s="128">
        <v>963.5761359480819</v>
      </c>
      <c r="J800" s="44" t="s">
        <v>61</v>
      </c>
      <c r="K800" s="128">
        <v>1051.1764805900655</v>
      </c>
      <c r="L800" s="128">
        <v>23.0</v>
      </c>
      <c r="M800" s="128">
        <v>1046.8341124317647</v>
      </c>
      <c r="N800" s="44"/>
      <c r="O800" s="128"/>
      <c r="P800" s="128"/>
      <c r="Q800" s="128"/>
      <c r="V800" s="44" t="s">
        <v>88</v>
      </c>
      <c r="W800" s="128">
        <v>723.5979065829375</v>
      </c>
      <c r="X800" s="128">
        <v>22.0</v>
      </c>
      <c r="Y800" s="128">
        <v>732.5947793074488</v>
      </c>
      <c r="Z800" s="44" t="s">
        <v>125</v>
      </c>
      <c r="AA800" s="128">
        <v>878.1171608552627</v>
      </c>
      <c r="AB800" s="128">
        <v>16.0</v>
      </c>
      <c r="AC800" s="128">
        <v>882.913454867278</v>
      </c>
      <c r="AD800" s="44" t="s">
        <v>112</v>
      </c>
      <c r="AE800" s="128">
        <v>979.9106698172408</v>
      </c>
      <c r="AF800" s="128">
        <v>22.0</v>
      </c>
      <c r="AG800" s="128">
        <v>988.1175030807142</v>
      </c>
      <c r="AH800" s="44"/>
      <c r="AI800" s="128"/>
      <c r="AJ800" s="128"/>
      <c r="AK800" s="128"/>
      <c r="AP800" s="128">
        <v>12.0</v>
      </c>
      <c r="AQ800" s="128">
        <v>16.0</v>
      </c>
      <c r="AS800" s="44" t="s">
        <v>360</v>
      </c>
      <c r="AT800" s="44">
        <v>799.0</v>
      </c>
      <c r="AU800" s="44"/>
      <c r="AW800" s="93"/>
      <c r="AY800" s="93"/>
      <c r="AZ800" s="93"/>
      <c r="BA800" s="93"/>
      <c r="BB800" s="155"/>
      <c r="BC800" s="93"/>
      <c r="BE800" s="93"/>
      <c r="BG800" s="93"/>
      <c r="BH800" s="93"/>
      <c r="BI800" s="93"/>
      <c r="BJ800" s="155"/>
      <c r="BK800" s="93"/>
    </row>
    <row r="801">
      <c r="A801" s="166">
        <v>44539.00978057871</v>
      </c>
      <c r="B801" s="44" t="s">
        <v>88</v>
      </c>
      <c r="C801" s="128">
        <v>732.5947793074488</v>
      </c>
      <c r="D801" s="128">
        <v>17.0</v>
      </c>
      <c r="E801" s="128">
        <v>733.2907272647192</v>
      </c>
      <c r="F801" s="44" t="s">
        <v>34</v>
      </c>
      <c r="G801" s="128">
        <v>883.5065075616441</v>
      </c>
      <c r="H801" s="128">
        <v>18.0</v>
      </c>
      <c r="I801" s="128">
        <v>884.2088854396899</v>
      </c>
      <c r="J801" s="44" t="s">
        <v>35</v>
      </c>
      <c r="K801" s="128">
        <v>1596.7448484543847</v>
      </c>
      <c r="L801" s="128">
        <v>30.0</v>
      </c>
      <c r="M801" s="128">
        <v>1598.3465226190685</v>
      </c>
      <c r="N801" s="44"/>
      <c r="O801" s="128"/>
      <c r="P801" s="128"/>
      <c r="Q801" s="128"/>
      <c r="V801" s="44" t="s">
        <v>107</v>
      </c>
      <c r="W801" s="128">
        <v>906.8442923700676</v>
      </c>
      <c r="X801" s="128">
        <v>19.0</v>
      </c>
      <c r="Y801" s="128">
        <v>905.9993528723526</v>
      </c>
      <c r="Z801" s="44" t="s">
        <v>112</v>
      </c>
      <c r="AA801" s="128">
        <v>988.1175030807142</v>
      </c>
      <c r="AB801" s="128">
        <v>20.0</v>
      </c>
      <c r="AC801" s="128">
        <v>987.3330759114269</v>
      </c>
      <c r="AD801" s="44" t="s">
        <v>576</v>
      </c>
      <c r="AE801" s="128">
        <v>1000.0</v>
      </c>
      <c r="AF801" s="128">
        <v>13.0</v>
      </c>
      <c r="AG801" s="128">
        <v>998.6293666670023</v>
      </c>
      <c r="AH801" s="44"/>
      <c r="AI801" s="128"/>
      <c r="AJ801" s="128"/>
      <c r="AK801" s="128"/>
      <c r="AP801" s="128">
        <v>14.0</v>
      </c>
      <c r="AQ801" s="128">
        <v>13.0</v>
      </c>
      <c r="AS801" s="44" t="s">
        <v>229</v>
      </c>
      <c r="AT801" s="44">
        <v>800.0</v>
      </c>
      <c r="AU801" s="44"/>
      <c r="AW801" s="93"/>
      <c r="AY801" s="93"/>
      <c r="AZ801" s="93"/>
      <c r="BA801" s="93"/>
      <c r="BB801" s="155"/>
      <c r="BC801" s="93"/>
      <c r="BE801" s="93"/>
      <c r="BG801" s="93"/>
      <c r="BH801" s="93"/>
      <c r="BI801" s="93"/>
      <c r="BJ801" s="155"/>
      <c r="BK801" s="93"/>
    </row>
    <row r="802">
      <c r="A802" s="166">
        <v>44540.949900300926</v>
      </c>
      <c r="B802" s="44" t="s">
        <v>123</v>
      </c>
      <c r="C802" s="128">
        <v>591.4374163275304</v>
      </c>
      <c r="D802" s="128">
        <v>9.0</v>
      </c>
      <c r="E802" s="128">
        <v>582.0615502150044</v>
      </c>
      <c r="F802" s="44" t="s">
        <v>92</v>
      </c>
      <c r="G802" s="128">
        <v>919.0344896543838</v>
      </c>
      <c r="H802" s="128">
        <v>22.0</v>
      </c>
      <c r="I802" s="128">
        <v>915.5662607077386</v>
      </c>
      <c r="J802" s="44" t="s">
        <v>576</v>
      </c>
      <c r="K802" s="128">
        <v>998.6293666670023</v>
      </c>
      <c r="L802" s="128">
        <v>20.0</v>
      </c>
      <c r="M802" s="128">
        <v>993.9916406582</v>
      </c>
      <c r="N802" s="44" t="s">
        <v>23</v>
      </c>
      <c r="O802" s="128">
        <v>1475.8299398928325</v>
      </c>
      <c r="P802" s="128">
        <v>15.0</v>
      </c>
      <c r="Q802" s="128">
        <v>1468.311760960806</v>
      </c>
      <c r="V802" s="44" t="s">
        <v>88</v>
      </c>
      <c r="W802" s="128">
        <v>733.2907272647192</v>
      </c>
      <c r="X802" s="128">
        <v>21.0</v>
      </c>
      <c r="Y802" s="128">
        <v>738.767813407225</v>
      </c>
      <c r="Z802" s="44" t="s">
        <v>47</v>
      </c>
      <c r="AA802" s="128">
        <v>1042.8782157494934</v>
      </c>
      <c r="AB802" s="128">
        <v>25.0</v>
      </c>
      <c r="AC802" s="128">
        <v>1049.5745363875367</v>
      </c>
      <c r="AD802" s="44" t="s">
        <v>61</v>
      </c>
      <c r="AE802" s="128">
        <v>1046.8341124317647</v>
      </c>
      <c r="AF802" s="128">
        <v>30.0</v>
      </c>
      <c r="AG802" s="128">
        <v>1056.1278606299268</v>
      </c>
      <c r="AH802" s="44" t="s">
        <v>27</v>
      </c>
      <c r="AI802" s="128">
        <v>1066.3015969010646</v>
      </c>
      <c r="AJ802" s="128">
        <v>19.0</v>
      </c>
      <c r="AK802" s="128">
        <v>1069.8344419223533</v>
      </c>
      <c r="AP802" s="128">
        <v>10.0</v>
      </c>
      <c r="AQ802" s="128">
        <v>18.0</v>
      </c>
      <c r="AT802" s="44">
        <v>801.0</v>
      </c>
      <c r="AU802" s="44"/>
      <c r="AW802" s="93"/>
      <c r="AY802" s="93"/>
      <c r="AZ802" s="93"/>
      <c r="BA802" s="93"/>
      <c r="BB802" s="155"/>
      <c r="BC802" s="93"/>
      <c r="BE802" s="93"/>
      <c r="BG802" s="93"/>
      <c r="BH802" s="93"/>
      <c r="BI802" s="93"/>
      <c r="BJ802" s="155"/>
      <c r="BK802" s="93"/>
    </row>
    <row r="803">
      <c r="A803" s="166">
        <v>44540.99061807871</v>
      </c>
      <c r="B803" s="44" t="s">
        <v>123</v>
      </c>
      <c r="C803" s="128">
        <v>582.0615502150044</v>
      </c>
      <c r="D803" s="128">
        <v>12.0</v>
      </c>
      <c r="E803" s="128">
        <v>582.0715502150044</v>
      </c>
      <c r="F803" s="44" t="s">
        <v>112</v>
      </c>
      <c r="G803" s="128">
        <v>987.3330759114269</v>
      </c>
      <c r="H803" s="128">
        <v>15.0</v>
      </c>
      <c r="I803" s="128">
        <v>987.3430759114269</v>
      </c>
      <c r="J803" s="44" t="s">
        <v>47</v>
      </c>
      <c r="K803" s="128">
        <v>1049.5745363875367</v>
      </c>
      <c r="L803" s="128">
        <v>25.0</v>
      </c>
      <c r="M803" s="128">
        <v>1049.5845363875367</v>
      </c>
      <c r="N803" s="44" t="s">
        <v>61</v>
      </c>
      <c r="O803" s="128">
        <v>1056.1278606299268</v>
      </c>
      <c r="P803" s="128">
        <v>24.0</v>
      </c>
      <c r="Q803" s="128">
        <v>1056.1378606299268</v>
      </c>
      <c r="V803" s="44" t="s">
        <v>88</v>
      </c>
      <c r="W803" s="128">
        <v>738.767813407225</v>
      </c>
      <c r="X803" s="128">
        <v>27.0</v>
      </c>
      <c r="Y803" s="128">
        <v>738.767813407225</v>
      </c>
      <c r="Z803" s="44" t="s">
        <v>92</v>
      </c>
      <c r="AA803" s="128">
        <v>915.5662607077386</v>
      </c>
      <c r="AB803" s="128">
        <v>20.0</v>
      </c>
      <c r="AC803" s="128">
        <v>915.5662607077386</v>
      </c>
      <c r="AD803" s="44" t="s">
        <v>38</v>
      </c>
      <c r="AE803" s="128">
        <v>963.5761359480819</v>
      </c>
      <c r="AF803" s="128">
        <v>15.0</v>
      </c>
      <c r="AG803" s="128">
        <v>963.5761359480819</v>
      </c>
      <c r="AH803" s="44" t="s">
        <v>27</v>
      </c>
      <c r="AI803" s="128">
        <v>1069.8344419223533</v>
      </c>
      <c r="AJ803" s="128">
        <v>20.0</v>
      </c>
      <c r="AK803" s="128">
        <v>1069.8344419223533</v>
      </c>
      <c r="AP803" s="128">
        <v>14.0</v>
      </c>
      <c r="AQ803" s="128">
        <v>14.0</v>
      </c>
      <c r="AT803" s="44">
        <v>802.0</v>
      </c>
      <c r="AU803" s="44"/>
      <c r="AW803" s="93"/>
      <c r="AY803" s="93"/>
      <c r="AZ803" s="93"/>
      <c r="BA803" s="93"/>
      <c r="BB803" s="155"/>
      <c r="BC803" s="93"/>
      <c r="BE803" s="93"/>
      <c r="BG803" s="93"/>
      <c r="BH803" s="93"/>
      <c r="BI803" s="93"/>
      <c r="BJ803" s="155"/>
      <c r="BK803" s="93"/>
    </row>
    <row r="804">
      <c r="A804" s="166">
        <v>44541.02802545139</v>
      </c>
      <c r="B804" s="44" t="s">
        <v>112</v>
      </c>
      <c r="C804" s="128">
        <v>987.3430759114269</v>
      </c>
      <c r="D804" s="128">
        <v>30.0</v>
      </c>
      <c r="E804" s="128">
        <v>993.2182327374844</v>
      </c>
      <c r="F804" s="44" t="s">
        <v>576</v>
      </c>
      <c r="G804" s="128">
        <v>993.9916406582</v>
      </c>
      <c r="H804" s="128">
        <v>10.0</v>
      </c>
      <c r="I804" s="128">
        <v>994.0016406582</v>
      </c>
      <c r="J804" s="44" t="s">
        <v>47</v>
      </c>
      <c r="K804" s="128">
        <v>1049.5845363875367</v>
      </c>
      <c r="L804" s="128">
        <v>20.0</v>
      </c>
      <c r="M804" s="128">
        <v>1052.2235494089343</v>
      </c>
      <c r="N804" s="44" t="s">
        <v>61</v>
      </c>
      <c r="O804" s="128">
        <v>1056.1378606299268</v>
      </c>
      <c r="P804" s="128">
        <v>29.0</v>
      </c>
      <c r="Q804" s="128">
        <v>1061.6204233082503</v>
      </c>
      <c r="R804" s="44" t="s">
        <v>27</v>
      </c>
      <c r="S804" s="128">
        <v>1069.8344419223533</v>
      </c>
      <c r="T804" s="128">
        <v>29.0</v>
      </c>
      <c r="U804" s="128">
        <v>1075.30403500419</v>
      </c>
      <c r="V804" s="44" t="s">
        <v>125</v>
      </c>
      <c r="W804" s="128">
        <v>882.913454867278</v>
      </c>
      <c r="X804" s="128">
        <v>14.0</v>
      </c>
      <c r="Y804" s="128">
        <v>876.9442470383729</v>
      </c>
      <c r="Z804" s="44" t="s">
        <v>107</v>
      </c>
      <c r="AA804" s="128">
        <v>905.9993528723526</v>
      </c>
      <c r="AB804" s="128">
        <v>24.0</v>
      </c>
      <c r="AC804" s="128">
        <v>903.1626886362473</v>
      </c>
      <c r="AD804" s="44" t="s">
        <v>92</v>
      </c>
      <c r="AE804" s="128">
        <v>915.5662607077386</v>
      </c>
      <c r="AF804" s="128">
        <v>20.0</v>
      </c>
      <c r="AG804" s="128">
        <v>911.4493971398746</v>
      </c>
      <c r="AH804" s="44" t="s">
        <v>38</v>
      </c>
      <c r="AI804" s="128">
        <v>963.5761359480819</v>
      </c>
      <c r="AJ804" s="128">
        <v>19.0</v>
      </c>
      <c r="AK804" s="128">
        <v>959.080000211236</v>
      </c>
      <c r="AL804" s="44" t="s">
        <v>23</v>
      </c>
      <c r="AM804" s="128">
        <v>1468.311760960806</v>
      </c>
      <c r="AN804" s="128">
        <v>29.0</v>
      </c>
      <c r="AO804" s="128">
        <v>1466.7306323305263</v>
      </c>
      <c r="AP804" s="128">
        <v>16.0</v>
      </c>
      <c r="AQ804" s="128">
        <v>12.0</v>
      </c>
      <c r="AT804" s="44">
        <v>803.0</v>
      </c>
      <c r="AU804" s="44"/>
      <c r="AV804" s="44" t="s">
        <v>123</v>
      </c>
      <c r="AW804" s="45">
        <v>582.0715502150044</v>
      </c>
      <c r="AX804" s="44">
        <v>10.0</v>
      </c>
      <c r="AY804" s="145">
        <v>582.08</v>
      </c>
      <c r="AZ804" s="93"/>
      <c r="BA804" s="93"/>
      <c r="BB804" s="155"/>
      <c r="BC804" s="93"/>
      <c r="BD804" s="44" t="s">
        <v>88</v>
      </c>
      <c r="BE804" s="45">
        <v>738.767813407225</v>
      </c>
      <c r="BF804" s="44">
        <v>17.0</v>
      </c>
      <c r="BG804" s="145">
        <v>734.55</v>
      </c>
      <c r="BH804" s="93"/>
      <c r="BI804" s="93"/>
      <c r="BJ804" s="155"/>
      <c r="BK804" s="93"/>
    </row>
    <row r="805">
      <c r="A805" s="166">
        <v>44541.067658541666</v>
      </c>
      <c r="B805" s="44" t="s">
        <v>123</v>
      </c>
      <c r="C805" s="128">
        <v>582.078</v>
      </c>
      <c r="D805" s="128">
        <v>7.0</v>
      </c>
      <c r="E805" s="128">
        <v>582.3514897508284</v>
      </c>
      <c r="F805" s="44" t="s">
        <v>88</v>
      </c>
      <c r="G805" s="128">
        <v>734.55</v>
      </c>
      <c r="H805" s="128">
        <v>20.0</v>
      </c>
      <c r="I805" s="128">
        <v>738.7876138174531</v>
      </c>
      <c r="J805" s="44" t="s">
        <v>112</v>
      </c>
      <c r="K805" s="128">
        <v>993.2182327374844</v>
      </c>
      <c r="L805" s="128">
        <v>23.0</v>
      </c>
      <c r="M805" s="128">
        <v>998.0367945948801</v>
      </c>
      <c r="N805" s="44" t="s">
        <v>27</v>
      </c>
      <c r="O805" s="128">
        <v>1075.30403500419</v>
      </c>
      <c r="P805" s="128">
        <v>29.0</v>
      </c>
      <c r="Q805" s="128">
        <v>1082.0428720665338</v>
      </c>
      <c r="R805" s="44" t="s">
        <v>23</v>
      </c>
      <c r="S805" s="128">
        <v>1466.7306323305263</v>
      </c>
      <c r="T805" s="128">
        <v>21.0</v>
      </c>
      <c r="U805" s="128">
        <v>1470.662129842505</v>
      </c>
      <c r="V805" s="44" t="s">
        <v>125</v>
      </c>
      <c r="W805" s="128">
        <v>876.9442470383729</v>
      </c>
      <c r="X805" s="128">
        <v>17.0</v>
      </c>
      <c r="Y805" s="128">
        <v>873.0431050530914</v>
      </c>
      <c r="Z805" s="44" t="s">
        <v>107</v>
      </c>
      <c r="AA805" s="128">
        <v>903.1626886362473</v>
      </c>
      <c r="AB805" s="128">
        <v>11.0</v>
      </c>
      <c r="AC805" s="128">
        <v>897.2285270603279</v>
      </c>
      <c r="AD805" s="44" t="s">
        <v>38</v>
      </c>
      <c r="AE805" s="128">
        <v>959.080000211236</v>
      </c>
      <c r="AF805" s="128">
        <v>21.0</v>
      </c>
      <c r="AG805" s="128">
        <v>956.4162225919333</v>
      </c>
      <c r="AH805" s="44" t="s">
        <v>47</v>
      </c>
      <c r="AI805" s="128">
        <v>1052.2235494089343</v>
      </c>
      <c r="AJ805" s="128">
        <v>13.0</v>
      </c>
      <c r="AK805" s="128">
        <v>1046.809908799028</v>
      </c>
      <c r="AL805" s="44" t="s">
        <v>61</v>
      </c>
      <c r="AM805" s="128">
        <v>1061.6204233082503</v>
      </c>
      <c r="AN805" s="128">
        <v>23.0</v>
      </c>
      <c r="AO805" s="128">
        <v>1059.53314509866</v>
      </c>
      <c r="AP805" s="128">
        <v>18.0</v>
      </c>
      <c r="AQ805" s="128">
        <v>10.0</v>
      </c>
      <c r="AT805" s="44">
        <v>804.0</v>
      </c>
      <c r="AU805" s="44"/>
      <c r="AW805" s="93"/>
      <c r="AY805" s="93"/>
      <c r="AZ805" s="93"/>
      <c r="BA805" s="93"/>
      <c r="BB805" s="155"/>
      <c r="BC805" s="93"/>
      <c r="BE805" s="93"/>
      <c r="BG805" s="93"/>
      <c r="BH805" s="93"/>
      <c r="BI805" s="93"/>
      <c r="BJ805" s="155"/>
      <c r="BK805" s="93"/>
    </row>
    <row r="806">
      <c r="A806" s="166">
        <v>44543.000587800925</v>
      </c>
      <c r="B806" s="44" t="s">
        <v>88</v>
      </c>
      <c r="C806" s="128">
        <v>738.7876138174531</v>
      </c>
      <c r="D806" s="128">
        <v>19.0</v>
      </c>
      <c r="E806" s="128">
        <v>742.7829015565848</v>
      </c>
      <c r="F806" s="44" t="s">
        <v>92</v>
      </c>
      <c r="G806" s="128">
        <v>911.4493971398746</v>
      </c>
      <c r="H806" s="128">
        <v>14.0</v>
      </c>
      <c r="I806" s="128">
        <v>913.6571217111846</v>
      </c>
      <c r="J806" s="44" t="s">
        <v>27</v>
      </c>
      <c r="K806" s="128">
        <v>1082.0428720665338</v>
      </c>
      <c r="L806" s="128">
        <v>23.0</v>
      </c>
      <c r="M806" s="128">
        <v>1086.8398597560922</v>
      </c>
      <c r="N806" s="44"/>
      <c r="O806" s="128"/>
      <c r="P806" s="128"/>
      <c r="Q806" s="128"/>
      <c r="V806" s="44" t="s">
        <v>125</v>
      </c>
      <c r="W806" s="128">
        <v>873.0431050530914</v>
      </c>
      <c r="X806" s="128">
        <v>16.0</v>
      </c>
      <c r="Y806" s="128">
        <v>868.7198367876443</v>
      </c>
      <c r="Z806" s="44" t="s">
        <v>107</v>
      </c>
      <c r="AA806" s="128">
        <v>897.2285270603279</v>
      </c>
      <c r="AB806" s="128">
        <v>21.0</v>
      </c>
      <c r="AC806" s="128">
        <v>894.4023418018743</v>
      </c>
      <c r="AD806" s="44" t="s">
        <v>112</v>
      </c>
      <c r="AE806" s="128">
        <v>998.0367945948801</v>
      </c>
      <c r="AF806" s="128">
        <v>18.0</v>
      </c>
      <c r="AG806" s="128">
        <v>994.1862481187807</v>
      </c>
      <c r="AH806" s="44"/>
      <c r="AI806" s="128"/>
      <c r="AJ806" s="128"/>
      <c r="AK806" s="128"/>
      <c r="AP806" s="128">
        <v>15.0</v>
      </c>
      <c r="AQ806" s="128">
        <v>13.0</v>
      </c>
      <c r="AT806" s="44">
        <v>805.0</v>
      </c>
      <c r="AU806" s="44"/>
      <c r="AW806" s="93"/>
      <c r="AY806" s="93"/>
      <c r="AZ806" s="93"/>
      <c r="BA806" s="93"/>
      <c r="BB806" s="155"/>
      <c r="BC806" s="93"/>
      <c r="BE806" s="93"/>
      <c r="BG806" s="93"/>
      <c r="BH806" s="93"/>
      <c r="BI806" s="93"/>
      <c r="BJ806" s="155"/>
      <c r="BK806" s="93"/>
    </row>
    <row r="807">
      <c r="A807" s="166">
        <v>44543.02852857639</v>
      </c>
      <c r="B807" s="44" t="s">
        <v>88</v>
      </c>
      <c r="C807" s="128">
        <v>742.7829015565848</v>
      </c>
      <c r="D807" s="128">
        <v>12.0</v>
      </c>
      <c r="E807" s="128">
        <v>737.9636270257815</v>
      </c>
      <c r="F807" s="44" t="s">
        <v>125</v>
      </c>
      <c r="G807" s="128">
        <v>868.7198367876443</v>
      </c>
      <c r="H807" s="128">
        <v>14.0</v>
      </c>
      <c r="I807" s="128">
        <v>864.5032365964296</v>
      </c>
      <c r="J807" s="44" t="s">
        <v>92</v>
      </c>
      <c r="K807" s="128">
        <v>913.6571217111846</v>
      </c>
      <c r="L807" s="128">
        <v>17.0</v>
      </c>
      <c r="M807" s="128">
        <v>910.5733867504047</v>
      </c>
      <c r="N807" s="44" t="s">
        <v>31</v>
      </c>
      <c r="O807" s="128">
        <v>1319.8453847237465</v>
      </c>
      <c r="P807" s="128">
        <v>8.0</v>
      </c>
      <c r="Q807" s="128">
        <v>1312.9649944065443</v>
      </c>
      <c r="V807" s="44" t="s">
        <v>34</v>
      </c>
      <c r="W807" s="128">
        <v>884.2088854396899</v>
      </c>
      <c r="X807" s="128">
        <v>10.0</v>
      </c>
      <c r="Y807" s="128">
        <v>885.9019892251517</v>
      </c>
      <c r="Z807" s="44" t="s">
        <v>107</v>
      </c>
      <c r="AA807" s="128">
        <v>894.4023418018743</v>
      </c>
      <c r="AB807" s="128">
        <v>26.0</v>
      </c>
      <c r="AC807" s="128">
        <v>902.4113995325334</v>
      </c>
      <c r="AD807" s="44" t="s">
        <v>112</v>
      </c>
      <c r="AE807" s="128">
        <v>994.1862481187807</v>
      </c>
      <c r="AF807" s="128">
        <v>7.0</v>
      </c>
      <c r="AG807" s="128">
        <v>994.5292910522295</v>
      </c>
      <c r="AH807" s="44" t="s">
        <v>27</v>
      </c>
      <c r="AI807" s="128">
        <v>1086.8398597560922</v>
      </c>
      <c r="AJ807" s="128">
        <v>29.0</v>
      </c>
      <c r="AK807" s="128">
        <v>1095.7946553065224</v>
      </c>
      <c r="AP807" s="128">
        <v>10.0</v>
      </c>
      <c r="AQ807" s="128">
        <v>18.0</v>
      </c>
      <c r="AT807" s="44">
        <v>806.0</v>
      </c>
      <c r="AU807" s="44"/>
      <c r="AW807" s="93"/>
      <c r="AY807" s="93"/>
      <c r="AZ807" s="93"/>
      <c r="BA807" s="93"/>
      <c r="BB807" s="155"/>
      <c r="BC807" s="93"/>
      <c r="BE807" s="93"/>
      <c r="BG807" s="93"/>
      <c r="BH807" s="93"/>
      <c r="BI807" s="93"/>
      <c r="BJ807" s="155"/>
      <c r="BK807" s="93"/>
    </row>
    <row r="808">
      <c r="A808" s="166">
        <v>44543.94422832176</v>
      </c>
      <c r="B808" s="44" t="s">
        <v>88</v>
      </c>
      <c r="C808" s="128">
        <v>737.9636270257815</v>
      </c>
      <c r="D808" s="128">
        <v>29.0</v>
      </c>
      <c r="E808" s="128">
        <v>746.6875964785968</v>
      </c>
      <c r="F808" s="44" t="s">
        <v>107</v>
      </c>
      <c r="G808" s="128">
        <v>902.4113995325334</v>
      </c>
      <c r="H808" s="128">
        <v>27.0</v>
      </c>
      <c r="I808" s="128">
        <v>908.7656002647017</v>
      </c>
      <c r="J808" s="44" t="s">
        <v>61</v>
      </c>
      <c r="K808" s="128">
        <v>1059.53314509866</v>
      </c>
      <c r="L808" s="128">
        <v>33.0</v>
      </c>
      <c r="M808" s="128">
        <v>1069.4549749136766</v>
      </c>
      <c r="N808" s="44"/>
      <c r="O808" s="128"/>
      <c r="P808" s="128"/>
      <c r="Q808" s="128"/>
      <c r="V808" s="44" t="s">
        <v>125</v>
      </c>
      <c r="W808" s="128">
        <v>864.5032365964296</v>
      </c>
      <c r="X808" s="128">
        <v>18.0</v>
      </c>
      <c r="Y808" s="128">
        <v>850.636570924716</v>
      </c>
      <c r="Z808" s="44" t="s">
        <v>34</v>
      </c>
      <c r="AA808" s="128">
        <v>885.9019892251517</v>
      </c>
      <c r="AB808" s="128">
        <v>25.0</v>
      </c>
      <c r="AC808" s="128">
        <v>876.7985249137952</v>
      </c>
      <c r="AD808" s="44" t="s">
        <v>47</v>
      </c>
      <c r="AE808" s="128">
        <v>1046.809908799028</v>
      </c>
      <c r="AF808" s="128">
        <v>36.0</v>
      </c>
      <c r="AG808" s="128">
        <v>1044.7800387820982</v>
      </c>
      <c r="AH808" s="44"/>
      <c r="AI808" s="128"/>
      <c r="AJ808" s="128"/>
      <c r="AK808" s="128"/>
      <c r="AP808" s="128">
        <v>24.0</v>
      </c>
      <c r="AQ808" s="128">
        <v>18.0</v>
      </c>
      <c r="AT808" s="44">
        <v>807.0</v>
      </c>
      <c r="AU808" s="44"/>
      <c r="AW808" s="93"/>
      <c r="AY808" s="93"/>
      <c r="AZ808" s="93"/>
      <c r="BA808" s="93"/>
      <c r="BB808" s="155"/>
      <c r="BC808" s="93"/>
      <c r="BE808" s="93"/>
      <c r="BG808" s="93"/>
      <c r="BH808" s="93"/>
      <c r="BI808" s="93"/>
      <c r="BJ808" s="155"/>
      <c r="BK808" s="93"/>
    </row>
    <row r="809">
      <c r="A809" s="166">
        <v>44543.980585868056</v>
      </c>
      <c r="B809" s="44" t="s">
        <v>88</v>
      </c>
      <c r="C809" s="128">
        <v>746.6875964785968</v>
      </c>
      <c r="D809" s="128">
        <v>23.0</v>
      </c>
      <c r="E809" s="128">
        <v>752.5484853831964</v>
      </c>
      <c r="F809" s="44" t="s">
        <v>107</v>
      </c>
      <c r="G809" s="128">
        <v>908.7656002647017</v>
      </c>
      <c r="H809" s="128">
        <v>16.0</v>
      </c>
      <c r="I809" s="128">
        <v>911.2919567122595</v>
      </c>
      <c r="J809" s="44" t="s">
        <v>47</v>
      </c>
      <c r="K809" s="128">
        <v>1044.7800387820982</v>
      </c>
      <c r="L809" s="128">
        <v>23.0</v>
      </c>
      <c r="M809" s="128">
        <v>1049.991908857659</v>
      </c>
      <c r="N809" s="44" t="s">
        <v>27</v>
      </c>
      <c r="O809" s="128">
        <v>1095.7946553065224</v>
      </c>
      <c r="P809" s="128">
        <v>26.0</v>
      </c>
      <c r="Q809" s="128">
        <v>1102.195539878804</v>
      </c>
      <c r="V809" s="44" t="s">
        <v>125</v>
      </c>
      <c r="W809" s="128">
        <v>850.636570924716</v>
      </c>
      <c r="X809" s="128">
        <v>8.0</v>
      </c>
      <c r="Y809" s="128">
        <v>842.8465401730505</v>
      </c>
      <c r="Z809" s="44" t="s">
        <v>34</v>
      </c>
      <c r="AA809" s="128">
        <v>876.7985249137952</v>
      </c>
      <c r="AB809" s="128">
        <v>16.0</v>
      </c>
      <c r="AC809" s="128">
        <v>872.299842048365</v>
      </c>
      <c r="AD809" s="44" t="s">
        <v>112</v>
      </c>
      <c r="AE809" s="128">
        <v>994.5292910522295</v>
      </c>
      <c r="AF809" s="128">
        <v>16.0</v>
      </c>
      <c r="AG809" s="128">
        <v>989.8758016976323</v>
      </c>
      <c r="AH809" s="44" t="s">
        <v>61</v>
      </c>
      <c r="AI809" s="128">
        <v>1069.4549749136766</v>
      </c>
      <c r="AJ809" s="128">
        <v>20.0</v>
      </c>
      <c r="AK809" s="128">
        <v>1066.3971778853695</v>
      </c>
      <c r="AP809" s="128">
        <v>18.0</v>
      </c>
      <c r="AQ809" s="128">
        <v>10.0</v>
      </c>
      <c r="AT809" s="44">
        <v>808.0</v>
      </c>
      <c r="AU809" s="44"/>
      <c r="AW809" s="93"/>
      <c r="AY809" s="93"/>
      <c r="AZ809" s="93"/>
      <c r="BA809" s="93"/>
      <c r="BB809" s="155"/>
      <c r="BC809" s="93"/>
      <c r="BE809" s="93"/>
      <c r="BG809" s="93"/>
      <c r="BH809" s="93"/>
      <c r="BI809" s="93"/>
      <c r="BJ809" s="155"/>
      <c r="BK809" s="93"/>
    </row>
    <row r="810">
      <c r="A810" s="166">
        <v>44544.009355462964</v>
      </c>
      <c r="B810" s="44" t="s">
        <v>88</v>
      </c>
      <c r="C810" s="128">
        <v>752.5484853831964</v>
      </c>
      <c r="D810" s="128">
        <v>18.0</v>
      </c>
      <c r="E810" s="128">
        <v>759.4784312814996</v>
      </c>
      <c r="F810" s="44" t="s">
        <v>112</v>
      </c>
      <c r="G810" s="128">
        <v>989.8758016976323</v>
      </c>
      <c r="H810" s="128">
        <v>19.0</v>
      </c>
      <c r="I810" s="128">
        <v>996.7488370529937</v>
      </c>
      <c r="J810" s="44" t="s">
        <v>61</v>
      </c>
      <c r="K810" s="128">
        <v>1066.3971778853695</v>
      </c>
      <c r="L810" s="128">
        <v>18.0</v>
      </c>
      <c r="M810" s="128">
        <v>1072.5941966317048</v>
      </c>
      <c r="N810" s="44"/>
      <c r="O810" s="128"/>
      <c r="P810" s="128"/>
      <c r="Q810" s="128"/>
      <c r="V810" s="44" t="s">
        <v>125</v>
      </c>
      <c r="W810" s="128">
        <v>842.8465401730505</v>
      </c>
      <c r="X810" s="128">
        <v>10.0</v>
      </c>
      <c r="Y810" s="128">
        <v>832.651298766995</v>
      </c>
      <c r="Z810" s="44" t="s">
        <v>34</v>
      </c>
      <c r="AA810" s="128">
        <v>872.299842048365</v>
      </c>
      <c r="AB810" s="128">
        <v>13.0</v>
      </c>
      <c r="AC810" s="128">
        <v>863.6999676186599</v>
      </c>
      <c r="AD810" s="44" t="s">
        <v>27</v>
      </c>
      <c r="AE810" s="128">
        <v>1102.195539878804</v>
      </c>
      <c r="AF810" s="128">
        <v>27.0</v>
      </c>
      <c r="AG810" s="128">
        <v>1100.9906557145646</v>
      </c>
      <c r="AH810" s="44"/>
      <c r="AI810" s="128"/>
      <c r="AJ810" s="128"/>
      <c r="AK810" s="128"/>
      <c r="AP810" s="128">
        <v>16.0</v>
      </c>
      <c r="AQ810" s="128">
        <v>12.0</v>
      </c>
      <c r="AS810" s="44" t="s">
        <v>501</v>
      </c>
      <c r="AT810" s="44">
        <v>809.0</v>
      </c>
      <c r="AU810" s="44"/>
      <c r="AW810" s="93"/>
      <c r="AY810" s="93"/>
      <c r="AZ810" s="93"/>
      <c r="BA810" s="93"/>
      <c r="BB810" s="155"/>
      <c r="BC810" s="93"/>
      <c r="BE810" s="93"/>
      <c r="BG810" s="93"/>
      <c r="BH810" s="93"/>
      <c r="BI810" s="93"/>
      <c r="BJ810" s="155"/>
      <c r="BK810" s="93"/>
    </row>
    <row r="811">
      <c r="A811" s="166">
        <v>44544.913844930554</v>
      </c>
      <c r="B811" s="44" t="s">
        <v>38</v>
      </c>
      <c r="C811" s="128">
        <v>956.4162225919333</v>
      </c>
      <c r="D811" s="128">
        <v>17.0</v>
      </c>
      <c r="E811" s="128">
        <v>959.0707135071443</v>
      </c>
      <c r="F811" s="44" t="s">
        <v>47</v>
      </c>
      <c r="G811" s="128">
        <v>1049.991908857659</v>
      </c>
      <c r="H811" s="128">
        <v>18.0</v>
      </c>
      <c r="I811" s="128">
        <v>1052.8395138871647</v>
      </c>
      <c r="J811" s="44" t="s">
        <v>61</v>
      </c>
      <c r="K811" s="128">
        <v>1072.5941966317048</v>
      </c>
      <c r="L811" s="128">
        <v>24.0</v>
      </c>
      <c r="M811" s="128">
        <v>1077.092100686988</v>
      </c>
      <c r="N811" s="44"/>
      <c r="O811" s="128"/>
      <c r="P811" s="128"/>
      <c r="Q811" s="128"/>
      <c r="V811" s="44" t="s">
        <v>123</v>
      </c>
      <c r="W811" s="128">
        <v>582.3514897508284</v>
      </c>
      <c r="X811" s="128">
        <v>11.0</v>
      </c>
      <c r="Y811" s="128">
        <v>577.362539192013</v>
      </c>
      <c r="Z811" s="44" t="s">
        <v>107</v>
      </c>
      <c r="AA811" s="128">
        <v>911.2919567122595</v>
      </c>
      <c r="AB811" s="128">
        <v>19.0</v>
      </c>
      <c r="AC811" s="128">
        <v>907.9465214762831</v>
      </c>
      <c r="AD811" s="44" t="s">
        <v>35</v>
      </c>
      <c r="AE811" s="128">
        <v>1598.3465226190685</v>
      </c>
      <c r="AF811" s="128">
        <v>26.0</v>
      </c>
      <c r="AG811" s="128">
        <v>1596.6809084138604</v>
      </c>
      <c r="AH811" s="44"/>
      <c r="AI811" s="128"/>
      <c r="AJ811" s="128"/>
      <c r="AK811" s="128"/>
      <c r="AP811" s="128">
        <v>15.0</v>
      </c>
      <c r="AQ811" s="128">
        <v>13.0</v>
      </c>
      <c r="AT811" s="44">
        <v>810.0</v>
      </c>
      <c r="AU811" s="44"/>
      <c r="AW811" s="93"/>
      <c r="AY811" s="93"/>
      <c r="AZ811" s="93"/>
      <c r="BA811" s="93"/>
      <c r="BB811" s="155"/>
      <c r="BC811" s="93"/>
      <c r="BE811" s="93"/>
      <c r="BG811" s="93"/>
      <c r="BH811" s="93"/>
      <c r="BI811" s="93"/>
      <c r="BJ811" s="155"/>
      <c r="BK811" s="93"/>
    </row>
    <row r="812">
      <c r="A812" s="166">
        <v>44544.956427893514</v>
      </c>
      <c r="B812" s="44" t="s">
        <v>88</v>
      </c>
      <c r="C812" s="128">
        <v>759.4784312814996</v>
      </c>
      <c r="D812" s="128">
        <v>16.0</v>
      </c>
      <c r="E812" s="128">
        <v>761.1493216658264</v>
      </c>
      <c r="F812" s="44" t="s">
        <v>92</v>
      </c>
      <c r="G812" s="128">
        <v>910.5733867504047</v>
      </c>
      <c r="H812" s="128">
        <v>23.0</v>
      </c>
      <c r="I812" s="128">
        <v>913.3771233357282</v>
      </c>
      <c r="J812" s="44" t="s">
        <v>38</v>
      </c>
      <c r="K812" s="128">
        <v>959.0707135071443</v>
      </c>
      <c r="L812" s="128">
        <v>9.0</v>
      </c>
      <c r="M812" s="128">
        <v>959.2708270810547</v>
      </c>
      <c r="N812" s="44" t="s">
        <v>47</v>
      </c>
      <c r="O812" s="128">
        <v>1052.8395138871647</v>
      </c>
      <c r="P812" s="128">
        <v>21.0</v>
      </c>
      <c r="Q812" s="128">
        <v>1055.182978834814</v>
      </c>
      <c r="R812" s="44" t="s">
        <v>61</v>
      </c>
      <c r="S812" s="128">
        <v>1077.092100686988</v>
      </c>
      <c r="T812" s="128">
        <v>30.0</v>
      </c>
      <c r="U812" s="128">
        <v>1081.0738951957778</v>
      </c>
      <c r="V812" s="44" t="s">
        <v>123</v>
      </c>
      <c r="W812" s="128">
        <v>577.362539192013</v>
      </c>
      <c r="X812" s="128">
        <v>14.0</v>
      </c>
      <c r="Y812" s="128">
        <v>574.3421850063276</v>
      </c>
      <c r="Z812" s="44" t="s">
        <v>125</v>
      </c>
      <c r="AA812" s="128">
        <v>832.651298766995</v>
      </c>
      <c r="AB812" s="128">
        <v>10.0</v>
      </c>
      <c r="AC812" s="128">
        <v>828.5488675524954</v>
      </c>
      <c r="AD812" s="44" t="s">
        <v>34</v>
      </c>
      <c r="AE812" s="128">
        <v>863.6999676186599</v>
      </c>
      <c r="AF812" s="128">
        <v>24.0</v>
      </c>
      <c r="AG812" s="128">
        <v>862.1326092240839</v>
      </c>
      <c r="AH812" s="44" t="s">
        <v>107</v>
      </c>
      <c r="AI812" s="128">
        <v>907.9465214762831</v>
      </c>
      <c r="AJ812" s="128">
        <v>19.0</v>
      </c>
      <c r="AK812" s="128">
        <v>905.4216193547784</v>
      </c>
      <c r="AL812" s="44" t="s">
        <v>35</v>
      </c>
      <c r="AM812" s="128">
        <v>1596.6809084138604</v>
      </c>
      <c r="AN812" s="128">
        <v>35.0</v>
      </c>
      <c r="AO812" s="128">
        <v>1596.8959543301262</v>
      </c>
      <c r="AP812" s="128">
        <v>15.0</v>
      </c>
      <c r="AQ812" s="128">
        <v>13.0</v>
      </c>
      <c r="AT812" s="44">
        <v>811.0</v>
      </c>
      <c r="AU812" s="44"/>
      <c r="AW812" s="93"/>
      <c r="AY812" s="93"/>
      <c r="AZ812" s="93"/>
      <c r="BA812" s="93"/>
      <c r="BB812" s="155"/>
      <c r="BC812" s="93"/>
      <c r="BE812" s="93"/>
      <c r="BG812" s="93"/>
      <c r="BH812" s="93"/>
      <c r="BI812" s="93"/>
      <c r="BJ812" s="155"/>
      <c r="BK812" s="93"/>
    </row>
    <row r="813">
      <c r="A813" s="166">
        <v>44545.00058146991</v>
      </c>
      <c r="B813" s="44" t="s">
        <v>88</v>
      </c>
      <c r="C813" s="128">
        <v>761.1493216658264</v>
      </c>
      <c r="D813" s="128">
        <v>25.0</v>
      </c>
      <c r="E813" s="128">
        <v>760.1355550565344</v>
      </c>
      <c r="F813" s="44" t="s">
        <v>92</v>
      </c>
      <c r="G813" s="128">
        <v>913.3771233357282</v>
      </c>
      <c r="H813" s="128">
        <v>18.0</v>
      </c>
      <c r="I813" s="128">
        <v>911.0586986035046</v>
      </c>
      <c r="J813" s="44" t="s">
        <v>38</v>
      </c>
      <c r="K813" s="128">
        <v>959.2708270810547</v>
      </c>
      <c r="L813" s="128">
        <v>18.0</v>
      </c>
      <c r="M813" s="128">
        <v>956.9205344835889</v>
      </c>
      <c r="N813" s="44" t="s">
        <v>47</v>
      </c>
      <c r="O813" s="128">
        <v>1055.182978834814</v>
      </c>
      <c r="P813" s="128">
        <v>25.0</v>
      </c>
      <c r="Q813" s="128">
        <v>1053.9465221213857</v>
      </c>
      <c r="R813" s="44" t="s">
        <v>61</v>
      </c>
      <c r="S813" s="128">
        <v>1081.0738951957778</v>
      </c>
      <c r="T813" s="128">
        <v>14.0</v>
      </c>
      <c r="U813" s="128">
        <v>1077.9928358481877</v>
      </c>
      <c r="V813" s="44" t="s">
        <v>123</v>
      </c>
      <c r="W813" s="128">
        <v>574.3421850063276</v>
      </c>
      <c r="X813" s="128">
        <v>14.0</v>
      </c>
      <c r="Y813" s="128">
        <v>575.5675926958079</v>
      </c>
      <c r="Z813" s="44" t="s">
        <v>125</v>
      </c>
      <c r="AA813" s="128">
        <v>828.5488675524954</v>
      </c>
      <c r="AB813" s="128">
        <v>15.0</v>
      </c>
      <c r="AC813" s="128">
        <v>829.6210952922418</v>
      </c>
      <c r="AD813" s="44" t="s">
        <v>34</v>
      </c>
      <c r="AE813" s="128">
        <v>862.1326092240839</v>
      </c>
      <c r="AF813" s="128">
        <v>33.0</v>
      </c>
      <c r="AG813" s="128">
        <v>866.1733277798725</v>
      </c>
      <c r="AH813" s="44" t="s">
        <v>107</v>
      </c>
      <c r="AI813" s="128">
        <v>905.4216193547784</v>
      </c>
      <c r="AJ813" s="128">
        <v>4.0</v>
      </c>
      <c r="AK813" s="128">
        <v>904.5921784333101</v>
      </c>
      <c r="AL813" s="44" t="s">
        <v>35</v>
      </c>
      <c r="AM813" s="128">
        <v>1596.8959543301262</v>
      </c>
      <c r="AN813" s="128">
        <v>37.0</v>
      </c>
      <c r="AO813" s="128">
        <v>1601.3870412665792</v>
      </c>
      <c r="AP813" s="128">
        <v>13.0</v>
      </c>
      <c r="AQ813" s="128">
        <v>15.0</v>
      </c>
      <c r="AT813" s="44">
        <v>812.0</v>
      </c>
      <c r="AU813" s="44"/>
      <c r="AW813" s="93"/>
      <c r="AY813" s="93"/>
      <c r="AZ813" s="93"/>
      <c r="BA813" s="93"/>
      <c r="BB813" s="155"/>
      <c r="BC813" s="93"/>
      <c r="BE813" s="93"/>
      <c r="BG813" s="93"/>
      <c r="BH813" s="93"/>
      <c r="BI813" s="93"/>
      <c r="BJ813" s="155"/>
      <c r="BK813" s="93"/>
    </row>
    <row r="814">
      <c r="A814" s="166">
        <v>44545.03110928241</v>
      </c>
      <c r="B814" s="44" t="s">
        <v>88</v>
      </c>
      <c r="C814" s="128">
        <v>760.1355550565344</v>
      </c>
      <c r="D814" s="128">
        <v>16.0</v>
      </c>
      <c r="E814" s="128">
        <v>760.3554143784935</v>
      </c>
      <c r="F814" s="44" t="s">
        <v>34</v>
      </c>
      <c r="G814" s="128">
        <v>866.1733277798725</v>
      </c>
      <c r="H814" s="128">
        <v>14.0</v>
      </c>
      <c r="I814" s="128">
        <v>866.3399301945745</v>
      </c>
      <c r="J814" s="44" t="s">
        <v>112</v>
      </c>
      <c r="K814" s="128">
        <v>996.7488370529937</v>
      </c>
      <c r="L814" s="128">
        <v>18.0</v>
      </c>
      <c r="M814" s="128">
        <v>996.9882655072435</v>
      </c>
      <c r="N814" s="44" t="s">
        <v>31</v>
      </c>
      <c r="O814" s="128">
        <v>1312.9649944065443</v>
      </c>
      <c r="P814" s="128">
        <v>25.0</v>
      </c>
      <c r="Q814" s="128">
        <v>1313.3391042156334</v>
      </c>
      <c r="V814" s="44" t="s">
        <v>123</v>
      </c>
      <c r="W814" s="128">
        <v>575.5675926958079</v>
      </c>
      <c r="X814" s="128">
        <v>12.0</v>
      </c>
      <c r="Y814" s="128">
        <v>575.2517930186142</v>
      </c>
      <c r="Z814" s="44" t="s">
        <v>125</v>
      </c>
      <c r="AA814" s="128">
        <v>829.6210952922418</v>
      </c>
      <c r="AB814" s="128">
        <v>12.0</v>
      </c>
      <c r="AC814" s="128">
        <v>829.2729916709294</v>
      </c>
      <c r="AD814" s="44" t="s">
        <v>38</v>
      </c>
      <c r="AE814" s="128">
        <v>956.9205344835889</v>
      </c>
      <c r="AF814" s="128">
        <v>10.0</v>
      </c>
      <c r="AG814" s="128">
        <v>956.5200653700768</v>
      </c>
      <c r="AH814" s="44" t="s">
        <v>35</v>
      </c>
      <c r="AI814" s="128">
        <v>1601.3870412665792</v>
      </c>
      <c r="AJ814" s="128">
        <v>33.0</v>
      </c>
      <c r="AK814" s="128">
        <v>1601.4514136785972</v>
      </c>
      <c r="AP814" s="128">
        <v>14.0</v>
      </c>
      <c r="AQ814" s="128">
        <v>14.0</v>
      </c>
      <c r="AS814" s="44" t="s">
        <v>229</v>
      </c>
      <c r="AT814" s="44">
        <v>813.0</v>
      </c>
      <c r="AU814" s="44"/>
      <c r="AW814" s="93"/>
      <c r="AY814" s="93"/>
      <c r="AZ814" s="93"/>
      <c r="BA814" s="93"/>
      <c r="BB814" s="155"/>
      <c r="BC814" s="93"/>
      <c r="BE814" s="93"/>
      <c r="BG814" s="93"/>
      <c r="BH814" s="93"/>
      <c r="BI814" s="93"/>
      <c r="BJ814" s="155"/>
      <c r="BK814" s="93"/>
    </row>
    <row r="815">
      <c r="A815" s="166">
        <v>44545.059447604166</v>
      </c>
      <c r="B815" s="44" t="s">
        <v>88</v>
      </c>
      <c r="C815" s="128">
        <v>760.3554143784935</v>
      </c>
      <c r="D815" s="128">
        <v>16.0</v>
      </c>
      <c r="E815" s="128">
        <v>761.443953510501</v>
      </c>
      <c r="F815" s="44" t="s">
        <v>125</v>
      </c>
      <c r="G815" s="128">
        <v>829.2729916709294</v>
      </c>
      <c r="H815" s="128">
        <v>11.0</v>
      </c>
      <c r="I815" s="128">
        <v>829.2829916709294</v>
      </c>
      <c r="J815" s="44" t="s">
        <v>35</v>
      </c>
      <c r="K815" s="128">
        <v>1601.4514136785972</v>
      </c>
      <c r="L815" s="128">
        <v>45.0</v>
      </c>
      <c r="M815" s="128">
        <v>1608.4961815341137</v>
      </c>
      <c r="N815" s="44"/>
      <c r="O815" s="128"/>
      <c r="P815" s="128"/>
      <c r="Q815" s="128"/>
      <c r="V815" s="44" t="s">
        <v>34</v>
      </c>
      <c r="W815" s="128">
        <v>866.3399301945745</v>
      </c>
      <c r="X815" s="128">
        <v>14.0</v>
      </c>
      <c r="Y815" s="128">
        <v>864.0143298033522</v>
      </c>
      <c r="Z815" s="44" t="s">
        <v>38</v>
      </c>
      <c r="AA815" s="128">
        <v>956.5200653700768</v>
      </c>
      <c r="AB815" s="128">
        <v>7.0</v>
      </c>
      <c r="AC815" s="128">
        <v>952.5821677890583</v>
      </c>
      <c r="AD815" s="44" t="s">
        <v>112</v>
      </c>
      <c r="AE815" s="128">
        <v>996.9882655072435</v>
      </c>
      <c r="AF815" s="128">
        <v>17.0</v>
      </c>
      <c r="AG815" s="128">
        <v>995.2517634794843</v>
      </c>
      <c r="AH815" s="44"/>
      <c r="AI815" s="128"/>
      <c r="AJ815" s="128"/>
      <c r="AK815" s="128"/>
      <c r="AP815" s="128">
        <v>22.0</v>
      </c>
      <c r="AQ815" s="128">
        <v>6.0</v>
      </c>
      <c r="AS815" s="44" t="s">
        <v>577</v>
      </c>
      <c r="AT815" s="44">
        <v>814.0</v>
      </c>
      <c r="AU815" s="44"/>
      <c r="AW815" s="93"/>
      <c r="AY815" s="93"/>
      <c r="AZ815" s="93"/>
      <c r="BA815" s="93"/>
      <c r="BB815" s="155"/>
      <c r="BC815" s="93"/>
      <c r="BE815" s="93"/>
      <c r="BG815" s="93"/>
      <c r="BH815" s="93"/>
      <c r="BI815" s="93"/>
      <c r="BJ815" s="155"/>
      <c r="BK815" s="93"/>
    </row>
    <row r="816">
      <c r="A816" s="166">
        <v>44545.90966159722</v>
      </c>
      <c r="B816" s="44" t="s">
        <v>88</v>
      </c>
      <c r="C816" s="128">
        <v>761.443953510501</v>
      </c>
      <c r="D816" s="128">
        <v>17.0</v>
      </c>
      <c r="E816" s="128">
        <v>760.2875802598469</v>
      </c>
      <c r="F816" s="44" t="s">
        <v>125</v>
      </c>
      <c r="G816" s="128">
        <v>829.2829916709294</v>
      </c>
      <c r="H816" s="128">
        <v>14.0</v>
      </c>
      <c r="I816" s="128">
        <v>827.7572294338971</v>
      </c>
      <c r="J816" s="44" t="s">
        <v>35</v>
      </c>
      <c r="K816" s="128">
        <v>1608.4961815341137</v>
      </c>
      <c r="L816" s="128">
        <v>17.0</v>
      </c>
      <c r="M816" s="128">
        <v>1607.1783170218002</v>
      </c>
      <c r="N816" s="44"/>
      <c r="O816" s="128"/>
      <c r="P816" s="128"/>
      <c r="Q816" s="128"/>
      <c r="V816" s="44" t="s">
        <v>107</v>
      </c>
      <c r="W816" s="128">
        <v>904.5921784333101</v>
      </c>
      <c r="X816" s="128">
        <v>15.0</v>
      </c>
      <c r="Y816" s="128">
        <v>905.8478872861263</v>
      </c>
      <c r="Z816" s="44" t="s">
        <v>47</v>
      </c>
      <c r="AA816" s="128">
        <v>1053.9465221213857</v>
      </c>
      <c r="AB816" s="128">
        <v>20.0</v>
      </c>
      <c r="AC816" s="128">
        <v>1055.7103242762598</v>
      </c>
      <c r="AD816" s="44" t="s">
        <v>61</v>
      </c>
      <c r="AE816" s="128">
        <v>1077.9928358481877</v>
      </c>
      <c r="AF816" s="128">
        <v>13.0</v>
      </c>
      <c r="AG816" s="128">
        <v>1078.9733248404975</v>
      </c>
      <c r="AH816" s="44"/>
      <c r="AI816" s="128"/>
      <c r="AJ816" s="128"/>
      <c r="AK816" s="128"/>
      <c r="AP816" s="128">
        <v>14.0</v>
      </c>
      <c r="AQ816" s="128">
        <v>14.0</v>
      </c>
      <c r="AT816" s="44">
        <v>815.0</v>
      </c>
      <c r="AU816" s="44"/>
      <c r="AW816" s="93"/>
      <c r="AY816" s="93"/>
      <c r="AZ816" s="93"/>
      <c r="BA816" s="93"/>
      <c r="BB816" s="155"/>
      <c r="BC816" s="93"/>
      <c r="BE816" s="93"/>
      <c r="BG816" s="93"/>
      <c r="BH816" s="93"/>
      <c r="BI816" s="93"/>
      <c r="BJ816" s="155"/>
      <c r="BK816" s="93"/>
    </row>
    <row r="817">
      <c r="A817" s="166">
        <v>44545.98047888889</v>
      </c>
      <c r="B817" s="44" t="s">
        <v>88</v>
      </c>
      <c r="C817" s="128">
        <v>760.2875802598469</v>
      </c>
      <c r="D817" s="128">
        <v>18.0</v>
      </c>
      <c r="E817" s="128">
        <v>762.9602561424153</v>
      </c>
      <c r="F817" s="44" t="s">
        <v>125</v>
      </c>
      <c r="G817" s="128">
        <v>827.7572294338971</v>
      </c>
      <c r="H817" s="128">
        <v>13.0</v>
      </c>
      <c r="I817" s="128">
        <v>829.234833611971</v>
      </c>
      <c r="J817" s="44" t="s">
        <v>35</v>
      </c>
      <c r="K817" s="128">
        <v>1607.1783170218002</v>
      </c>
      <c r="L817" s="128">
        <v>25.0</v>
      </c>
      <c r="M817" s="128">
        <v>1611.0280369611578</v>
      </c>
      <c r="N817" s="44"/>
      <c r="O817" s="128"/>
      <c r="P817" s="128"/>
      <c r="Q817" s="128"/>
      <c r="V817" s="44" t="s">
        <v>112</v>
      </c>
      <c r="W817" s="128">
        <v>995.2517634794843</v>
      </c>
      <c r="X817" s="128">
        <v>15.0</v>
      </c>
      <c r="Y817" s="128">
        <v>991.7260564450398</v>
      </c>
      <c r="Z817" s="44" t="s">
        <v>47</v>
      </c>
      <c r="AA817" s="128">
        <v>1055.7103242762598</v>
      </c>
      <c r="AB817" s="128">
        <v>26.0</v>
      </c>
      <c r="AC817" s="128">
        <v>1054.5905753741933</v>
      </c>
      <c r="AD817" s="44" t="s">
        <v>61</v>
      </c>
      <c r="AE817" s="128">
        <v>1078.9733248404975</v>
      </c>
      <c r="AF817" s="128">
        <v>16.0</v>
      </c>
      <c r="AG817" s="128">
        <v>1075.6187807770086</v>
      </c>
      <c r="AH817" s="44"/>
      <c r="AI817" s="128"/>
      <c r="AJ817" s="128"/>
      <c r="AK817" s="128"/>
      <c r="AP817" s="128">
        <v>15.0</v>
      </c>
      <c r="AQ817" s="128">
        <v>13.0</v>
      </c>
      <c r="AS817" s="44" t="s">
        <v>229</v>
      </c>
      <c r="AT817" s="44">
        <v>816.0</v>
      </c>
      <c r="AU817" s="44"/>
      <c r="AW817" s="93"/>
      <c r="AY817" s="93"/>
      <c r="AZ817" s="93"/>
      <c r="BA817" s="93"/>
      <c r="BB817" s="155"/>
      <c r="BC817" s="93"/>
      <c r="BE817" s="93"/>
      <c r="BG817" s="93"/>
      <c r="BH817" s="93"/>
      <c r="BI817" s="93"/>
      <c r="BJ817" s="155"/>
      <c r="BK817" s="93"/>
    </row>
    <row r="818">
      <c r="A818" s="166">
        <v>44546.01043913195</v>
      </c>
      <c r="B818" s="44" t="s">
        <v>88</v>
      </c>
      <c r="C818" s="128">
        <v>762.9602561424153</v>
      </c>
      <c r="D818" s="128">
        <v>9.0</v>
      </c>
      <c r="E818" s="128">
        <v>763.4846368036697</v>
      </c>
      <c r="F818" s="44" t="s">
        <v>125</v>
      </c>
      <c r="G818" s="128">
        <v>829.234833611971</v>
      </c>
      <c r="H818" s="128">
        <v>12.0</v>
      </c>
      <c r="I818" s="128">
        <v>830.2695721619339</v>
      </c>
      <c r="J818" s="44" t="s">
        <v>35</v>
      </c>
      <c r="K818" s="128">
        <v>1611.0280369611578</v>
      </c>
      <c r="L818" s="128">
        <v>36.0</v>
      </c>
      <c r="M818" s="128">
        <v>1616.4689177499406</v>
      </c>
      <c r="N818" s="44"/>
      <c r="O818" s="128"/>
      <c r="P818" s="128"/>
      <c r="Q818" s="128"/>
      <c r="V818" s="44" t="s">
        <v>34</v>
      </c>
      <c r="W818" s="128">
        <v>864.0143298033522</v>
      </c>
      <c r="X818" s="128">
        <v>17.0</v>
      </c>
      <c r="Y818" s="128">
        <v>861.5638285595228</v>
      </c>
      <c r="Z818" s="44" t="s">
        <v>112</v>
      </c>
      <c r="AA818" s="128">
        <v>991.7260564450398</v>
      </c>
      <c r="AB818" s="128">
        <v>19.0</v>
      </c>
      <c r="AC818" s="128">
        <v>989.5702624453766</v>
      </c>
      <c r="AD818" s="44" t="s">
        <v>61</v>
      </c>
      <c r="AE818" s="128">
        <v>1075.6187807770086</v>
      </c>
      <c r="AF818" s="128">
        <v>18.0</v>
      </c>
      <c r="AG818" s="128">
        <v>1073.2250760205013</v>
      </c>
      <c r="AH818" s="44"/>
      <c r="AI818" s="128"/>
      <c r="AJ818" s="128"/>
      <c r="AK818" s="128"/>
      <c r="AP818" s="128">
        <v>16.0</v>
      </c>
      <c r="AQ818" s="128">
        <v>11.0</v>
      </c>
      <c r="AS818" s="44" t="s">
        <v>244</v>
      </c>
      <c r="AT818" s="44">
        <v>817.0</v>
      </c>
      <c r="AU818" s="44"/>
      <c r="AW818" s="93"/>
      <c r="AY818" s="93"/>
      <c r="AZ818" s="93"/>
      <c r="BA818" s="93"/>
      <c r="BB818" s="155"/>
      <c r="BC818" s="93"/>
      <c r="BE818" s="93"/>
      <c r="BG818" s="93"/>
      <c r="BH818" s="93"/>
      <c r="BI818" s="93"/>
      <c r="BJ818" s="155"/>
      <c r="BK818" s="93"/>
    </row>
    <row r="819">
      <c r="A819" s="166">
        <v>44546.96462126158</v>
      </c>
      <c r="B819" s="44" t="s">
        <v>88</v>
      </c>
      <c r="C819" s="128">
        <v>763.4846368036697</v>
      </c>
      <c r="D819" s="128">
        <v>23.0</v>
      </c>
      <c r="E819" s="128">
        <v>771.6851759576443</v>
      </c>
      <c r="F819" s="44" t="s">
        <v>47</v>
      </c>
      <c r="G819" s="128">
        <v>1054.5905753741933</v>
      </c>
      <c r="H819" s="128">
        <v>16.0</v>
      </c>
      <c r="I819" s="128">
        <v>1058.437006726394</v>
      </c>
      <c r="J819" s="44" t="s">
        <v>27</v>
      </c>
      <c r="K819" s="128">
        <v>1100.9906557145646</v>
      </c>
      <c r="L819" s="128">
        <v>22.0</v>
      </c>
      <c r="M819" s="128">
        <v>1107.9436852083893</v>
      </c>
      <c r="N819" s="44"/>
      <c r="O819" s="128"/>
      <c r="P819" s="128"/>
      <c r="Q819" s="128"/>
      <c r="V819" s="44" t="s">
        <v>125</v>
      </c>
      <c r="W819" s="128">
        <v>830.2695721619339</v>
      </c>
      <c r="X819" s="128">
        <v>10.0</v>
      </c>
      <c r="Y819" s="128">
        <v>821.8478561527944</v>
      </c>
      <c r="Z819" s="44" t="s">
        <v>112</v>
      </c>
      <c r="AA819" s="128">
        <v>989.5702624453766</v>
      </c>
      <c r="AB819" s="128">
        <v>14.0</v>
      </c>
      <c r="AC819" s="128">
        <v>983.0070702707244</v>
      </c>
      <c r="AD819" s="44" t="s">
        <v>61</v>
      </c>
      <c r="AE819" s="128">
        <v>1073.2250760205013</v>
      </c>
      <c r="AF819" s="128">
        <v>19.0</v>
      </c>
      <c r="AG819" s="128">
        <v>1069.209984204293</v>
      </c>
      <c r="AH819" s="44"/>
      <c r="AI819" s="128"/>
      <c r="AJ819" s="128"/>
      <c r="AK819" s="128"/>
      <c r="AP819" s="128">
        <v>18.0</v>
      </c>
      <c r="AQ819" s="128">
        <v>10.0</v>
      </c>
      <c r="AT819" s="44">
        <v>818.0</v>
      </c>
      <c r="AU819" s="44"/>
      <c r="AW819" s="93"/>
      <c r="AY819" s="93"/>
      <c r="AZ819" s="93"/>
      <c r="BA819" s="93"/>
      <c r="BB819" s="155"/>
      <c r="BC819" s="93"/>
      <c r="BE819" s="93"/>
      <c r="BG819" s="93"/>
      <c r="BH819" s="93"/>
      <c r="BI819" s="93"/>
      <c r="BJ819" s="155"/>
      <c r="BK819" s="93"/>
    </row>
    <row r="820">
      <c r="A820" s="166">
        <v>44546.995403657405</v>
      </c>
      <c r="B820" s="44" t="s">
        <v>88</v>
      </c>
      <c r="C820" s="128">
        <v>771.6851759576443</v>
      </c>
      <c r="D820" s="128">
        <v>11.0</v>
      </c>
      <c r="E820" s="128">
        <v>772.5974286051346</v>
      </c>
      <c r="F820" s="44" t="s">
        <v>47</v>
      </c>
      <c r="G820" s="128">
        <v>1058.437006726394</v>
      </c>
      <c r="H820" s="128">
        <v>27.0</v>
      </c>
      <c r="I820" s="128">
        <v>1067.9064812931654</v>
      </c>
      <c r="J820" s="44" t="s">
        <v>61</v>
      </c>
      <c r="K820" s="128">
        <v>1069.209984204293</v>
      </c>
      <c r="L820" s="128">
        <v>29.0</v>
      </c>
      <c r="M820" s="128">
        <v>1079.8282569900314</v>
      </c>
      <c r="N820" s="44"/>
      <c r="O820" s="128"/>
      <c r="P820" s="128"/>
      <c r="Q820" s="128"/>
      <c r="V820" s="44" t="s">
        <v>125</v>
      </c>
      <c r="W820" s="128">
        <v>821.8478561527944</v>
      </c>
      <c r="X820" s="128">
        <v>9.0</v>
      </c>
      <c r="Y820" s="128">
        <v>810.2764101644354</v>
      </c>
      <c r="Z820" s="44" t="s">
        <v>112</v>
      </c>
      <c r="AA820" s="128">
        <v>983.0070702707244</v>
      </c>
      <c r="AB820" s="128">
        <v>23.0</v>
      </c>
      <c r="AC820" s="128">
        <v>979.2540366503791</v>
      </c>
      <c r="AD820" s="44" t="s">
        <v>27</v>
      </c>
      <c r="AE820" s="128">
        <v>1107.9436852083893</v>
      </c>
      <c r="AF820" s="128">
        <v>20.0</v>
      </c>
      <c r="AG820" s="128">
        <v>1102.2681648170935</v>
      </c>
      <c r="AH820" s="44"/>
      <c r="AI820" s="128"/>
      <c r="AJ820" s="128"/>
      <c r="AK820" s="128"/>
      <c r="AP820" s="128">
        <v>18.0</v>
      </c>
      <c r="AQ820" s="128">
        <v>10.0</v>
      </c>
      <c r="AT820" s="44">
        <v>819.0</v>
      </c>
      <c r="AU820" s="44"/>
      <c r="AW820" s="93"/>
      <c r="AY820" s="93"/>
      <c r="AZ820" s="93"/>
      <c r="BA820" s="93"/>
      <c r="BB820" s="155"/>
      <c r="BC820" s="93"/>
      <c r="BE820" s="93"/>
      <c r="BG820" s="93"/>
      <c r="BH820" s="93"/>
      <c r="BI820" s="93"/>
      <c r="BJ820" s="155"/>
      <c r="BK820" s="93"/>
    </row>
    <row r="821">
      <c r="A821" s="166">
        <v>44547.02878451389</v>
      </c>
      <c r="B821" s="44" t="s">
        <v>88</v>
      </c>
      <c r="C821" s="128">
        <v>772.5974286051346</v>
      </c>
      <c r="D821" s="128">
        <v>12.0</v>
      </c>
      <c r="E821" s="128">
        <v>753.3089546192946</v>
      </c>
      <c r="F821" s="44" t="s">
        <v>112</v>
      </c>
      <c r="G821" s="128">
        <v>979.2540366503791</v>
      </c>
      <c r="H821" s="128">
        <v>17.0</v>
      </c>
      <c r="I821" s="128">
        <v>965.544151878658</v>
      </c>
      <c r="J821" s="44" t="s">
        <v>61</v>
      </c>
      <c r="K821" s="128">
        <v>1079.8282569900314</v>
      </c>
      <c r="L821" s="128">
        <v>17.0</v>
      </c>
      <c r="M821" s="128">
        <v>1065.8266157475925</v>
      </c>
      <c r="N821" s="44"/>
      <c r="O821" s="128"/>
      <c r="P821" s="128"/>
      <c r="Q821" s="128"/>
      <c r="V821" s="44" t="s">
        <v>125</v>
      </c>
      <c r="W821" s="128">
        <v>810.2764101644354</v>
      </c>
      <c r="X821" s="128">
        <v>16.0</v>
      </c>
      <c r="Y821" s="128">
        <v>820.4554795393913</v>
      </c>
      <c r="Z821" s="44" t="s">
        <v>34</v>
      </c>
      <c r="AA821" s="128">
        <v>861.5638285595228</v>
      </c>
      <c r="AB821" s="128">
        <v>24.0</v>
      </c>
      <c r="AC821" s="128">
        <v>881.8369660123102</v>
      </c>
      <c r="AD821" s="44" t="s">
        <v>27</v>
      </c>
      <c r="AE821" s="128">
        <v>1102.2681648170935</v>
      </c>
      <c r="AF821" s="128">
        <v>22.0</v>
      </c>
      <c r="AG821" s="128">
        <v>1118.8159579893502</v>
      </c>
      <c r="AH821" s="44"/>
      <c r="AI821" s="128"/>
      <c r="AJ821" s="128"/>
      <c r="AK821" s="128"/>
      <c r="AP821" s="128">
        <v>9.0</v>
      </c>
      <c r="AQ821" s="128">
        <v>19.0</v>
      </c>
      <c r="AS821" s="44" t="s">
        <v>526</v>
      </c>
      <c r="AT821" s="44">
        <v>820.0</v>
      </c>
      <c r="AU821" s="44"/>
      <c r="AW821" s="93"/>
      <c r="AY821" s="93"/>
      <c r="AZ821" s="93"/>
      <c r="BA821" s="93"/>
      <c r="BB821" s="155"/>
      <c r="BC821" s="93"/>
      <c r="BE821" s="93"/>
      <c r="BG821" s="93"/>
      <c r="BH821" s="93"/>
      <c r="BI821" s="93"/>
      <c r="BJ821" s="155"/>
      <c r="BK821" s="93"/>
    </row>
    <row r="822">
      <c r="A822" s="166">
        <v>44549.00863737268</v>
      </c>
      <c r="B822" s="44" t="s">
        <v>107</v>
      </c>
      <c r="C822" s="128">
        <v>905.8478872861263</v>
      </c>
      <c r="D822" s="128">
        <v>14.0</v>
      </c>
      <c r="E822" s="128">
        <v>903.4754339995418</v>
      </c>
      <c r="F822" s="44" t="s">
        <v>112</v>
      </c>
      <c r="G822" s="128">
        <v>965.544151878658</v>
      </c>
      <c r="H822" s="128">
        <v>20.0</v>
      </c>
      <c r="I822" s="128">
        <v>963.9732756551534</v>
      </c>
      <c r="J822" s="44" t="s">
        <v>61</v>
      </c>
      <c r="K822" s="128">
        <v>1065.8266157475925</v>
      </c>
      <c r="L822" s="128">
        <v>24.0</v>
      </c>
      <c r="M822" s="128">
        <v>1064.7699452576817</v>
      </c>
      <c r="N822" s="44"/>
      <c r="O822" s="128"/>
      <c r="P822" s="128"/>
      <c r="Q822" s="128"/>
      <c r="V822" s="44" t="s">
        <v>123</v>
      </c>
      <c r="W822" s="128">
        <v>575.2517930186142</v>
      </c>
      <c r="X822" s="128">
        <v>7.0</v>
      </c>
      <c r="Y822" s="128">
        <v>575.6198095921761</v>
      </c>
      <c r="Z822" s="44" t="s">
        <v>47</v>
      </c>
      <c r="AA822" s="128">
        <v>1067.9064812931654</v>
      </c>
      <c r="AB822" s="128">
        <v>22.0</v>
      </c>
      <c r="AC822" s="128">
        <v>1070.0215892337205</v>
      </c>
      <c r="AD822" s="44" t="s">
        <v>27</v>
      </c>
      <c r="AE822" s="128">
        <v>1118.8159579893502</v>
      </c>
      <c r="AF822" s="128">
        <v>25.0</v>
      </c>
      <c r="AG822" s="128">
        <v>1121.332833475233</v>
      </c>
      <c r="AH822" s="44"/>
      <c r="AI822" s="128"/>
      <c r="AJ822" s="128"/>
      <c r="AK822" s="128"/>
      <c r="AP822" s="128">
        <v>14.0</v>
      </c>
      <c r="AQ822" s="128">
        <v>14.0</v>
      </c>
      <c r="AT822" s="44">
        <v>821.0</v>
      </c>
      <c r="AU822" s="44"/>
      <c r="AW822" s="93"/>
      <c r="AY822" s="93"/>
      <c r="AZ822" s="93"/>
      <c r="BA822" s="93"/>
      <c r="BB822" s="155"/>
      <c r="BC822" s="93"/>
      <c r="BE822" s="93"/>
      <c r="BG822" s="93"/>
      <c r="BH822" s="93"/>
      <c r="BI822" s="93"/>
      <c r="BJ822" s="155"/>
      <c r="BK822" s="93"/>
    </row>
    <row r="823">
      <c r="A823" s="166">
        <v>44549.042809375</v>
      </c>
      <c r="B823" s="44" t="s">
        <v>88</v>
      </c>
      <c r="C823" s="128">
        <v>753.3089546192946</v>
      </c>
      <c r="D823" s="128">
        <v>18.0</v>
      </c>
      <c r="E823" s="128">
        <v>744.1095903322351</v>
      </c>
      <c r="F823" s="44" t="s">
        <v>107</v>
      </c>
      <c r="G823" s="128">
        <v>903.4754339995418</v>
      </c>
      <c r="H823" s="128">
        <v>15.0</v>
      </c>
      <c r="I823" s="128">
        <v>891.1877111876444</v>
      </c>
      <c r="J823" s="44" t="s">
        <v>112</v>
      </c>
      <c r="K823" s="128">
        <v>963.9732756551534</v>
      </c>
      <c r="L823" s="128">
        <v>13.0</v>
      </c>
      <c r="M823" s="128">
        <v>949.8382889806135</v>
      </c>
      <c r="N823" s="44" t="s">
        <v>47</v>
      </c>
      <c r="O823" s="128">
        <v>1070.0215892337205</v>
      </c>
      <c r="P823" s="128">
        <v>25.0</v>
      </c>
      <c r="Q823" s="128">
        <v>1065.6436630072174</v>
      </c>
      <c r="V823" s="44" t="s">
        <v>123</v>
      </c>
      <c r="W823" s="128">
        <v>575.6198095921761</v>
      </c>
      <c r="X823" s="128">
        <v>15.0</v>
      </c>
      <c r="Y823" s="128">
        <v>581.1702817876561</v>
      </c>
      <c r="Z823" s="44" t="s">
        <v>98</v>
      </c>
      <c r="AA823" s="128">
        <v>932.6933856174577</v>
      </c>
      <c r="AB823" s="128">
        <v>11.0</v>
      </c>
      <c r="AC823" s="128">
        <v>932.8260761377795</v>
      </c>
      <c r="AD823" s="44" t="s">
        <v>61</v>
      </c>
      <c r="AE823" s="128">
        <v>1064.7699452576817</v>
      </c>
      <c r="AF823" s="128">
        <v>34.0</v>
      </c>
      <c r="AG823" s="128">
        <v>1083.6568661669555</v>
      </c>
      <c r="AH823" s="44" t="s">
        <v>27</v>
      </c>
      <c r="AI823" s="128">
        <v>1121.332833475233</v>
      </c>
      <c r="AJ823" s="128">
        <v>30.0</v>
      </c>
      <c r="AK823" s="128">
        <v>1136.7627498501572</v>
      </c>
      <c r="AP823" s="128">
        <v>8.0</v>
      </c>
      <c r="AQ823" s="128">
        <v>20.0</v>
      </c>
      <c r="AT823" s="44">
        <v>822.0</v>
      </c>
      <c r="AU823" s="44"/>
      <c r="AW823" s="93"/>
      <c r="AY823" s="93"/>
      <c r="AZ823" s="93"/>
      <c r="BA823" s="93"/>
      <c r="BB823" s="155"/>
      <c r="BC823" s="93"/>
      <c r="BE823" s="93"/>
      <c r="BG823" s="93"/>
      <c r="BH823" s="93"/>
      <c r="BI823" s="93"/>
      <c r="BJ823" s="155"/>
      <c r="BK823" s="93"/>
    </row>
    <row r="824">
      <c r="A824" s="166">
        <v>44549.07915135416</v>
      </c>
      <c r="B824" s="44" t="s">
        <v>88</v>
      </c>
      <c r="C824" s="128">
        <v>744.1095903322351</v>
      </c>
      <c r="D824" s="128">
        <v>15.0</v>
      </c>
      <c r="E824" s="128">
        <v>737.6810684589951</v>
      </c>
      <c r="F824" s="44" t="s">
        <v>98</v>
      </c>
      <c r="G824" s="128">
        <v>932.8260761377795</v>
      </c>
      <c r="H824" s="128">
        <v>17.0</v>
      </c>
      <c r="I824" s="128">
        <v>926.8416237044403</v>
      </c>
      <c r="J824" s="44" t="s">
        <v>112</v>
      </c>
      <c r="K824" s="128">
        <v>949.8382889806135</v>
      </c>
      <c r="L824" s="128">
        <v>27.0</v>
      </c>
      <c r="M824" s="128">
        <v>947.9937277624664</v>
      </c>
      <c r="N824" s="44" t="s">
        <v>47</v>
      </c>
      <c r="O824" s="128">
        <v>1065.6436630072174</v>
      </c>
      <c r="P824" s="128">
        <v>18.0</v>
      </c>
      <c r="Q824" s="128">
        <v>1059.9011985319437</v>
      </c>
      <c r="V824" s="44" t="s">
        <v>123</v>
      </c>
      <c r="W824" s="128">
        <v>581.1702817876561</v>
      </c>
      <c r="X824" s="128">
        <v>18.0</v>
      </c>
      <c r="Y824" s="128">
        <v>585.3514775355262</v>
      </c>
      <c r="Z824" s="44" t="s">
        <v>107</v>
      </c>
      <c r="AA824" s="128">
        <v>891.1877111876444</v>
      </c>
      <c r="AB824" s="128">
        <v>14.0</v>
      </c>
      <c r="AC824" s="128">
        <v>892.7923165208501</v>
      </c>
      <c r="AD824" s="44" t="s">
        <v>61</v>
      </c>
      <c r="AE824" s="128">
        <v>1083.6568661669555</v>
      </c>
      <c r="AF824" s="128">
        <v>29.0</v>
      </c>
      <c r="AG824" s="128">
        <v>1091.2069610667647</v>
      </c>
      <c r="AH824" s="44" t="s">
        <v>27</v>
      </c>
      <c r="AI824" s="128">
        <v>1136.7627498501572</v>
      </c>
      <c r="AJ824" s="128">
        <v>27.0</v>
      </c>
      <c r="AK824" s="128">
        <v>1143.4268538692722</v>
      </c>
      <c r="AP824" s="128">
        <v>12.0</v>
      </c>
      <c r="AQ824" s="128">
        <v>16.0</v>
      </c>
      <c r="AS824" s="44" t="s">
        <v>578</v>
      </c>
      <c r="AT824" s="44">
        <v>823.0</v>
      </c>
      <c r="AU824" s="44"/>
      <c r="AW824" s="93"/>
      <c r="AY824" s="93"/>
      <c r="AZ824" s="93"/>
      <c r="BA824" s="93"/>
      <c r="BB824" s="155"/>
      <c r="BC824" s="93"/>
      <c r="BE824" s="93"/>
      <c r="BG824" s="93"/>
      <c r="BH824" s="93"/>
      <c r="BI824" s="93"/>
      <c r="BJ824" s="155"/>
      <c r="BK824" s="93"/>
    </row>
    <row r="825">
      <c r="A825" s="166">
        <v>44549.108255914354</v>
      </c>
      <c r="B825" s="44" t="s">
        <v>88</v>
      </c>
      <c r="C825" s="128">
        <v>737.6810684589951</v>
      </c>
      <c r="D825" s="128">
        <v>14.0</v>
      </c>
      <c r="E825" s="128">
        <v>738.9503133237195</v>
      </c>
      <c r="F825" s="44" t="s">
        <v>34</v>
      </c>
      <c r="G825" s="128">
        <v>881.8369660123102</v>
      </c>
      <c r="H825" s="128">
        <v>16.0</v>
      </c>
      <c r="I825" s="128">
        <v>883.3322783713427</v>
      </c>
      <c r="J825" s="44" t="s">
        <v>107</v>
      </c>
      <c r="K825" s="128">
        <v>892.7923165208501</v>
      </c>
      <c r="L825" s="128">
        <v>32.0</v>
      </c>
      <c r="M825" s="128">
        <v>897.2782224241596</v>
      </c>
      <c r="N825" s="44" t="s">
        <v>47</v>
      </c>
      <c r="O825" s="128">
        <v>1059.9011985319437</v>
      </c>
      <c r="P825" s="128">
        <v>18.0</v>
      </c>
      <c r="Q825" s="128">
        <v>1061.6507354048772</v>
      </c>
      <c r="V825" s="44" t="s">
        <v>123</v>
      </c>
      <c r="W825" s="128">
        <v>585.3514775355262</v>
      </c>
      <c r="X825" s="128">
        <v>11.0</v>
      </c>
      <c r="Y825" s="128">
        <v>582.336456546091</v>
      </c>
      <c r="Z825" s="44" t="s">
        <v>92</v>
      </c>
      <c r="AA825" s="128">
        <v>911.0586986035046</v>
      </c>
      <c r="AB825" s="128">
        <v>17.0</v>
      </c>
      <c r="AC825" s="128">
        <v>908.8522878783857</v>
      </c>
      <c r="AD825" s="44" t="s">
        <v>112</v>
      </c>
      <c r="AE825" s="128">
        <v>947.9937277624664</v>
      </c>
      <c r="AF825" s="128">
        <v>16.0</v>
      </c>
      <c r="AG825" s="128">
        <v>945.5763056088261</v>
      </c>
      <c r="AH825" s="44" t="s">
        <v>61</v>
      </c>
      <c r="AI825" s="128">
        <v>1091.2069610667647</v>
      </c>
      <c r="AJ825" s="128">
        <v>22.0</v>
      </c>
      <c r="AK825" s="128">
        <v>1089.8458149349592</v>
      </c>
      <c r="AP825" s="128">
        <v>15.0</v>
      </c>
      <c r="AQ825" s="128">
        <v>13.0</v>
      </c>
      <c r="AS825" s="44" t="s">
        <v>339</v>
      </c>
      <c r="AT825" s="44">
        <v>824.0</v>
      </c>
      <c r="AU825" s="44"/>
      <c r="AW825" s="93"/>
      <c r="AY825" s="93"/>
      <c r="AZ825" s="93"/>
      <c r="BA825" s="93"/>
      <c r="BB825" s="155"/>
      <c r="BC825" s="93"/>
      <c r="BE825" s="93"/>
      <c r="BG825" s="93"/>
      <c r="BH825" s="93"/>
      <c r="BI825" s="93"/>
      <c r="BJ825" s="155"/>
      <c r="BK825" s="93"/>
    </row>
    <row r="826">
      <c r="A826" s="166">
        <v>44550.01037210648</v>
      </c>
      <c r="B826" s="44" t="s">
        <v>88</v>
      </c>
      <c r="C826" s="128">
        <v>738.9503133237195</v>
      </c>
      <c r="D826" s="128">
        <v>19.0</v>
      </c>
      <c r="E826" s="128">
        <v>740.1302271010402</v>
      </c>
      <c r="F826" s="44" t="s">
        <v>34</v>
      </c>
      <c r="G826" s="128">
        <v>883.3322783713427</v>
      </c>
      <c r="H826" s="128">
        <v>19.0</v>
      </c>
      <c r="I826" s="128">
        <v>884.418907903817</v>
      </c>
      <c r="J826" s="44" t="s">
        <v>35</v>
      </c>
      <c r="K826" s="128">
        <v>1616.4689177499406</v>
      </c>
      <c r="L826" s="128">
        <v>26.0</v>
      </c>
      <c r="M826" s="128">
        <v>1618.2023744401456</v>
      </c>
      <c r="N826" s="44"/>
      <c r="O826" s="128"/>
      <c r="P826" s="128"/>
      <c r="Q826" s="128"/>
      <c r="V826" s="44" t="s">
        <v>125</v>
      </c>
      <c r="W826" s="128">
        <v>820.4554795393913</v>
      </c>
      <c r="X826" s="128">
        <v>18.0</v>
      </c>
      <c r="Y826" s="128">
        <v>819.4610086098944</v>
      </c>
      <c r="Z826" s="44" t="s">
        <v>107</v>
      </c>
      <c r="AA826" s="128">
        <v>897.2782224241596</v>
      </c>
      <c r="AB826" s="128">
        <v>12.0</v>
      </c>
      <c r="AC826" s="128">
        <v>895.5852639086422</v>
      </c>
      <c r="AD826" s="44" t="s">
        <v>27</v>
      </c>
      <c r="AE826" s="128">
        <v>1143.4268538692722</v>
      </c>
      <c r="AF826" s="128">
        <v>16.0</v>
      </c>
      <c r="AG826" s="128">
        <v>1142.1142833142865</v>
      </c>
      <c r="AH826" s="44"/>
      <c r="AI826" s="128"/>
      <c r="AJ826" s="128"/>
      <c r="AK826" s="128"/>
      <c r="AP826" s="128">
        <v>17.0</v>
      </c>
      <c r="AQ826" s="128">
        <v>11.0</v>
      </c>
      <c r="AT826" s="44">
        <v>825.0</v>
      </c>
      <c r="AU826" s="44"/>
      <c r="AW826" s="93"/>
      <c r="AY826" s="93"/>
      <c r="AZ826" s="93"/>
      <c r="BA826" s="93"/>
      <c r="BB826" s="155"/>
      <c r="BC826" s="93"/>
      <c r="BE826" s="93"/>
      <c r="BG826" s="93"/>
      <c r="BH826" s="93"/>
      <c r="BI826" s="93"/>
      <c r="BJ826" s="155"/>
      <c r="BK826" s="93"/>
    </row>
    <row r="827">
      <c r="A827" s="166">
        <v>44550.04084714121</v>
      </c>
      <c r="B827" s="44" t="s">
        <v>88</v>
      </c>
      <c r="C827" s="128">
        <v>740.1302271010402</v>
      </c>
      <c r="D827" s="128">
        <v>10.0</v>
      </c>
      <c r="E827" s="128">
        <v>740.5820774131666</v>
      </c>
      <c r="F827" s="44" t="s">
        <v>125</v>
      </c>
      <c r="G827" s="128">
        <v>819.4610086098944</v>
      </c>
      <c r="H827" s="128">
        <v>14.0</v>
      </c>
      <c r="I827" s="128">
        <v>820.3091856585659</v>
      </c>
      <c r="J827" s="44" t="s">
        <v>35</v>
      </c>
      <c r="K827" s="128">
        <v>1618.2023744401456</v>
      </c>
      <c r="L827" s="128">
        <v>32.0</v>
      </c>
      <c r="M827" s="128">
        <v>1620.9023470793477</v>
      </c>
      <c r="N827" s="44"/>
      <c r="O827" s="128"/>
      <c r="P827" s="128"/>
      <c r="Q827" s="128"/>
      <c r="V827" s="44" t="s">
        <v>34</v>
      </c>
      <c r="W827" s="128">
        <v>884.418907903817</v>
      </c>
      <c r="X827" s="128">
        <v>16.0</v>
      </c>
      <c r="Y827" s="128">
        <v>882.928276765621</v>
      </c>
      <c r="Z827" s="44" t="s">
        <v>107</v>
      </c>
      <c r="AA827" s="128">
        <v>895.5852639086422</v>
      </c>
      <c r="AB827" s="128">
        <v>16.0</v>
      </c>
      <c r="AC827" s="128">
        <v>894.0897373013561</v>
      </c>
      <c r="AD827" s="44" t="s">
        <v>27</v>
      </c>
      <c r="AE827" s="128">
        <v>1142.1142833142865</v>
      </c>
      <c r="AF827" s="128">
        <v>21.0</v>
      </c>
      <c r="AG827" s="128">
        <v>1141.1004410597684</v>
      </c>
      <c r="AH827" s="44"/>
      <c r="AI827" s="128"/>
      <c r="AJ827" s="128"/>
      <c r="AK827" s="128"/>
      <c r="AP827" s="128">
        <v>15.0</v>
      </c>
      <c r="AQ827" s="128">
        <v>13.0</v>
      </c>
      <c r="AT827" s="44">
        <v>826.0</v>
      </c>
      <c r="AU827" s="44"/>
      <c r="AW827" s="93"/>
      <c r="AY827" s="93"/>
      <c r="AZ827" s="93"/>
      <c r="BA827" s="93"/>
      <c r="BB827" s="155"/>
      <c r="BC827" s="93"/>
      <c r="BE827" s="93"/>
      <c r="BG827" s="93"/>
      <c r="BH827" s="93"/>
      <c r="BI827" s="93"/>
      <c r="BJ827" s="155"/>
      <c r="BK827" s="93"/>
    </row>
    <row r="828">
      <c r="A828" s="166">
        <v>44551.006807349535</v>
      </c>
      <c r="B828" s="44" t="s">
        <v>127</v>
      </c>
      <c r="C828" s="128">
        <v>562.7</v>
      </c>
      <c r="D828" s="128">
        <v>13.0</v>
      </c>
      <c r="E828" s="128">
        <v>565.9834194472634</v>
      </c>
      <c r="F828" s="44" t="s">
        <v>121</v>
      </c>
      <c r="G828" s="128">
        <v>947.4060312392363</v>
      </c>
      <c r="H828" s="128">
        <v>15.0</v>
      </c>
      <c r="I828" s="128">
        <v>950.6591462733614</v>
      </c>
      <c r="J828" s="44" t="s">
        <v>27</v>
      </c>
      <c r="K828" s="128">
        <v>1141.1004410597684</v>
      </c>
      <c r="L828" s="128">
        <v>28.0</v>
      </c>
      <c r="M828" s="128">
        <v>1149.5639065783798</v>
      </c>
      <c r="N828" s="44"/>
      <c r="O828" s="128"/>
      <c r="P828" s="128"/>
      <c r="Q828" s="128"/>
      <c r="V828" s="44" t="s">
        <v>569</v>
      </c>
      <c r="W828" s="128">
        <v>793.99</v>
      </c>
      <c r="X828" s="128">
        <v>3.0</v>
      </c>
      <c r="Y828" s="128">
        <v>783.1163324429591</v>
      </c>
      <c r="Z828" s="44" t="s">
        <v>125</v>
      </c>
      <c r="AA828" s="128">
        <v>820.3091856585659</v>
      </c>
      <c r="AB828" s="128">
        <v>22.0</v>
      </c>
      <c r="AC828" s="128">
        <v>817.3029344317702</v>
      </c>
      <c r="AD828" s="44" t="s">
        <v>112</v>
      </c>
      <c r="AE828" s="128">
        <v>945.5763056088261</v>
      </c>
      <c r="AF828" s="128">
        <v>27.0</v>
      </c>
      <c r="AG828" s="128">
        <v>944.4562243926628</v>
      </c>
      <c r="AH828" s="44"/>
      <c r="AI828" s="128"/>
      <c r="AJ828" s="128"/>
      <c r="AK828" s="128"/>
      <c r="AP828" s="128">
        <v>17.0</v>
      </c>
      <c r="AQ828" s="128">
        <v>11.0</v>
      </c>
      <c r="AT828" s="44">
        <v>827.0</v>
      </c>
      <c r="AU828" s="44"/>
      <c r="AW828" s="93"/>
      <c r="AY828" s="93"/>
      <c r="AZ828" s="93"/>
      <c r="BA828" s="93"/>
      <c r="BB828" s="155"/>
      <c r="BC828" s="93"/>
      <c r="BE828" s="93"/>
      <c r="BG828" s="93"/>
      <c r="BH828" s="93"/>
      <c r="BI828" s="93"/>
      <c r="BJ828" s="155"/>
      <c r="BK828" s="93"/>
    </row>
    <row r="829">
      <c r="A829" s="166">
        <v>44551.971956678244</v>
      </c>
      <c r="B829" s="44" t="s">
        <v>34</v>
      </c>
      <c r="C829" s="128">
        <v>882.928276765621</v>
      </c>
      <c r="D829" s="128">
        <v>12.0</v>
      </c>
      <c r="E829" s="128">
        <v>886.109269676545</v>
      </c>
      <c r="F829" s="44" t="s">
        <v>61</v>
      </c>
      <c r="G829" s="128">
        <v>1089.8458149349592</v>
      </c>
      <c r="H829" s="128">
        <v>19.0</v>
      </c>
      <c r="I829" s="128">
        <v>1096.7460950211748</v>
      </c>
      <c r="J829" s="44" t="s">
        <v>27</v>
      </c>
      <c r="K829" s="128">
        <v>1149.5639065783798</v>
      </c>
      <c r="L829" s="128">
        <v>26.0</v>
      </c>
      <c r="M829" s="128">
        <v>1160.4826335812402</v>
      </c>
      <c r="N829" s="44"/>
      <c r="O829" s="128"/>
      <c r="P829" s="128"/>
      <c r="Q829" s="128"/>
      <c r="V829" s="44" t="s">
        <v>123</v>
      </c>
      <c r="W829" s="128">
        <v>582.336456546091</v>
      </c>
      <c r="X829" s="128">
        <v>11.0</v>
      </c>
      <c r="Y829" s="128">
        <v>572.1139435389326</v>
      </c>
      <c r="Z829" s="44" t="s">
        <v>112</v>
      </c>
      <c r="AA829" s="128">
        <v>944.4562243926628</v>
      </c>
      <c r="AB829" s="128">
        <v>15.0</v>
      </c>
      <c r="AC829" s="128">
        <v>935.4972427589572</v>
      </c>
      <c r="AD829" s="44" t="s">
        <v>35</v>
      </c>
      <c r="AE829" s="128">
        <v>1620.9023470793477</v>
      </c>
      <c r="AF829" s="128">
        <v>28.0</v>
      </c>
      <c r="AG829" s="128">
        <v>1619.0838417202117</v>
      </c>
      <c r="AH829" s="44"/>
      <c r="AI829" s="128"/>
      <c r="AJ829" s="128"/>
      <c r="AK829" s="128"/>
      <c r="AP829" s="128">
        <v>16.0</v>
      </c>
      <c r="AQ829" s="128">
        <v>12.0</v>
      </c>
      <c r="AS829" s="44" t="s">
        <v>232</v>
      </c>
      <c r="AT829" s="44">
        <v>828.0</v>
      </c>
      <c r="AU829" s="44"/>
      <c r="AW829" s="93"/>
      <c r="AY829" s="93"/>
      <c r="AZ829" s="93"/>
      <c r="BA829" s="93"/>
      <c r="BB829" s="155"/>
      <c r="BC829" s="93"/>
      <c r="BE829" s="93"/>
      <c r="BG829" s="93"/>
      <c r="BH829" s="93"/>
      <c r="BI829" s="93"/>
      <c r="BJ829" s="155"/>
      <c r="BK829" s="93"/>
    </row>
    <row r="830">
      <c r="A830" s="166">
        <v>44552.00716508101</v>
      </c>
      <c r="B830" s="44" t="s">
        <v>123</v>
      </c>
      <c r="C830" s="128">
        <v>572.1139435389326</v>
      </c>
      <c r="D830" s="128">
        <v>8.0</v>
      </c>
      <c r="E830" s="128">
        <v>572.269742599124</v>
      </c>
      <c r="F830" s="44" t="s">
        <v>125</v>
      </c>
      <c r="G830" s="128">
        <v>817.3029344317702</v>
      </c>
      <c r="H830" s="128">
        <v>12.0</v>
      </c>
      <c r="I830" s="128">
        <v>818.0004467779788</v>
      </c>
      <c r="J830" s="44" t="s">
        <v>34</v>
      </c>
      <c r="K830" s="128">
        <v>886.109269676545</v>
      </c>
      <c r="L830" s="128">
        <v>23.0</v>
      </c>
      <c r="M830" s="128">
        <v>889.2501149222112</v>
      </c>
      <c r="N830" s="44" t="s">
        <v>35</v>
      </c>
      <c r="O830" s="128">
        <v>1619.0838417202117</v>
      </c>
      <c r="P830" s="128">
        <v>41.0</v>
      </c>
      <c r="Q830" s="128">
        <v>1626.0896850681454</v>
      </c>
      <c r="V830" s="44" t="s">
        <v>88</v>
      </c>
      <c r="W830" s="128">
        <v>740.5820774131666</v>
      </c>
      <c r="X830" s="128">
        <v>16.0</v>
      </c>
      <c r="Y830" s="128">
        <v>737.188385132729</v>
      </c>
      <c r="Z830" s="44" t="s">
        <v>112</v>
      </c>
      <c r="AA830" s="128">
        <v>935.4972427589572</v>
      </c>
      <c r="AB830" s="128">
        <v>15.0</v>
      </c>
      <c r="AC830" s="128">
        <v>931.66667684692</v>
      </c>
      <c r="AD830" s="44" t="s">
        <v>61</v>
      </c>
      <c r="AE830" s="128">
        <v>1096.7460950211748</v>
      </c>
      <c r="AF830" s="128">
        <v>23.0</v>
      </c>
      <c r="AG830" s="128">
        <v>1094.6428195706383</v>
      </c>
      <c r="AH830" s="44" t="s">
        <v>27</v>
      </c>
      <c r="AI830" s="128">
        <v>1160.4826335812402</v>
      </c>
      <c r="AJ830" s="128">
        <v>25.0</v>
      </c>
      <c r="AK830" s="128">
        <v>1158.8101672242517</v>
      </c>
      <c r="AP830" s="128">
        <v>15.0</v>
      </c>
      <c r="AQ830" s="128">
        <v>13.0</v>
      </c>
      <c r="AS830" s="44" t="s">
        <v>295</v>
      </c>
      <c r="AT830" s="44">
        <v>829.0</v>
      </c>
      <c r="AU830" s="44"/>
      <c r="AW830" s="93"/>
      <c r="AY830" s="93"/>
      <c r="AZ830" s="93"/>
      <c r="BA830" s="93"/>
      <c r="BB830" s="155"/>
      <c r="BC830" s="93"/>
      <c r="BE830" s="93"/>
      <c r="BG830" s="93"/>
      <c r="BH830" s="93"/>
      <c r="BI830" s="93"/>
      <c r="BJ830" s="155"/>
      <c r="BK830" s="93"/>
    </row>
    <row r="831">
      <c r="A831" s="166">
        <v>44552.03602636574</v>
      </c>
      <c r="B831" s="44" t="s">
        <v>123</v>
      </c>
      <c r="C831" s="128">
        <v>572.269742599124</v>
      </c>
      <c r="D831" s="128">
        <v>11.0</v>
      </c>
      <c r="E831" s="128">
        <v>574.0790092583103</v>
      </c>
      <c r="F831" s="44" t="s">
        <v>125</v>
      </c>
      <c r="G831" s="128">
        <v>818.0004467779788</v>
      </c>
      <c r="H831" s="128">
        <v>17.0</v>
      </c>
      <c r="I831" s="128">
        <v>821.738704407445</v>
      </c>
      <c r="J831" s="44" t="s">
        <v>34</v>
      </c>
      <c r="K831" s="128">
        <v>889.2501149222112</v>
      </c>
      <c r="L831" s="128">
        <v>13.0</v>
      </c>
      <c r="M831" s="128">
        <v>891.0902069427754</v>
      </c>
      <c r="N831" s="44" t="s">
        <v>35</v>
      </c>
      <c r="O831" s="128">
        <v>1626.0896850681454</v>
      </c>
      <c r="P831" s="128">
        <v>41.0</v>
      </c>
      <c r="Q831" s="128">
        <v>1639.7020687589288</v>
      </c>
      <c r="V831" s="44" t="s">
        <v>88</v>
      </c>
      <c r="W831" s="128">
        <v>737.188385132729</v>
      </c>
      <c r="X831" s="128">
        <v>13.0</v>
      </c>
      <c r="Y831" s="128">
        <v>729.815997213599</v>
      </c>
      <c r="Z831" s="44" t="s">
        <v>112</v>
      </c>
      <c r="AA831" s="128">
        <v>931.66667684692</v>
      </c>
      <c r="AB831" s="128">
        <v>27.0</v>
      </c>
      <c r="AC831" s="128">
        <v>930.0422263425597</v>
      </c>
      <c r="AD831" s="44" t="s">
        <v>61</v>
      </c>
      <c r="AE831" s="128">
        <v>1094.6428195706383</v>
      </c>
      <c r="AF831" s="128">
        <v>13.0</v>
      </c>
      <c r="AG831" s="128">
        <v>1086.6977698794233</v>
      </c>
      <c r="AH831" s="44" t="s">
        <v>27</v>
      </c>
      <c r="AI831" s="128">
        <v>1158.8101672242517</v>
      </c>
      <c r="AJ831" s="128">
        <v>22.0</v>
      </c>
      <c r="AK831" s="128">
        <v>1154.752055338957</v>
      </c>
      <c r="AP831" s="128">
        <v>16.0</v>
      </c>
      <c r="AQ831" s="128">
        <v>12.0</v>
      </c>
      <c r="AS831" s="44" t="s">
        <v>408</v>
      </c>
      <c r="AT831" s="44">
        <v>830.0</v>
      </c>
      <c r="AU831" s="44"/>
      <c r="AW831" s="93"/>
      <c r="AY831" s="93"/>
      <c r="AZ831" s="93"/>
      <c r="BA831" s="93"/>
      <c r="BB831" s="155"/>
      <c r="BC831" s="93"/>
      <c r="BE831" s="93"/>
      <c r="BG831" s="93"/>
      <c r="BH831" s="93"/>
      <c r="BI831" s="93"/>
      <c r="BJ831" s="155"/>
      <c r="BK831" s="93"/>
    </row>
    <row r="832">
      <c r="A832" s="166">
        <v>44552.97188123842</v>
      </c>
      <c r="B832" s="44" t="s">
        <v>112</v>
      </c>
      <c r="C832" s="128">
        <v>930.0422263425597</v>
      </c>
      <c r="D832" s="128">
        <v>14.0</v>
      </c>
      <c r="E832" s="128">
        <v>924.3898877918593</v>
      </c>
      <c r="F832" s="44" t="s">
        <v>121</v>
      </c>
      <c r="G832" s="128">
        <v>950.6591462733614</v>
      </c>
      <c r="H832" s="128">
        <v>13.0</v>
      </c>
      <c r="I832" s="128">
        <v>944.5939707248465</v>
      </c>
      <c r="J832" s="44" t="s">
        <v>47</v>
      </c>
      <c r="K832" s="128">
        <v>1061.6507354048772</v>
      </c>
      <c r="L832" s="128">
        <v>23.0</v>
      </c>
      <c r="M832" s="128">
        <v>1059.3682495040925</v>
      </c>
      <c r="N832" s="44"/>
      <c r="O832" s="128"/>
      <c r="P832" s="128"/>
      <c r="Q832" s="128"/>
      <c r="V832" s="44" t="s">
        <v>127</v>
      </c>
      <c r="W832" s="128">
        <v>565.9834194472634</v>
      </c>
      <c r="X832" s="128">
        <v>4.0</v>
      </c>
      <c r="Y832" s="128">
        <v>565.6949755430251</v>
      </c>
      <c r="Z832" s="44" t="s">
        <v>61</v>
      </c>
      <c r="AA832" s="128">
        <v>1086.6977698794233</v>
      </c>
      <c r="AB832" s="128">
        <v>18.0</v>
      </c>
      <c r="AC832" s="128">
        <v>1090.9495903375653</v>
      </c>
      <c r="AD832" s="44" t="s">
        <v>27</v>
      </c>
      <c r="AE832" s="128">
        <v>1154.752055338957</v>
      </c>
      <c r="AF832" s="128">
        <v>33.0</v>
      </c>
      <c r="AG832" s="128">
        <v>1164.7886787850532</v>
      </c>
      <c r="AH832" s="44"/>
      <c r="AI832" s="128"/>
      <c r="AJ832" s="128"/>
      <c r="AK832" s="128"/>
      <c r="AP832" s="128">
        <v>13.0</v>
      </c>
      <c r="AQ832" s="128">
        <v>15.0</v>
      </c>
      <c r="AS832" s="44" t="s">
        <v>232</v>
      </c>
      <c r="AT832" s="44">
        <v>831.0</v>
      </c>
      <c r="AU832" s="44"/>
      <c r="AW832" s="93"/>
      <c r="AY832" s="93"/>
      <c r="AZ832" s="93"/>
      <c r="BA832" s="93"/>
      <c r="BB832" s="155"/>
      <c r="BC832" s="93"/>
      <c r="BE832" s="93"/>
      <c r="BG832" s="93"/>
      <c r="BH832" s="93"/>
      <c r="BI832" s="93"/>
      <c r="BJ832" s="155"/>
      <c r="BK832" s="93"/>
    </row>
    <row r="833">
      <c r="A833" s="166">
        <v>44553.00822658565</v>
      </c>
      <c r="B833" s="44" t="s">
        <v>112</v>
      </c>
      <c r="C833" s="128">
        <v>924.3898877918593</v>
      </c>
      <c r="D833" s="128">
        <v>22.0</v>
      </c>
      <c r="E833" s="128">
        <v>918.4794908639402</v>
      </c>
      <c r="F833" s="44" t="s">
        <v>121</v>
      </c>
      <c r="G833" s="128">
        <v>944.5939707248465</v>
      </c>
      <c r="H833" s="128">
        <v>5.0</v>
      </c>
      <c r="I833" s="128">
        <v>926.3571498723015</v>
      </c>
      <c r="J833" s="44" t="s">
        <v>47</v>
      </c>
      <c r="K833" s="128">
        <v>1059.3682495040925</v>
      </c>
      <c r="L833" s="128">
        <v>28.0</v>
      </c>
      <c r="M833" s="128">
        <v>1057.5154672845565</v>
      </c>
      <c r="N833" s="44"/>
      <c r="O833" s="128"/>
      <c r="P833" s="128"/>
      <c r="Q833" s="128"/>
      <c r="V833" s="44" t="s">
        <v>127</v>
      </c>
      <c r="W833" s="128">
        <v>565.6949755430251</v>
      </c>
      <c r="X833" s="128">
        <v>4.0</v>
      </c>
      <c r="Y833" s="128">
        <v>564.0635573614497</v>
      </c>
      <c r="Z833" s="44" t="s">
        <v>61</v>
      </c>
      <c r="AA833" s="128">
        <v>1090.9495903375653</v>
      </c>
      <c r="AB833" s="128">
        <v>29.0</v>
      </c>
      <c r="AC833" s="128">
        <v>1105.5392653172762</v>
      </c>
      <c r="AD833" s="44" t="s">
        <v>27</v>
      </c>
      <c r="AE833" s="128">
        <v>1164.7886787850532</v>
      </c>
      <c r="AF833" s="128">
        <v>27.0</v>
      </c>
      <c r="AG833" s="128">
        <v>1177.8304219869176</v>
      </c>
      <c r="AH833" s="44"/>
      <c r="AI833" s="128"/>
      <c r="AJ833" s="128"/>
      <c r="AK833" s="128"/>
      <c r="AP833" s="128">
        <v>12.0</v>
      </c>
      <c r="AQ833" s="128">
        <v>16.0</v>
      </c>
      <c r="AS833" s="44" t="s">
        <v>403</v>
      </c>
      <c r="AT833" s="44">
        <v>832.0</v>
      </c>
      <c r="AU833" s="44"/>
      <c r="AW833" s="93"/>
      <c r="AY833" s="93"/>
      <c r="AZ833" s="93"/>
      <c r="BA833" s="93"/>
      <c r="BB833" s="155"/>
      <c r="BC833" s="93"/>
      <c r="BE833" s="93"/>
      <c r="BG833" s="93"/>
      <c r="BH833" s="93"/>
      <c r="BI833" s="93"/>
      <c r="BJ833" s="155"/>
      <c r="BK833" s="93"/>
    </row>
    <row r="834">
      <c r="A834" s="166">
        <v>44553.04496798611</v>
      </c>
      <c r="B834" s="44" t="s">
        <v>125</v>
      </c>
      <c r="C834" s="128">
        <v>821.738704407445</v>
      </c>
      <c r="D834" s="128">
        <v>19.0</v>
      </c>
      <c r="E834" s="128">
        <v>825.0026763035073</v>
      </c>
      <c r="F834" s="44" t="s">
        <v>34</v>
      </c>
      <c r="G834" s="128">
        <v>891.0902069427754</v>
      </c>
      <c r="H834" s="128">
        <v>17.0</v>
      </c>
      <c r="I834" s="128">
        <v>893.5762922799936</v>
      </c>
      <c r="J834" s="44" t="s">
        <v>61</v>
      </c>
      <c r="K834" s="128">
        <v>1105.5392653172762</v>
      </c>
      <c r="L834" s="128">
        <v>29.0</v>
      </c>
      <c r="M834" s="128">
        <v>1111.7892080839956</v>
      </c>
      <c r="N834" s="44"/>
      <c r="O834" s="128"/>
      <c r="P834" s="128"/>
      <c r="Q834" s="128"/>
      <c r="V834" s="44" t="s">
        <v>127</v>
      </c>
      <c r="W834" s="128">
        <v>564.0635573614497</v>
      </c>
      <c r="X834" s="128">
        <v>12.0</v>
      </c>
      <c r="Y834" s="128">
        <v>559.1554877199212</v>
      </c>
      <c r="Z834" s="44" t="s">
        <v>121</v>
      </c>
      <c r="AA834" s="128">
        <v>926.3571498723015</v>
      </c>
      <c r="AB834" s="128">
        <v>10.0</v>
      </c>
      <c r="AC834" s="128">
        <v>920.2326224988876</v>
      </c>
      <c r="AD834" s="44" t="s">
        <v>27</v>
      </c>
      <c r="AE834" s="128">
        <v>1177.8304219869176</v>
      </c>
      <c r="AF834" s="128">
        <v>26.0</v>
      </c>
      <c r="AG834" s="128">
        <v>1176.86301900186</v>
      </c>
      <c r="AH834" s="44"/>
      <c r="AI834" s="128"/>
      <c r="AJ834" s="128"/>
      <c r="AK834" s="128"/>
      <c r="AP834" s="128">
        <v>17.0</v>
      </c>
      <c r="AQ834" s="128">
        <v>11.0</v>
      </c>
      <c r="AS834" s="44" t="s">
        <v>229</v>
      </c>
      <c r="AT834" s="44">
        <v>833.0</v>
      </c>
      <c r="AU834" s="44"/>
      <c r="AW834" s="93"/>
      <c r="AY834" s="93"/>
      <c r="AZ834" s="93"/>
      <c r="BA834" s="93"/>
      <c r="BB834" s="155"/>
      <c r="BC834" s="93"/>
      <c r="BE834" s="93"/>
      <c r="BG834" s="93"/>
      <c r="BH834" s="93"/>
      <c r="BI834" s="93"/>
      <c r="BJ834" s="155"/>
      <c r="BK834" s="93"/>
    </row>
    <row r="835">
      <c r="A835" s="166">
        <v>44556.89415078703</v>
      </c>
      <c r="B835" s="44" t="s">
        <v>58</v>
      </c>
      <c r="C835" s="128">
        <v>948.069566418146</v>
      </c>
      <c r="D835" s="128">
        <v>13.0</v>
      </c>
      <c r="E835" s="128">
        <v>943.5792834223666</v>
      </c>
      <c r="F835" s="44" t="s">
        <v>38</v>
      </c>
      <c r="G835" s="128">
        <v>952.5821677890583</v>
      </c>
      <c r="H835" s="128">
        <v>20.0</v>
      </c>
      <c r="I835" s="128">
        <v>950.0325053505326</v>
      </c>
      <c r="J835" s="44" t="s">
        <v>27</v>
      </c>
      <c r="K835" s="128">
        <v>1176.86301900186</v>
      </c>
      <c r="L835" s="128">
        <v>19.0</v>
      </c>
      <c r="M835" s="128">
        <v>1173.9029644361651</v>
      </c>
      <c r="N835" s="44"/>
      <c r="O835" s="128"/>
      <c r="P835" s="128"/>
      <c r="Q835" s="128"/>
      <c r="V835" s="44" t="s">
        <v>112</v>
      </c>
      <c r="W835" s="128">
        <v>918.4794908639402</v>
      </c>
      <c r="X835" s="128">
        <v>23.0</v>
      </c>
      <c r="Y835" s="128">
        <v>923.1027596851133</v>
      </c>
      <c r="Z835" s="44" t="s">
        <v>47</v>
      </c>
      <c r="AA835" s="128">
        <v>1057.5154672845565</v>
      </c>
      <c r="AB835" s="128">
        <v>22.0</v>
      </c>
      <c r="AC835" s="128">
        <v>1061.7474559650113</v>
      </c>
      <c r="AD835" s="44" t="s">
        <v>61</v>
      </c>
      <c r="AE835" s="128">
        <v>1111.7892080839956</v>
      </c>
      <c r="AF835" s="128">
        <v>11.0</v>
      </c>
      <c r="AG835" s="128">
        <v>1112.9339505823677</v>
      </c>
      <c r="AH835" s="44"/>
      <c r="AI835" s="128"/>
      <c r="AJ835" s="128"/>
      <c r="AK835" s="128"/>
      <c r="AP835" s="128">
        <v>13.0</v>
      </c>
      <c r="AQ835" s="128">
        <v>15.0</v>
      </c>
      <c r="AS835" s="44" t="s">
        <v>229</v>
      </c>
      <c r="AT835" s="44">
        <v>834.0</v>
      </c>
      <c r="AU835" s="44"/>
      <c r="AW835" s="93"/>
      <c r="AY835" s="93"/>
      <c r="AZ835" s="93"/>
      <c r="BA835" s="93"/>
      <c r="BB835" s="155"/>
      <c r="BC835" s="93"/>
      <c r="BE835" s="93"/>
      <c r="BG835" s="93"/>
      <c r="BH835" s="93"/>
      <c r="BI835" s="93"/>
      <c r="BJ835" s="155"/>
      <c r="BK835" s="93"/>
    </row>
    <row r="836">
      <c r="A836" s="166">
        <v>44556.94587506945</v>
      </c>
      <c r="B836" s="44" t="s">
        <v>123</v>
      </c>
      <c r="C836" s="128">
        <v>574.0790092583103</v>
      </c>
      <c r="D836" s="128">
        <v>23.0</v>
      </c>
      <c r="E836" s="128">
        <v>578.9652154511384</v>
      </c>
      <c r="F836" s="44" t="s">
        <v>569</v>
      </c>
      <c r="G836" s="128">
        <v>783.1163324429591</v>
      </c>
      <c r="H836" s="128">
        <v>3.0</v>
      </c>
      <c r="I836" s="128">
        <v>783.1263324429591</v>
      </c>
      <c r="J836" s="44" t="s">
        <v>38</v>
      </c>
      <c r="K836" s="128">
        <v>950.0325053505326</v>
      </c>
      <c r="L836" s="128">
        <v>27.0</v>
      </c>
      <c r="M836" s="128">
        <v>955.4658749253429</v>
      </c>
      <c r="N836" s="44" t="s">
        <v>47</v>
      </c>
      <c r="O836" s="128">
        <v>1061.7474559650113</v>
      </c>
      <c r="P836" s="128">
        <v>30.0</v>
      </c>
      <c r="Q836" s="128">
        <v>1068.092834277769</v>
      </c>
      <c r="R836" s="44" t="s">
        <v>61</v>
      </c>
      <c r="S836" s="128">
        <v>1112.9339505823677</v>
      </c>
      <c r="T836" s="128">
        <v>32.0</v>
      </c>
      <c r="U836" s="128">
        <v>1119.9319401443888</v>
      </c>
      <c r="V836" s="44" t="s">
        <v>127</v>
      </c>
      <c r="W836" s="128">
        <v>559.1554877199212</v>
      </c>
      <c r="X836" s="128">
        <v>8.0</v>
      </c>
      <c r="Y836" s="128">
        <v>551.7747859020006</v>
      </c>
      <c r="Z836" s="44" t="s">
        <v>125</v>
      </c>
      <c r="AA836" s="128">
        <v>825.0026763035073</v>
      </c>
      <c r="AB836" s="128">
        <v>20.0</v>
      </c>
      <c r="AC836" s="128">
        <v>821.2639959801586</v>
      </c>
      <c r="AD836" s="44" t="s">
        <v>58</v>
      </c>
      <c r="AE836" s="128">
        <v>943.5792834223666</v>
      </c>
      <c r="AF836" s="128">
        <v>25.0</v>
      </c>
      <c r="AG836" s="128">
        <v>941.4217718479304</v>
      </c>
      <c r="AH836" s="44" t="s">
        <v>572</v>
      </c>
      <c r="AI836" s="128">
        <v>998.8854397303426</v>
      </c>
      <c r="AJ836" s="128">
        <v>17.0</v>
      </c>
      <c r="AK836" s="128">
        <v>993.8658369099135</v>
      </c>
      <c r="AL836" s="44" t="s">
        <v>27</v>
      </c>
      <c r="AM836" s="128">
        <v>1173.9029644361651</v>
      </c>
      <c r="AN836" s="128">
        <v>24.0</v>
      </c>
      <c r="AO836" s="128">
        <v>1171.1994609723</v>
      </c>
      <c r="AP836" s="128">
        <v>16.0</v>
      </c>
      <c r="AQ836" s="128">
        <v>12.0</v>
      </c>
      <c r="AS836" s="44" t="s">
        <v>231</v>
      </c>
      <c r="AT836" s="44">
        <v>835.0</v>
      </c>
      <c r="AU836" s="44"/>
      <c r="AV836" s="44" t="s">
        <v>112</v>
      </c>
      <c r="AW836" s="145">
        <v>923.1</v>
      </c>
      <c r="AX836" s="44">
        <v>22.0</v>
      </c>
      <c r="AY836" s="145">
        <v>927.2</v>
      </c>
      <c r="AZ836" s="93"/>
      <c r="BA836" s="93"/>
      <c r="BB836" s="155"/>
      <c r="BC836" s="93"/>
      <c r="BD836" s="44" t="s">
        <v>121</v>
      </c>
      <c r="BE836" s="145">
        <v>920.23</v>
      </c>
      <c r="BF836" s="44">
        <v>15.0</v>
      </c>
      <c r="BG836" s="145">
        <v>913.8</v>
      </c>
      <c r="BH836" s="93"/>
      <c r="BI836" s="93"/>
      <c r="BJ836" s="155"/>
      <c r="BK836" s="93"/>
    </row>
    <row r="837">
      <c r="A837" s="166">
        <v>44557.00045636574</v>
      </c>
      <c r="B837" s="44" t="s">
        <v>112</v>
      </c>
      <c r="C837" s="128">
        <v>927.2</v>
      </c>
      <c r="D837" s="128">
        <v>20.0</v>
      </c>
      <c r="E837" s="128">
        <v>921.1938164572035</v>
      </c>
      <c r="F837" s="44" t="s">
        <v>38</v>
      </c>
      <c r="G837" s="128">
        <v>955.4658749253429</v>
      </c>
      <c r="H837" s="128">
        <v>27.0</v>
      </c>
      <c r="I837" s="128">
        <v>951.554960393086</v>
      </c>
      <c r="J837" s="44" t="s">
        <v>27</v>
      </c>
      <c r="K837" s="128">
        <v>1171.1994609723</v>
      </c>
      <c r="L837" s="128">
        <v>37.0</v>
      </c>
      <c r="M837" s="128">
        <v>1170.1165590473531</v>
      </c>
      <c r="N837" s="44"/>
      <c r="O837" s="128"/>
      <c r="P837" s="128"/>
      <c r="Q837" s="128"/>
      <c r="V837" s="44" t="s">
        <v>125</v>
      </c>
      <c r="W837" s="128">
        <v>821.2639959801586</v>
      </c>
      <c r="X837" s="128">
        <v>16.0</v>
      </c>
      <c r="Y837" s="128">
        <v>821.3365432363937</v>
      </c>
      <c r="Z837" s="44" t="s">
        <v>47</v>
      </c>
      <c r="AA837" s="128">
        <v>1068.092834277769</v>
      </c>
      <c r="AB837" s="128">
        <v>43.0</v>
      </c>
      <c r="AC837" s="128">
        <v>1076.0257903203828</v>
      </c>
      <c r="AD837" s="44" t="s">
        <v>61</v>
      </c>
      <c r="AE837" s="128">
        <v>1119.9319401443888</v>
      </c>
      <c r="AF837" s="128">
        <v>27.0</v>
      </c>
      <c r="AG837" s="128">
        <v>1122.92643684554</v>
      </c>
      <c r="AH837" s="44"/>
      <c r="AI837" s="128"/>
      <c r="AJ837" s="128"/>
      <c r="AK837" s="128"/>
      <c r="AP837" s="128">
        <v>19.0</v>
      </c>
      <c r="AQ837" s="128">
        <v>23.0</v>
      </c>
      <c r="AS837" s="44" t="s">
        <v>579</v>
      </c>
      <c r="AT837" s="44">
        <v>836.0</v>
      </c>
      <c r="AU837" s="44"/>
      <c r="AW837" s="93"/>
      <c r="AY837" s="93"/>
      <c r="AZ837" s="93"/>
      <c r="BA837" s="93"/>
      <c r="BB837" s="155"/>
      <c r="BC837" s="93"/>
      <c r="BE837" s="93"/>
      <c r="BG837" s="93"/>
      <c r="BH837" s="93"/>
      <c r="BI837" s="93"/>
      <c r="BJ837" s="155"/>
      <c r="BK837" s="93"/>
    </row>
    <row r="838">
      <c r="A838" s="166">
        <v>44557.902503634265</v>
      </c>
      <c r="B838" s="44" t="s">
        <v>112</v>
      </c>
      <c r="C838" s="128">
        <v>921.1938164572035</v>
      </c>
      <c r="D838" s="128">
        <v>19.0</v>
      </c>
      <c r="E838" s="128">
        <v>916.6451148863313</v>
      </c>
      <c r="F838" s="44" t="s">
        <v>58</v>
      </c>
      <c r="G838" s="128">
        <v>941.4217718479304</v>
      </c>
      <c r="H838" s="128">
        <v>15.0</v>
      </c>
      <c r="I838" s="128">
        <v>935.2899018795023</v>
      </c>
      <c r="J838" s="44" t="s">
        <v>23</v>
      </c>
      <c r="K838" s="128">
        <v>1470.662129842505</v>
      </c>
      <c r="L838" s="128">
        <v>23.0</v>
      </c>
      <c r="M838" s="128">
        <v>1467.3427013818052</v>
      </c>
      <c r="N838" s="44"/>
      <c r="O838" s="128"/>
      <c r="P838" s="128"/>
      <c r="Q838" s="128"/>
      <c r="V838" s="44" t="s">
        <v>38</v>
      </c>
      <c r="W838" s="128">
        <v>951.554960393086</v>
      </c>
      <c r="X838" s="128">
        <v>23.0</v>
      </c>
      <c r="Y838" s="128">
        <v>958.2708215873879</v>
      </c>
      <c r="Z838" s="44" t="s">
        <v>47</v>
      </c>
      <c r="AA838" s="128">
        <v>1076.0257903203828</v>
      </c>
      <c r="AB838" s="128">
        <v>10.0</v>
      </c>
      <c r="AC838" s="128">
        <v>1077.560672830688</v>
      </c>
      <c r="AD838" s="44" t="s">
        <v>27</v>
      </c>
      <c r="AE838" s="128">
        <v>1170.1165590473531</v>
      </c>
      <c r="AF838" s="128">
        <v>21.0</v>
      </c>
      <c r="AG838" s="128">
        <v>1175.8658153427461</v>
      </c>
      <c r="AH838" s="44"/>
      <c r="AI838" s="128"/>
      <c r="AJ838" s="128"/>
      <c r="AK838" s="128"/>
      <c r="AP838" s="128">
        <v>13.0</v>
      </c>
      <c r="AQ838" s="128">
        <v>15.0</v>
      </c>
      <c r="AS838" s="44" t="s">
        <v>229</v>
      </c>
      <c r="AT838" s="44">
        <v>837.0</v>
      </c>
      <c r="AU838" s="44"/>
      <c r="AW838" s="93"/>
      <c r="AY838" s="93"/>
      <c r="AZ838" s="93"/>
      <c r="BA838" s="93"/>
      <c r="BB838" s="155"/>
      <c r="BC838" s="93"/>
      <c r="BE838" s="93"/>
      <c r="BG838" s="93"/>
      <c r="BH838" s="93"/>
      <c r="BI838" s="93"/>
      <c r="BJ838" s="155"/>
      <c r="BK838" s="93"/>
    </row>
    <row r="839">
      <c r="A839" s="166">
        <v>44557.96065951389</v>
      </c>
      <c r="B839" s="44" t="s">
        <v>125</v>
      </c>
      <c r="C839" s="128">
        <v>821.3365432363937</v>
      </c>
      <c r="D839" s="128">
        <v>23.0</v>
      </c>
      <c r="E839" s="128">
        <v>825.6875146019479</v>
      </c>
      <c r="F839" s="44" t="s">
        <v>92</v>
      </c>
      <c r="G839" s="128">
        <v>908.8522878783857</v>
      </c>
      <c r="H839" s="128">
        <v>22.0</v>
      </c>
      <c r="I839" s="128">
        <v>912.7243521043146</v>
      </c>
      <c r="J839" s="44" t="s">
        <v>58</v>
      </c>
      <c r="K839" s="128">
        <v>935.2899018795023</v>
      </c>
      <c r="L839" s="128">
        <v>19.0</v>
      </c>
      <c r="M839" s="128">
        <v>938.1238989398887</v>
      </c>
      <c r="N839" s="44" t="s">
        <v>47</v>
      </c>
      <c r="O839" s="128">
        <v>1077.560672830688</v>
      </c>
      <c r="P839" s="128">
        <v>18.0</v>
      </c>
      <c r="Q839" s="128">
        <v>1079.9010896743264</v>
      </c>
      <c r="R839" s="44" t="s">
        <v>27</v>
      </c>
      <c r="S839" s="128">
        <v>1175.8658153427461</v>
      </c>
      <c r="T839" s="128">
        <v>31.0</v>
      </c>
      <c r="U839" s="128">
        <v>1182.4683658472384</v>
      </c>
      <c r="V839" s="44" t="s">
        <v>123</v>
      </c>
      <c r="W839" s="128">
        <v>578.9652154511384</v>
      </c>
      <c r="X839" s="128">
        <v>16.0</v>
      </c>
      <c r="Y839" s="128">
        <v>575.2063500375388</v>
      </c>
      <c r="Z839" s="44" t="s">
        <v>112</v>
      </c>
      <c r="AA839" s="128">
        <v>916.6451148863313</v>
      </c>
      <c r="AB839" s="128">
        <v>19.0</v>
      </c>
      <c r="AC839" s="128">
        <v>913.3458748373222</v>
      </c>
      <c r="AD839" s="44" t="s">
        <v>38</v>
      </c>
      <c r="AE839" s="128">
        <v>958.2708215873879</v>
      </c>
      <c r="AF839" s="128">
        <v>26.0</v>
      </c>
      <c r="AG839" s="128">
        <v>957.2615941095223</v>
      </c>
      <c r="AH839" s="44" t="s">
        <v>572</v>
      </c>
      <c r="AI839" s="128">
        <v>993.8658369099135</v>
      </c>
      <c r="AJ839" s="128">
        <v>3.0</v>
      </c>
      <c r="AK839" s="128">
        <v>985.1568157587596</v>
      </c>
      <c r="AL839" s="44" t="s">
        <v>23</v>
      </c>
      <c r="AM839" s="128">
        <v>1467.3427013818052</v>
      </c>
      <c r="AN839" s="128">
        <v>20.0</v>
      </c>
      <c r="AO839" s="128">
        <v>1464.1190554734333</v>
      </c>
      <c r="AP839" s="128">
        <v>16.0</v>
      </c>
      <c r="AQ839" s="128">
        <v>12.0</v>
      </c>
      <c r="AS839" s="44" t="s">
        <v>231</v>
      </c>
      <c r="AT839" s="44">
        <v>838.0</v>
      </c>
      <c r="AU839" s="44"/>
      <c r="AW839" s="93"/>
      <c r="AY839" s="93"/>
      <c r="AZ839" s="93"/>
      <c r="BA839" s="93"/>
      <c r="BB839" s="155"/>
      <c r="BC839" s="93"/>
      <c r="BE839" s="93"/>
      <c r="BG839" s="93"/>
      <c r="BH839" s="93"/>
      <c r="BI839" s="93"/>
      <c r="BJ839" s="155"/>
      <c r="BK839" s="93"/>
    </row>
    <row r="840">
      <c r="A840" s="166">
        <v>44558.014542199075</v>
      </c>
      <c r="B840" s="44" t="s">
        <v>125</v>
      </c>
      <c r="C840" s="128">
        <v>825.6875146019479</v>
      </c>
      <c r="D840" s="128">
        <v>28.0</v>
      </c>
      <c r="E840" s="128">
        <v>825.6975146019479</v>
      </c>
      <c r="F840" s="44" t="s">
        <v>112</v>
      </c>
      <c r="G840" s="128">
        <v>913.3458748373222</v>
      </c>
      <c r="H840" s="128">
        <v>25.0</v>
      </c>
      <c r="I840" s="128">
        <v>913.3558748373222</v>
      </c>
      <c r="J840" s="44" t="s">
        <v>98</v>
      </c>
      <c r="K840" s="128">
        <v>926.8416237044403</v>
      </c>
      <c r="L840" s="128">
        <v>11.0</v>
      </c>
      <c r="M840" s="128">
        <v>926.8516237044403</v>
      </c>
      <c r="N840" s="44" t="s">
        <v>23</v>
      </c>
      <c r="O840" s="128">
        <v>1464.1190554734333</v>
      </c>
      <c r="P840" s="128">
        <v>47.0</v>
      </c>
      <c r="Q840" s="128">
        <v>1464.1290554734333</v>
      </c>
      <c r="V840" s="44" t="s">
        <v>92</v>
      </c>
      <c r="W840" s="128">
        <v>912.7243521043146</v>
      </c>
      <c r="X840" s="128">
        <v>30.0</v>
      </c>
      <c r="Y840" s="128">
        <v>912.7243521043146</v>
      </c>
      <c r="Z840" s="44" t="s">
        <v>38</v>
      </c>
      <c r="AA840" s="128">
        <v>957.2615941095223</v>
      </c>
      <c r="AB840" s="128">
        <v>32.0</v>
      </c>
      <c r="AC840" s="128">
        <v>957.2615941095223</v>
      </c>
      <c r="AD840" s="44" t="s">
        <v>47</v>
      </c>
      <c r="AE840" s="128">
        <v>1079.9010896743264</v>
      </c>
      <c r="AF840" s="128">
        <v>31.0</v>
      </c>
      <c r="AG840" s="128">
        <v>1079.9010896743264</v>
      </c>
      <c r="AH840" s="44" t="s">
        <v>27</v>
      </c>
      <c r="AI840" s="128">
        <v>1182.4683658472384</v>
      </c>
      <c r="AJ840" s="128">
        <v>22.0</v>
      </c>
      <c r="AK840" s="128">
        <v>1182.4683658472384</v>
      </c>
      <c r="AP840" s="128">
        <v>21.0</v>
      </c>
      <c r="AQ840" s="128">
        <v>21.0</v>
      </c>
      <c r="AS840" s="44" t="s">
        <v>580</v>
      </c>
      <c r="AT840" s="44">
        <v>839.0</v>
      </c>
      <c r="AU840" s="44"/>
      <c r="AW840" s="93"/>
      <c r="AY840" s="93"/>
      <c r="AZ840" s="93"/>
      <c r="BA840" s="93"/>
      <c r="BB840" s="155"/>
      <c r="BC840" s="93"/>
      <c r="BE840" s="93"/>
      <c r="BG840" s="93"/>
      <c r="BH840" s="93"/>
      <c r="BI840" s="93"/>
      <c r="BJ840" s="155"/>
      <c r="BK840" s="93"/>
    </row>
    <row r="841">
      <c r="A841" s="166">
        <v>44558.91903880787</v>
      </c>
      <c r="B841" s="44" t="s">
        <v>88</v>
      </c>
      <c r="C841" s="128">
        <v>729.815997213599</v>
      </c>
      <c r="D841" s="128">
        <v>24.0</v>
      </c>
      <c r="E841" s="128">
        <v>727.7157788735233</v>
      </c>
      <c r="F841" s="44" t="s">
        <v>125</v>
      </c>
      <c r="G841" s="128">
        <v>825.6975146019479</v>
      </c>
      <c r="H841" s="128">
        <v>14.0</v>
      </c>
      <c r="I841" s="128">
        <v>819.2503345936249</v>
      </c>
      <c r="J841" s="44" t="s">
        <v>58</v>
      </c>
      <c r="K841" s="128">
        <v>938.1238989398887</v>
      </c>
      <c r="L841" s="128">
        <v>13.0</v>
      </c>
      <c r="M841" s="128">
        <v>931.0910246962952</v>
      </c>
      <c r="N841" s="44" t="s">
        <v>23</v>
      </c>
      <c r="O841" s="128">
        <v>1464.1290554734333</v>
      </c>
      <c r="P841" s="128">
        <v>20.0</v>
      </c>
      <c r="Q841" s="128">
        <v>1459.7093280654256</v>
      </c>
      <c r="V841" s="44" t="s">
        <v>123</v>
      </c>
      <c r="W841" s="128">
        <v>575.2063500375388</v>
      </c>
      <c r="X841" s="128">
        <v>12.0</v>
      </c>
      <c r="Y841" s="128">
        <v>577.4378371205055</v>
      </c>
      <c r="Z841" s="44" t="s">
        <v>47</v>
      </c>
      <c r="AA841" s="128">
        <v>1079.9010896743264</v>
      </c>
      <c r="AB841" s="128">
        <v>27.0</v>
      </c>
      <c r="AC841" s="128">
        <v>1087.3917779698256</v>
      </c>
      <c r="AD841" s="44" t="s">
        <v>61</v>
      </c>
      <c r="AE841" s="128">
        <v>1122.92643684554</v>
      </c>
      <c r="AF841" s="128">
        <v>16.0</v>
      </c>
      <c r="AG841" s="128">
        <v>1125.7953858535327</v>
      </c>
      <c r="AH841" s="44" t="s">
        <v>27</v>
      </c>
      <c r="AI841" s="128">
        <v>1182.4683658472384</v>
      </c>
      <c r="AJ841" s="128">
        <v>27.0</v>
      </c>
      <c r="AK841" s="128">
        <v>1189.8772414607795</v>
      </c>
      <c r="AP841" s="128">
        <v>12.0</v>
      </c>
      <c r="AQ841" s="128">
        <v>16.0</v>
      </c>
      <c r="AT841" s="44">
        <v>840.0</v>
      </c>
      <c r="AU841" s="44"/>
      <c r="AW841" s="93"/>
      <c r="AY841" s="93"/>
      <c r="AZ841" s="93"/>
      <c r="BA841" s="93"/>
      <c r="BB841" s="155"/>
      <c r="BC841" s="93"/>
      <c r="BE841" s="93"/>
      <c r="BG841" s="93"/>
      <c r="BH841" s="93"/>
      <c r="BI841" s="93"/>
      <c r="BJ841" s="155"/>
      <c r="BK841" s="93"/>
    </row>
    <row r="842">
      <c r="A842" s="166">
        <v>44558.964818506945</v>
      </c>
      <c r="B842" s="44" t="s">
        <v>88</v>
      </c>
      <c r="C842" s="128">
        <v>727.7157788735233</v>
      </c>
      <c r="D842" s="128">
        <v>15.0</v>
      </c>
      <c r="E842" s="128">
        <v>724.9824661876653</v>
      </c>
      <c r="F842" s="44" t="s">
        <v>112</v>
      </c>
      <c r="G842" s="128">
        <v>913.3558748373222</v>
      </c>
      <c r="H842" s="128">
        <v>21.0</v>
      </c>
      <c r="I842" s="128">
        <v>911.4768594933686</v>
      </c>
      <c r="J842" s="44" t="s">
        <v>576</v>
      </c>
      <c r="K842" s="128">
        <v>994.0016406582</v>
      </c>
      <c r="L842" s="128">
        <v>12.0</v>
      </c>
      <c r="M842" s="128">
        <v>990.5767606490958</v>
      </c>
      <c r="N842" s="44" t="s">
        <v>47</v>
      </c>
      <c r="O842" s="128">
        <v>1087.3917779698256</v>
      </c>
      <c r="P842" s="128">
        <v>25.0</v>
      </c>
      <c r="Q842" s="128">
        <v>1086.0927247423467</v>
      </c>
      <c r="R842" s="44" t="s">
        <v>27</v>
      </c>
      <c r="S842" s="128">
        <v>1189.8772414607795</v>
      </c>
      <c r="T842" s="128">
        <v>29.0</v>
      </c>
      <c r="U842" s="128">
        <v>1189.213502727174</v>
      </c>
      <c r="V842" s="44" t="s">
        <v>123</v>
      </c>
      <c r="W842" s="128">
        <v>577.4378371205055</v>
      </c>
      <c r="X842" s="128">
        <v>15.0</v>
      </c>
      <c r="Y842" s="128">
        <v>578.7330045492706</v>
      </c>
      <c r="Z842" s="44" t="s">
        <v>125</v>
      </c>
      <c r="AA842" s="128">
        <v>819.2503345936249</v>
      </c>
      <c r="AB842" s="128">
        <v>15.0</v>
      </c>
      <c r="AC842" s="128">
        <v>820.2975745005979</v>
      </c>
      <c r="AD842" s="44" t="s">
        <v>58</v>
      </c>
      <c r="AE842" s="128">
        <v>931.0910246962952</v>
      </c>
      <c r="AF842" s="128">
        <v>25.0</v>
      </c>
      <c r="AG842" s="128">
        <v>933.723904329338</v>
      </c>
      <c r="AH842" s="44" t="s">
        <v>61</v>
      </c>
      <c r="AI842" s="128">
        <v>1125.7953858535327</v>
      </c>
      <c r="AJ842" s="128">
        <v>23.0</v>
      </c>
      <c r="AK842" s="128">
        <v>1128.0021394602634</v>
      </c>
      <c r="AL842" s="44" t="s">
        <v>23</v>
      </c>
      <c r="AM842" s="128">
        <v>1459.7093280654256</v>
      </c>
      <c r="AN842" s="128">
        <v>27.0</v>
      </c>
      <c r="AO842" s="128">
        <v>1462.527287489914</v>
      </c>
      <c r="AP842" s="128">
        <v>13.0</v>
      </c>
      <c r="AQ842" s="128">
        <v>15.0</v>
      </c>
      <c r="AT842" s="44">
        <v>841.0</v>
      </c>
      <c r="AU842" s="44"/>
      <c r="AW842" s="93"/>
      <c r="AY842" s="93"/>
      <c r="AZ842" s="93"/>
      <c r="BA842" s="93"/>
      <c r="BB842" s="155"/>
      <c r="BC842" s="93"/>
      <c r="BE842" s="93"/>
      <c r="BG842" s="93"/>
      <c r="BH842" s="93"/>
      <c r="BI842" s="93"/>
      <c r="BJ842" s="155"/>
      <c r="BK842" s="93"/>
    </row>
    <row r="843">
      <c r="A843" s="166">
        <v>44559.018898553244</v>
      </c>
      <c r="B843" s="44" t="s">
        <v>88</v>
      </c>
      <c r="C843" s="128">
        <v>724.9824661876653</v>
      </c>
      <c r="D843" s="128">
        <v>16.0</v>
      </c>
      <c r="E843" s="128">
        <v>725.1159440855038</v>
      </c>
      <c r="F843" s="44" t="s">
        <v>34</v>
      </c>
      <c r="G843" s="128">
        <v>893.5762922799936</v>
      </c>
      <c r="H843" s="128">
        <v>22.0</v>
      </c>
      <c r="I843" s="128">
        <v>894.5200037694938</v>
      </c>
      <c r="J843" s="44" t="s">
        <v>47</v>
      </c>
      <c r="K843" s="128">
        <v>1086.0927247423467</v>
      </c>
      <c r="L843" s="128">
        <v>32.0</v>
      </c>
      <c r="M843" s="128">
        <v>1088.5642738035478</v>
      </c>
      <c r="N843" s="44" t="s">
        <v>61</v>
      </c>
      <c r="O843" s="128">
        <v>1128.0021394602634</v>
      </c>
      <c r="P843" s="128">
        <v>44.0</v>
      </c>
      <c r="Q843" s="128">
        <v>1132.4534010117236</v>
      </c>
      <c r="V843" s="44" t="s">
        <v>123</v>
      </c>
      <c r="W843" s="128">
        <v>578.7330045492706</v>
      </c>
      <c r="X843" s="128">
        <v>24.0</v>
      </c>
      <c r="Y843" s="128">
        <v>576.33806129999</v>
      </c>
      <c r="Z843" s="44" t="s">
        <v>125</v>
      </c>
      <c r="AA843" s="128">
        <v>820.2975745005979</v>
      </c>
      <c r="AB843" s="128">
        <v>14.0</v>
      </c>
      <c r="AC843" s="128">
        <v>815.8976833312393</v>
      </c>
      <c r="AD843" s="44" t="s">
        <v>112</v>
      </c>
      <c r="AE843" s="128">
        <v>911.4768594933686</v>
      </c>
      <c r="AF843" s="128">
        <v>38.0</v>
      </c>
      <c r="AG843" s="128">
        <v>910.9845913992804</v>
      </c>
      <c r="AH843" s="44" t="s">
        <v>23</v>
      </c>
      <c r="AI843" s="128">
        <v>1462.527287489914</v>
      </c>
      <c r="AJ843" s="128">
        <v>38.0</v>
      </c>
      <c r="AK843" s="128">
        <v>1461.8143900026414</v>
      </c>
      <c r="AP843" s="128">
        <v>22.0</v>
      </c>
      <c r="AQ843" s="128">
        <v>20.0</v>
      </c>
      <c r="AT843" s="44">
        <v>842.0</v>
      </c>
      <c r="AU843" s="44"/>
      <c r="AW843" s="93"/>
      <c r="AY843" s="93"/>
      <c r="AZ843" s="93"/>
      <c r="BA843" s="93"/>
      <c r="BB843" s="155"/>
      <c r="BC843" s="93"/>
      <c r="BE843" s="93"/>
      <c r="BG843" s="93"/>
      <c r="BH843" s="93"/>
      <c r="BI843" s="93"/>
      <c r="BJ843" s="155"/>
      <c r="BK843" s="93"/>
    </row>
    <row r="844">
      <c r="A844" s="166">
        <v>44559.04729533565</v>
      </c>
      <c r="B844" s="44" t="s">
        <v>123</v>
      </c>
      <c r="C844" s="128">
        <v>576.33806129999</v>
      </c>
      <c r="D844" s="128">
        <v>15.0</v>
      </c>
      <c r="E844" s="128">
        <v>569.3481925265406</v>
      </c>
      <c r="F844" s="44" t="s">
        <v>125</v>
      </c>
      <c r="G844" s="128">
        <v>815.8976833312393</v>
      </c>
      <c r="H844" s="128">
        <v>13.0</v>
      </c>
      <c r="I844" s="128">
        <v>807.1333882592321</v>
      </c>
      <c r="J844" s="44" t="s">
        <v>61</v>
      </c>
      <c r="K844" s="128">
        <v>1132.4534010117236</v>
      </c>
      <c r="L844" s="128">
        <v>22.0</v>
      </c>
      <c r="M844" s="128">
        <v>1128.2075648571802</v>
      </c>
      <c r="N844" s="44"/>
      <c r="O844" s="128"/>
      <c r="P844" s="128"/>
      <c r="Q844" s="128"/>
      <c r="V844" s="44" t="s">
        <v>88</v>
      </c>
      <c r="W844" s="128">
        <v>725.1159440855038</v>
      </c>
      <c r="X844" s="128">
        <v>22.0</v>
      </c>
      <c r="Y844" s="128">
        <v>733.0273760242263</v>
      </c>
      <c r="Z844" s="44" t="s">
        <v>34</v>
      </c>
      <c r="AA844" s="128">
        <v>894.5200037694938</v>
      </c>
      <c r="AB844" s="128">
        <v>15.0</v>
      </c>
      <c r="AC844" s="128">
        <v>898.0824018876928</v>
      </c>
      <c r="AD844" s="44" t="s">
        <v>112</v>
      </c>
      <c r="AE844" s="128">
        <v>910.9845913992804</v>
      </c>
      <c r="AF844" s="128">
        <v>24.0</v>
      </c>
      <c r="AG844" s="128">
        <v>919.5107613423588</v>
      </c>
      <c r="AH844" s="44"/>
      <c r="AI844" s="128"/>
      <c r="AJ844" s="128"/>
      <c r="AK844" s="128"/>
      <c r="AP844" s="128">
        <v>11.0</v>
      </c>
      <c r="AQ844" s="128">
        <v>17.0</v>
      </c>
      <c r="AS844" s="44" t="s">
        <v>501</v>
      </c>
      <c r="AT844" s="44">
        <v>843.0</v>
      </c>
      <c r="AU844" s="44"/>
      <c r="AW844" s="93"/>
      <c r="AY844" s="93"/>
      <c r="AZ844" s="93"/>
      <c r="BA844" s="93"/>
      <c r="BB844" s="155"/>
      <c r="BC844" s="93"/>
      <c r="BE844" s="93"/>
      <c r="BG844" s="93"/>
      <c r="BH844" s="93"/>
      <c r="BI844" s="93"/>
      <c r="BJ844" s="155"/>
      <c r="BK844" s="93"/>
    </row>
    <row r="845">
      <c r="A845" s="166">
        <v>44559.88910476852</v>
      </c>
      <c r="B845" s="44" t="s">
        <v>88</v>
      </c>
      <c r="C845" s="128">
        <v>733.0273760242263</v>
      </c>
      <c r="D845" s="128">
        <v>12.0</v>
      </c>
      <c r="E845" s="128">
        <v>734.7300100024706</v>
      </c>
      <c r="F845" s="44" t="s">
        <v>92</v>
      </c>
      <c r="G845" s="128">
        <v>912.7243521043146</v>
      </c>
      <c r="H845" s="128">
        <v>23.0</v>
      </c>
      <c r="I845" s="128">
        <v>917.2683930934094</v>
      </c>
      <c r="J845" s="44" t="s">
        <v>23</v>
      </c>
      <c r="K845" s="128">
        <v>1461.8143900026414</v>
      </c>
      <c r="L845" s="128">
        <v>21.0</v>
      </c>
      <c r="M845" s="128">
        <v>1465.5677150353022</v>
      </c>
      <c r="N845" s="44"/>
      <c r="O845" s="128"/>
      <c r="P845" s="128"/>
      <c r="Q845" s="128"/>
      <c r="V845" s="44" t="s">
        <v>34</v>
      </c>
      <c r="W845" s="128">
        <v>898.0824018876928</v>
      </c>
      <c r="X845" s="128">
        <v>16.0</v>
      </c>
      <c r="Y845" s="128">
        <v>894.2030860795321</v>
      </c>
      <c r="Z845" s="44" t="s">
        <v>47</v>
      </c>
      <c r="AA845" s="128">
        <v>1088.5642738035478</v>
      </c>
      <c r="AB845" s="128">
        <v>14.0</v>
      </c>
      <c r="AC845" s="128">
        <v>1083.9862183522919</v>
      </c>
      <c r="AD845" s="44" t="s">
        <v>61</v>
      </c>
      <c r="AE845" s="128">
        <v>1128.2075648571802</v>
      </c>
      <c r="AF845" s="128">
        <v>25.0</v>
      </c>
      <c r="AG845" s="128">
        <v>1126.664936116597</v>
      </c>
      <c r="AH845" s="44"/>
      <c r="AI845" s="128"/>
      <c r="AJ845" s="128"/>
      <c r="AK845" s="128"/>
      <c r="AP845" s="128">
        <v>15.0</v>
      </c>
      <c r="AQ845" s="128">
        <v>13.0</v>
      </c>
      <c r="AT845" s="44">
        <v>844.0</v>
      </c>
      <c r="AU845" s="44"/>
      <c r="AW845" s="93"/>
      <c r="AY845" s="93"/>
      <c r="AZ845" s="93"/>
      <c r="BA845" s="93"/>
      <c r="BB845" s="155"/>
      <c r="BC845" s="93"/>
      <c r="BE845" s="93"/>
      <c r="BG845" s="93"/>
      <c r="BH845" s="93"/>
      <c r="BI845" s="93"/>
      <c r="BJ845" s="155"/>
      <c r="BK845" s="93"/>
    </row>
    <row r="846">
      <c r="A846" s="166">
        <v>44559.921649861106</v>
      </c>
      <c r="B846" s="44" t="s">
        <v>88</v>
      </c>
      <c r="C846" s="128">
        <v>734.7300100024706</v>
      </c>
      <c r="D846" s="128">
        <v>12.0</v>
      </c>
      <c r="E846" s="128">
        <v>735.8920077273953</v>
      </c>
      <c r="F846" s="44" t="s">
        <v>34</v>
      </c>
      <c r="G846" s="128">
        <v>894.2030860795321</v>
      </c>
      <c r="H846" s="128">
        <v>17.0</v>
      </c>
      <c r="I846" s="128">
        <v>896.2574055968938</v>
      </c>
      <c r="J846" s="44" t="s">
        <v>38</v>
      </c>
      <c r="K846" s="128">
        <v>957.2615941095223</v>
      </c>
      <c r="L846" s="128">
        <v>22.0</v>
      </c>
      <c r="M846" s="128">
        <v>960.312008229778</v>
      </c>
      <c r="N846" s="44" t="s">
        <v>23</v>
      </c>
      <c r="O846" s="128">
        <v>1465.5677150353022</v>
      </c>
      <c r="P846" s="128">
        <v>26.0</v>
      </c>
      <c r="Q846" s="128">
        <v>1469.3009836727601</v>
      </c>
      <c r="V846" s="44" t="s">
        <v>92</v>
      </c>
      <c r="W846" s="128">
        <v>917.2683930934094</v>
      </c>
      <c r="X846" s="128">
        <v>18.0</v>
      </c>
      <c r="Y846" s="128">
        <v>914.923104472739</v>
      </c>
      <c r="Z846" s="44" t="s">
        <v>58</v>
      </c>
      <c r="AA846" s="128">
        <v>933.723904329338</v>
      </c>
      <c r="AB846" s="128">
        <v>20.0</v>
      </c>
      <c r="AC846" s="128">
        <v>931.784602188069</v>
      </c>
      <c r="AD846" s="44" t="s">
        <v>47</v>
      </c>
      <c r="AE846" s="128">
        <v>1083.9862183522919</v>
      </c>
      <c r="AF846" s="128">
        <v>21.0</v>
      </c>
      <c r="AG846" s="128">
        <v>1082.1780465089364</v>
      </c>
      <c r="AH846" s="44" t="s">
        <v>61</v>
      </c>
      <c r="AI846" s="128">
        <v>1126.664936116597</v>
      </c>
      <c r="AJ846" s="128">
        <v>11.0</v>
      </c>
      <c r="AK846" s="128">
        <v>1122.7576987218918</v>
      </c>
      <c r="AP846" s="128">
        <v>15.0</v>
      </c>
      <c r="AQ846" s="128">
        <v>13.0</v>
      </c>
      <c r="AT846" s="44">
        <v>845.0</v>
      </c>
      <c r="AU846" s="44"/>
      <c r="AW846" s="93"/>
      <c r="AY846" s="93"/>
      <c r="AZ846" s="93"/>
      <c r="BA846" s="93"/>
      <c r="BB846" s="155"/>
      <c r="BC846" s="93"/>
      <c r="BE846" s="93"/>
      <c r="BG846" s="93"/>
      <c r="BH846" s="93"/>
      <c r="BI846" s="93"/>
      <c r="BJ846" s="155"/>
      <c r="BK846" s="93"/>
    </row>
    <row r="847">
      <c r="A847" s="166">
        <v>44559.97699704861</v>
      </c>
      <c r="B847" s="44" t="s">
        <v>88</v>
      </c>
      <c r="C847" s="128">
        <v>735.8920077273953</v>
      </c>
      <c r="D847" s="128">
        <v>20.0</v>
      </c>
      <c r="E847" s="128">
        <v>739.4454453607042</v>
      </c>
      <c r="F847" s="44" t="s">
        <v>107</v>
      </c>
      <c r="G847" s="128">
        <v>894.0897373013561</v>
      </c>
      <c r="H847" s="128">
        <v>26.0</v>
      </c>
      <c r="I847" s="128">
        <v>899.4486710621284</v>
      </c>
      <c r="J847" s="44" t="s">
        <v>34</v>
      </c>
      <c r="K847" s="128">
        <v>896.2574055968938</v>
      </c>
      <c r="L847" s="128">
        <v>14.0</v>
      </c>
      <c r="M847" s="128">
        <v>897.4129723013107</v>
      </c>
      <c r="N847" s="44" t="s">
        <v>38</v>
      </c>
      <c r="O847" s="128">
        <v>960.312008229778</v>
      </c>
      <c r="P847" s="128">
        <v>26.0</v>
      </c>
      <c r="Q847" s="128">
        <v>965.5760533154038</v>
      </c>
      <c r="R847" s="44" t="s">
        <v>23</v>
      </c>
      <c r="S847" s="128">
        <v>1469.3009836727601</v>
      </c>
      <c r="T847" s="128">
        <v>28.0</v>
      </c>
      <c r="U847" s="128">
        <v>1474.9690004886363</v>
      </c>
      <c r="V847" s="44" t="s">
        <v>92</v>
      </c>
      <c r="W847" s="128">
        <v>914.923104472739</v>
      </c>
      <c r="X847" s="128">
        <v>24.0</v>
      </c>
      <c r="Y847" s="128">
        <v>912.4091396681123</v>
      </c>
      <c r="Z847" s="44" t="s">
        <v>110</v>
      </c>
      <c r="AA847" s="128">
        <v>914.9932044461059</v>
      </c>
      <c r="AB847" s="128">
        <v>13.0</v>
      </c>
      <c r="AC847" s="128">
        <v>908.629152364773</v>
      </c>
      <c r="AD847" s="44" t="s">
        <v>58</v>
      </c>
      <c r="AE847" s="128">
        <v>931.784602188069</v>
      </c>
      <c r="AF847" s="128">
        <v>14.0</v>
      </c>
      <c r="AG847" s="128">
        <v>925.7500919104767</v>
      </c>
      <c r="AH847" s="44" t="s">
        <v>47</v>
      </c>
      <c r="AI847" s="128">
        <v>1082.1780465089364</v>
      </c>
      <c r="AJ847" s="128">
        <v>13.0</v>
      </c>
      <c r="AK847" s="128">
        <v>1075.6484280298828</v>
      </c>
      <c r="AL847" s="44" t="s">
        <v>61</v>
      </c>
      <c r="AM847" s="128">
        <v>1122.7576987218918</v>
      </c>
      <c r="AN847" s="128">
        <v>33.0</v>
      </c>
      <c r="AO847" s="128">
        <v>1123.1998443644973</v>
      </c>
      <c r="AP847" s="128">
        <v>17.0</v>
      </c>
      <c r="AQ847" s="128">
        <v>11.0</v>
      </c>
      <c r="AT847" s="44">
        <v>846.0</v>
      </c>
      <c r="AU847" s="44"/>
      <c r="AW847" s="93"/>
      <c r="AY847" s="93"/>
      <c r="AZ847" s="93"/>
      <c r="BA847" s="93"/>
      <c r="BB847" s="155"/>
      <c r="BC847" s="93"/>
      <c r="BE847" s="93"/>
      <c r="BG847" s="93"/>
      <c r="BH847" s="93"/>
      <c r="BI847" s="93"/>
      <c r="BJ847" s="155"/>
      <c r="BK847" s="93"/>
    </row>
    <row r="848">
      <c r="A848" s="166">
        <v>44560.01886575231</v>
      </c>
      <c r="B848" s="44" t="s">
        <v>88</v>
      </c>
      <c r="C848" s="128">
        <v>739.4454453607042</v>
      </c>
      <c r="D848" s="128">
        <v>13.0</v>
      </c>
      <c r="E848" s="128">
        <v>733.5851465812932</v>
      </c>
      <c r="F848" s="44" t="s">
        <v>125</v>
      </c>
      <c r="G848" s="128">
        <v>807.1333882592321</v>
      </c>
      <c r="H848" s="128">
        <v>17.0</v>
      </c>
      <c r="I848" s="128">
        <v>802.4958388007482</v>
      </c>
      <c r="J848" s="44" t="s">
        <v>112</v>
      </c>
      <c r="K848" s="128">
        <v>919.5107613423588</v>
      </c>
      <c r="L848" s="128">
        <v>25.0</v>
      </c>
      <c r="M848" s="128">
        <v>917.3877614131727</v>
      </c>
      <c r="N848" s="44" t="s">
        <v>61</v>
      </c>
      <c r="O848" s="128">
        <v>1123.1998443644973</v>
      </c>
      <c r="P848" s="128">
        <v>20.0</v>
      </c>
      <c r="Q848" s="128">
        <v>1119.229271953537</v>
      </c>
      <c r="R848" s="44" t="s">
        <v>23</v>
      </c>
      <c r="S848" s="128">
        <v>1474.9690004886363</v>
      </c>
      <c r="T848" s="128">
        <v>22.0</v>
      </c>
      <c r="U848" s="128">
        <v>1471.5604210666777</v>
      </c>
      <c r="V848" s="44" t="s">
        <v>92</v>
      </c>
      <c r="W848" s="128">
        <v>912.4091396681123</v>
      </c>
      <c r="X848" s="128">
        <v>20.0</v>
      </c>
      <c r="Y848" s="128">
        <v>915.7794019652727</v>
      </c>
      <c r="Z848" s="44" t="s">
        <v>58</v>
      </c>
      <c r="AA848" s="128">
        <v>925.7500919104767</v>
      </c>
      <c r="AB848" s="128">
        <v>19.0</v>
      </c>
      <c r="AC848" s="128">
        <v>928.76917633371</v>
      </c>
      <c r="AD848" s="44" t="s">
        <v>38</v>
      </c>
      <c r="AE848" s="128">
        <v>965.5760533154038</v>
      </c>
      <c r="AF848" s="128">
        <v>19.0</v>
      </c>
      <c r="AG848" s="128">
        <v>968.5454685495494</v>
      </c>
      <c r="AH848" s="44" t="s">
        <v>47</v>
      </c>
      <c r="AI848" s="128">
        <v>1075.6484280298828</v>
      </c>
      <c r="AJ848" s="128">
        <v>27.0</v>
      </c>
      <c r="AK848" s="128">
        <v>1081.1740985169045</v>
      </c>
      <c r="AL848" s="44" t="s">
        <v>27</v>
      </c>
      <c r="AM848" s="128">
        <v>1189.213502727174</v>
      </c>
      <c r="AN848" s="128">
        <v>26.0</v>
      </c>
      <c r="AO848" s="128">
        <v>1194.3290702856134</v>
      </c>
      <c r="AP848" s="128">
        <v>12.0</v>
      </c>
      <c r="AQ848" s="128">
        <v>16.0</v>
      </c>
      <c r="AT848" s="44">
        <v>847.0</v>
      </c>
      <c r="AU848" s="44"/>
      <c r="AV848" s="44" t="s">
        <v>107</v>
      </c>
      <c r="AW848" s="45">
        <v>899.4486710621284</v>
      </c>
      <c r="AX848" s="44">
        <v>20.0</v>
      </c>
      <c r="AY848" s="145">
        <v>895.55</v>
      </c>
      <c r="AZ848" s="93"/>
      <c r="BA848" s="93"/>
      <c r="BB848" s="155"/>
      <c r="BC848" s="93"/>
      <c r="BD848" s="44" t="s">
        <v>34</v>
      </c>
      <c r="BE848" s="45">
        <v>897.4129723013107</v>
      </c>
      <c r="BF848" s="44">
        <v>27.0</v>
      </c>
      <c r="BG848" s="145">
        <v>902.8</v>
      </c>
      <c r="BH848" s="93"/>
      <c r="BI848" s="93"/>
      <c r="BJ848" s="155"/>
      <c r="BK848" s="93"/>
    </row>
    <row r="849">
      <c r="A849" s="166">
        <v>44560.05698050926</v>
      </c>
      <c r="B849" s="44" t="s">
        <v>88</v>
      </c>
      <c r="C849" s="128">
        <v>733.5851465812932</v>
      </c>
      <c r="D849" s="128">
        <v>19.0</v>
      </c>
      <c r="E849" s="128">
        <v>737.8870962405535</v>
      </c>
      <c r="F849" s="44" t="s">
        <v>34</v>
      </c>
      <c r="G849" s="128">
        <v>902.8</v>
      </c>
      <c r="H849" s="128">
        <v>21.0</v>
      </c>
      <c r="I849" s="128">
        <v>907.6141391256682</v>
      </c>
      <c r="J849" s="44" t="s">
        <v>112</v>
      </c>
      <c r="K849" s="128">
        <v>917.3877614131727</v>
      </c>
      <c r="L849" s="128">
        <v>19.0</v>
      </c>
      <c r="M849" s="128">
        <v>921.257002558085</v>
      </c>
      <c r="N849" s="44" t="s">
        <v>27</v>
      </c>
      <c r="O849" s="128">
        <v>1194.3290702856134</v>
      </c>
      <c r="P849" s="128">
        <v>31.0</v>
      </c>
      <c r="Q849" s="128">
        <v>1203.3437403557725</v>
      </c>
      <c r="V849" s="44" t="s">
        <v>125</v>
      </c>
      <c r="W849" s="128">
        <v>802.4958388007482</v>
      </c>
      <c r="X849" s="128">
        <v>8.0</v>
      </c>
      <c r="Y849" s="128">
        <v>792.8526716853615</v>
      </c>
      <c r="Z849" s="44" t="s">
        <v>107</v>
      </c>
      <c r="AA849" s="128">
        <v>895.55</v>
      </c>
      <c r="AB849" s="128">
        <v>17.0</v>
      </c>
      <c r="AC849" s="128">
        <v>889.8707080405803</v>
      </c>
      <c r="AD849" s="44" t="s">
        <v>38</v>
      </c>
      <c r="AE849" s="128">
        <v>968.5454685495494</v>
      </c>
      <c r="AF849" s="128">
        <v>19.0</v>
      </c>
      <c r="AG849" s="128">
        <v>963.6794584520751</v>
      </c>
      <c r="AH849" s="44" t="s">
        <v>61</v>
      </c>
      <c r="AI849" s="128">
        <v>1119.229271953537</v>
      </c>
      <c r="AJ849" s="128">
        <v>26.0</v>
      </c>
      <c r="AK849" s="128">
        <v>1117.4177411258174</v>
      </c>
      <c r="AP849" s="128">
        <v>16.0</v>
      </c>
      <c r="AQ849" s="128">
        <v>11.0</v>
      </c>
      <c r="AT849" s="44">
        <v>848.0</v>
      </c>
      <c r="AU849" s="44"/>
      <c r="AW849" s="93"/>
      <c r="AY849" s="93"/>
      <c r="AZ849" s="93"/>
      <c r="BA849" s="93"/>
      <c r="BB849" s="155"/>
      <c r="BC849" s="93"/>
      <c r="BE849" s="93"/>
      <c r="BG849" s="93"/>
      <c r="BH849" s="93"/>
      <c r="BI849" s="93"/>
      <c r="BJ849" s="155"/>
      <c r="BK849" s="93"/>
    </row>
    <row r="850">
      <c r="A850" s="166">
        <v>44560.93682052083</v>
      </c>
      <c r="B850" s="44" t="s">
        <v>88</v>
      </c>
      <c r="C850" s="128">
        <v>737.8870962405535</v>
      </c>
      <c r="D850" s="128">
        <v>11.0</v>
      </c>
      <c r="E850" s="128">
        <v>724.9299151967192</v>
      </c>
      <c r="F850" s="44" t="s">
        <v>34</v>
      </c>
      <c r="G850" s="128">
        <v>907.6141391256682</v>
      </c>
      <c r="H850" s="128">
        <v>16.0</v>
      </c>
      <c r="I850" s="128">
        <v>898.0536018075763</v>
      </c>
      <c r="J850" s="44" t="s">
        <v>23</v>
      </c>
      <c r="K850" s="128">
        <v>1471.5604210666777</v>
      </c>
      <c r="L850" s="128">
        <v>22.0</v>
      </c>
      <c r="M850" s="128">
        <v>1466.078139428604</v>
      </c>
      <c r="N850" s="44"/>
      <c r="O850" s="128"/>
      <c r="P850" s="128"/>
      <c r="Q850" s="128"/>
      <c r="V850" s="44" t="s">
        <v>92</v>
      </c>
      <c r="W850" s="128">
        <v>915.7794019652727</v>
      </c>
      <c r="X850" s="128">
        <v>20.0</v>
      </c>
      <c r="Y850" s="128">
        <v>926.3058127936627</v>
      </c>
      <c r="Z850" s="44" t="s">
        <v>38</v>
      </c>
      <c r="AA850" s="128">
        <v>963.6794584520751</v>
      </c>
      <c r="AB850" s="128">
        <v>16.0</v>
      </c>
      <c r="AC850" s="128">
        <v>970.9757057701862</v>
      </c>
      <c r="AD850" s="44" t="s">
        <v>47</v>
      </c>
      <c r="AE850" s="128">
        <v>1081.1740985169045</v>
      </c>
      <c r="AF850" s="128">
        <v>20.0</v>
      </c>
      <c r="AG850" s="128">
        <v>1091.3514403704035</v>
      </c>
      <c r="AH850" s="44"/>
      <c r="AI850" s="128"/>
      <c r="AJ850" s="128"/>
      <c r="AK850" s="128"/>
      <c r="AP850" s="128">
        <v>11.0</v>
      </c>
      <c r="AQ850" s="128">
        <v>17.0</v>
      </c>
      <c r="AT850" s="44">
        <v>849.0</v>
      </c>
      <c r="AU850" s="44"/>
      <c r="AW850" s="93"/>
      <c r="AY850" s="93"/>
      <c r="AZ850" s="93"/>
      <c r="BA850" s="93"/>
      <c r="BB850" s="155"/>
      <c r="BC850" s="93"/>
      <c r="BE850" s="93"/>
      <c r="BG850" s="93"/>
      <c r="BH850" s="93"/>
      <c r="BI850" s="93"/>
      <c r="BJ850" s="155"/>
      <c r="BK850" s="93"/>
    </row>
    <row r="851">
      <c r="A851" s="166">
        <v>44560.99499584491</v>
      </c>
      <c r="B851" s="44" t="s">
        <v>88</v>
      </c>
      <c r="C851" s="128">
        <v>724.9299151967192</v>
      </c>
      <c r="D851" s="128">
        <v>18.0</v>
      </c>
      <c r="E851" s="128">
        <v>721.509650022092</v>
      </c>
      <c r="F851" s="44" t="s">
        <v>125</v>
      </c>
      <c r="G851" s="128">
        <v>792.8526716853615</v>
      </c>
      <c r="H851" s="128">
        <v>16.0</v>
      </c>
      <c r="I851" s="128">
        <v>788.8859473525329</v>
      </c>
      <c r="J851" s="44" t="s">
        <v>112</v>
      </c>
      <c r="K851" s="128">
        <v>921.257002558085</v>
      </c>
      <c r="L851" s="128">
        <v>16.0</v>
      </c>
      <c r="M851" s="128">
        <v>917.1539258815543</v>
      </c>
      <c r="N851" s="44" t="s">
        <v>23</v>
      </c>
      <c r="O851" s="128">
        <v>1466.078139428604</v>
      </c>
      <c r="P851" s="128">
        <v>37.0</v>
      </c>
      <c r="Q851" s="128">
        <v>1466.068139428604</v>
      </c>
      <c r="V851" s="44" t="s">
        <v>107</v>
      </c>
      <c r="W851" s="128">
        <v>889.8707080405803</v>
      </c>
      <c r="X851" s="128">
        <v>18.0</v>
      </c>
      <c r="Y851" s="128">
        <v>892.2774935485317</v>
      </c>
      <c r="Z851" s="44" t="s">
        <v>92</v>
      </c>
      <c r="AA851" s="128">
        <v>926.3058127936627</v>
      </c>
      <c r="AB851" s="128">
        <v>17.0</v>
      </c>
      <c r="AC851" s="128">
        <v>928.4527531894257</v>
      </c>
      <c r="AD851" s="44" t="s">
        <v>38</v>
      </c>
      <c r="AE851" s="128">
        <v>970.9757057701862</v>
      </c>
      <c r="AF851" s="128">
        <v>15.0</v>
      </c>
      <c r="AG851" s="128">
        <v>972.6304719540352</v>
      </c>
      <c r="AH851" s="44" t="s">
        <v>47</v>
      </c>
      <c r="AI851" s="128">
        <v>1091.3514403704035</v>
      </c>
      <c r="AJ851" s="128">
        <v>29.0</v>
      </c>
      <c r="AK851" s="128">
        <v>1096.14294828284</v>
      </c>
      <c r="AP851" s="44">
        <v>14.0</v>
      </c>
      <c r="AQ851" s="44">
        <v>14.0</v>
      </c>
      <c r="AR851" s="44" t="s">
        <v>581</v>
      </c>
      <c r="AT851" s="44">
        <v>850.0</v>
      </c>
      <c r="AU851" s="44"/>
      <c r="AW851" s="93"/>
      <c r="AY851" s="93"/>
      <c r="AZ851" s="93"/>
      <c r="BA851" s="93"/>
      <c r="BB851" s="155"/>
      <c r="BC851" s="93"/>
      <c r="BE851" s="93"/>
      <c r="BG851" s="93"/>
      <c r="BH851" s="93"/>
      <c r="BI851" s="93"/>
      <c r="BJ851" s="155"/>
      <c r="BK851" s="93"/>
    </row>
    <row r="852">
      <c r="A852" s="166">
        <v>44561.03013349537</v>
      </c>
      <c r="B852" s="44" t="s">
        <v>88</v>
      </c>
      <c r="C852" s="128">
        <v>721.509650022092</v>
      </c>
      <c r="D852" s="128">
        <v>21.0</v>
      </c>
      <c r="E852" s="128">
        <v>720.0270774740026</v>
      </c>
      <c r="F852" s="44" t="s">
        <v>92</v>
      </c>
      <c r="G852" s="128">
        <v>928.4527531894257</v>
      </c>
      <c r="H852" s="128">
        <v>7.0</v>
      </c>
      <c r="I852" s="128">
        <v>924.1895493236724</v>
      </c>
      <c r="J852" s="44" t="s">
        <v>38</v>
      </c>
      <c r="K852" s="128">
        <v>972.6304719540352</v>
      </c>
      <c r="L852" s="128">
        <v>16.0</v>
      </c>
      <c r="M852" s="128">
        <v>970.0302064643829</v>
      </c>
      <c r="N852" s="44" t="s">
        <v>23</v>
      </c>
      <c r="O852" s="128">
        <v>1466.068139428604</v>
      </c>
      <c r="P852" s="128">
        <v>27.0</v>
      </c>
      <c r="Q852" s="128">
        <v>1465.414181332099</v>
      </c>
      <c r="V852" s="44" t="s">
        <v>107</v>
      </c>
      <c r="W852" s="128">
        <v>892.2774935485317</v>
      </c>
      <c r="X852" s="128">
        <v>17.0</v>
      </c>
      <c r="Y852" s="128">
        <v>893.9418701900591</v>
      </c>
      <c r="Z852" s="44" t="s">
        <v>112</v>
      </c>
      <c r="AA852" s="128">
        <v>917.1539258815543</v>
      </c>
      <c r="AB852" s="128">
        <v>25.0</v>
      </c>
      <c r="AC852" s="128">
        <v>920.3005078153012</v>
      </c>
      <c r="AD852" s="44" t="s">
        <v>47</v>
      </c>
      <c r="AE852" s="128">
        <v>1096.14294828284</v>
      </c>
      <c r="AF852" s="128">
        <v>17.0</v>
      </c>
      <c r="AG852" s="128">
        <v>1097.6924675451487</v>
      </c>
      <c r="AH852" s="44" t="s">
        <v>27</v>
      </c>
      <c r="AI852" s="128">
        <v>1203.3437403557725</v>
      </c>
      <c r="AJ852" s="128">
        <v>23.0</v>
      </c>
      <c r="AK852" s="128">
        <v>1205.9832625181893</v>
      </c>
      <c r="AP852" s="128">
        <v>13.0</v>
      </c>
      <c r="AQ852" s="128">
        <v>15.0</v>
      </c>
      <c r="AS852" s="44" t="s">
        <v>253</v>
      </c>
      <c r="AT852" s="44">
        <v>851.0</v>
      </c>
      <c r="AU852" s="44"/>
      <c r="AW852" s="93"/>
      <c r="AY852" s="93"/>
      <c r="AZ852" s="93"/>
      <c r="BA852" s="93"/>
      <c r="BB852" s="155"/>
      <c r="BC852" s="93"/>
      <c r="BE852" s="93"/>
      <c r="BG852" s="93"/>
      <c r="BH852" s="93"/>
      <c r="BI852" s="93"/>
      <c r="BJ852" s="155"/>
      <c r="BK852" s="93"/>
    </row>
    <row r="853">
      <c r="A853" s="166">
        <v>44561.06434681713</v>
      </c>
      <c r="B853" s="44" t="s">
        <v>88</v>
      </c>
      <c r="C853" s="128">
        <v>720.0270774740026</v>
      </c>
      <c r="D853" s="128">
        <v>16.0</v>
      </c>
      <c r="E853" s="128">
        <v>723.737123485582</v>
      </c>
      <c r="F853" s="44" t="s">
        <v>125</v>
      </c>
      <c r="G853" s="128">
        <v>788.8859473525329</v>
      </c>
      <c r="H853" s="128">
        <v>14.0</v>
      </c>
      <c r="I853" s="128">
        <v>791.7537377344127</v>
      </c>
      <c r="J853" s="44" t="s">
        <v>27</v>
      </c>
      <c r="K853" s="128">
        <v>1205.9832625181893</v>
      </c>
      <c r="L853" s="128">
        <v>25.0</v>
      </c>
      <c r="M853" s="128">
        <v>1212.4054261247302</v>
      </c>
      <c r="N853" s="44"/>
      <c r="O853" s="128"/>
      <c r="P853" s="128"/>
      <c r="Q853" s="128"/>
      <c r="V853" s="44" t="s">
        <v>112</v>
      </c>
      <c r="W853" s="128">
        <v>920.3005078153012</v>
      </c>
      <c r="X853" s="128">
        <v>14.0</v>
      </c>
      <c r="Y853" s="128">
        <v>914.3024726390844</v>
      </c>
      <c r="Z853" s="44" t="s">
        <v>92</v>
      </c>
      <c r="AA853" s="128">
        <v>924.1895493236724</v>
      </c>
      <c r="AB853" s="128">
        <v>23.0</v>
      </c>
      <c r="AC853" s="128">
        <v>921.4368020932607</v>
      </c>
      <c r="AD853" s="44" t="s">
        <v>38</v>
      </c>
      <c r="AE853" s="128">
        <v>970.0302064643829</v>
      </c>
      <c r="AF853" s="128">
        <v>19.0</v>
      </c>
      <c r="AG853" s="128">
        <v>965.7809888710115</v>
      </c>
      <c r="AH853" s="44"/>
      <c r="AI853" s="128"/>
      <c r="AJ853" s="128"/>
      <c r="AK853" s="128"/>
      <c r="AP853" s="128">
        <v>15.0</v>
      </c>
      <c r="AQ853" s="128">
        <v>13.0</v>
      </c>
      <c r="AS853" s="44" t="s">
        <v>337</v>
      </c>
      <c r="AT853" s="44">
        <v>852.0</v>
      </c>
      <c r="AU853" s="44"/>
      <c r="AW853" s="93"/>
      <c r="AY853" s="93"/>
      <c r="AZ853" s="93"/>
      <c r="BA853" s="93"/>
      <c r="BB853" s="155"/>
      <c r="BC853" s="93"/>
      <c r="BE853" s="93"/>
      <c r="BG853" s="93"/>
      <c r="BH853" s="93"/>
      <c r="BI853" s="93"/>
      <c r="BJ853" s="155"/>
      <c r="BK853" s="93"/>
    </row>
    <row r="854">
      <c r="A854" s="166">
        <v>44561.096190185184</v>
      </c>
      <c r="B854" s="44" t="s">
        <v>88</v>
      </c>
      <c r="C854" s="128">
        <v>723.737123485582</v>
      </c>
      <c r="D854" s="128">
        <v>23.0</v>
      </c>
      <c r="E854" s="128">
        <v>728.2655518835958</v>
      </c>
      <c r="F854" s="44" t="s">
        <v>92</v>
      </c>
      <c r="G854" s="128">
        <v>921.4368020932607</v>
      </c>
      <c r="H854" s="128">
        <v>19.0</v>
      </c>
      <c r="I854" s="128">
        <v>924.6097963567606</v>
      </c>
      <c r="J854" s="44" t="s">
        <v>38</v>
      </c>
      <c r="K854" s="128">
        <v>965.7809888710115</v>
      </c>
      <c r="L854" s="128">
        <v>16.0</v>
      </c>
      <c r="M854" s="128">
        <v>968.0795662094977</v>
      </c>
      <c r="N854" s="44"/>
      <c r="O854" s="128"/>
      <c r="P854" s="128"/>
      <c r="Q854" s="128"/>
      <c r="V854" s="44" t="s">
        <v>125</v>
      </c>
      <c r="W854" s="128">
        <v>791.7537377344127</v>
      </c>
      <c r="X854" s="128">
        <v>13.0</v>
      </c>
      <c r="Y854" s="128">
        <v>786.8410740566264</v>
      </c>
      <c r="Z854" s="44" t="s">
        <v>34</v>
      </c>
      <c r="AA854" s="128">
        <v>898.0536018075763</v>
      </c>
      <c r="AB854" s="128">
        <v>21.0</v>
      </c>
      <c r="AC854" s="128">
        <v>895.2402913216945</v>
      </c>
      <c r="AD854" s="44" t="s">
        <v>112</v>
      </c>
      <c r="AE854" s="128">
        <v>914.3024726390844</v>
      </c>
      <c r="AF854" s="128">
        <v>23.0</v>
      </c>
      <c r="AG854" s="128">
        <v>912.0284468027525</v>
      </c>
      <c r="AH854" s="44"/>
      <c r="AI854" s="128"/>
      <c r="AJ854" s="128"/>
      <c r="AK854" s="128"/>
      <c r="AP854" s="128">
        <v>15.0</v>
      </c>
      <c r="AQ854" s="128">
        <v>13.0</v>
      </c>
      <c r="AS854" s="44" t="s">
        <v>503</v>
      </c>
      <c r="AT854" s="44">
        <v>853.0</v>
      </c>
      <c r="AU854" s="44"/>
      <c r="AW854" s="93"/>
      <c r="AY854" s="93"/>
      <c r="AZ854" s="93"/>
      <c r="BA854" s="93"/>
      <c r="BB854" s="155"/>
      <c r="BC854" s="93"/>
      <c r="BE854" s="93"/>
      <c r="BG854" s="93"/>
      <c r="BH854" s="93"/>
      <c r="BI854" s="93"/>
      <c r="BJ854" s="155"/>
      <c r="BK854" s="93"/>
    </row>
    <row r="855">
      <c r="A855" s="166">
        <v>44562.933416851854</v>
      </c>
      <c r="B855" s="44" t="s">
        <v>88</v>
      </c>
      <c r="C855" s="128">
        <v>1000.0</v>
      </c>
      <c r="D855" s="128">
        <v>11.0</v>
      </c>
      <c r="E855" s="128">
        <v>994.8148148148148</v>
      </c>
      <c r="F855" s="44" t="s">
        <v>47</v>
      </c>
      <c r="G855" s="128">
        <v>1000.0</v>
      </c>
      <c r="H855" s="128">
        <v>22.0</v>
      </c>
      <c r="I855" s="128">
        <v>997.8703703703703</v>
      </c>
      <c r="J855" s="44" t="s">
        <v>23</v>
      </c>
      <c r="K855" s="128">
        <v>1000.0</v>
      </c>
      <c r="L855" s="128">
        <v>20.0</v>
      </c>
      <c r="M855" s="128">
        <v>997.3148148148148</v>
      </c>
      <c r="N855" s="44"/>
      <c r="O855" s="128"/>
      <c r="P855" s="128"/>
      <c r="Q855" s="128"/>
      <c r="V855" s="44" t="s">
        <v>576</v>
      </c>
      <c r="W855" s="128">
        <v>1000.0</v>
      </c>
      <c r="X855" s="128">
        <v>14.0</v>
      </c>
      <c r="Y855" s="128">
        <v>1002.3148148148148</v>
      </c>
      <c r="Z855" s="44" t="s">
        <v>27</v>
      </c>
      <c r="AA855" s="128">
        <v>1000.0</v>
      </c>
      <c r="AB855" s="128">
        <v>17.0</v>
      </c>
      <c r="AC855" s="128">
        <v>1003.1481481481482</v>
      </c>
      <c r="AD855" s="44" t="s">
        <v>61</v>
      </c>
      <c r="AE855" s="128">
        <v>1000.0</v>
      </c>
      <c r="AF855" s="128">
        <v>22.0</v>
      </c>
      <c r="AG855" s="128">
        <v>1004.5370370370371</v>
      </c>
      <c r="AH855" s="44"/>
      <c r="AI855" s="128"/>
      <c r="AJ855" s="128"/>
      <c r="AK855" s="128"/>
      <c r="AP855" s="128">
        <v>13.0</v>
      </c>
      <c r="AQ855" s="128">
        <v>14.0</v>
      </c>
      <c r="AT855" s="44">
        <v>854.0</v>
      </c>
      <c r="AU855" s="44"/>
      <c r="AW855" s="93"/>
      <c r="AY855" s="93"/>
      <c r="AZ855" s="93"/>
      <c r="BA855" s="93"/>
      <c r="BB855" s="155"/>
      <c r="BC855" s="93"/>
      <c r="BE855" s="93"/>
      <c r="BG855" s="93"/>
      <c r="BH855" s="93"/>
      <c r="BI855" s="93"/>
      <c r="BJ855" s="155"/>
      <c r="BK855" s="93"/>
    </row>
    <row r="856">
      <c r="A856" s="166">
        <v>44562.97372087963</v>
      </c>
      <c r="B856" s="44" t="s">
        <v>88</v>
      </c>
      <c r="C856" s="128">
        <v>994.8148148148148</v>
      </c>
      <c r="D856" s="128">
        <v>13.0</v>
      </c>
      <c r="E856" s="128">
        <v>987.6172745530629</v>
      </c>
      <c r="F856" s="44" t="s">
        <v>112</v>
      </c>
      <c r="G856" s="128">
        <v>1000.0</v>
      </c>
      <c r="H856" s="128">
        <v>11.0</v>
      </c>
      <c r="I856" s="128">
        <v>991.6650971944621</v>
      </c>
      <c r="J856" s="44" t="s">
        <v>61</v>
      </c>
      <c r="K856" s="128">
        <v>1004.5370370370371</v>
      </c>
      <c r="L856" s="128">
        <v>18.0</v>
      </c>
      <c r="M856" s="128">
        <v>1000.0694801043269</v>
      </c>
      <c r="N856" s="44"/>
      <c r="O856" s="128"/>
      <c r="P856" s="128"/>
      <c r="Q856" s="128"/>
      <c r="V856" s="44" t="s">
        <v>23</v>
      </c>
      <c r="W856" s="128">
        <v>997.3148148148148</v>
      </c>
      <c r="X856" s="128">
        <v>18.0</v>
      </c>
      <c r="Y856" s="128">
        <v>1002.5153890043973</v>
      </c>
      <c r="Z856" s="44" t="s">
        <v>47</v>
      </c>
      <c r="AA856" s="128">
        <v>997.8703703703703</v>
      </c>
      <c r="AB856" s="128">
        <v>20.0</v>
      </c>
      <c r="AC856" s="128">
        <v>1004.1779130795443</v>
      </c>
      <c r="AD856" s="44" t="s">
        <v>27</v>
      </c>
      <c r="AE856" s="128">
        <v>1003.1481481481482</v>
      </c>
      <c r="AF856" s="128">
        <v>24.0</v>
      </c>
      <c r="AG856" s="128">
        <v>1011.6400312493915</v>
      </c>
      <c r="AH856" s="44"/>
      <c r="AI856" s="128"/>
      <c r="AJ856" s="128"/>
      <c r="AK856" s="128"/>
      <c r="AP856" s="128">
        <v>10.0</v>
      </c>
      <c r="AQ856" s="128">
        <v>18.0</v>
      </c>
      <c r="AT856" s="44">
        <v>855.0</v>
      </c>
      <c r="AU856" s="44"/>
      <c r="AW856" s="93"/>
      <c r="AY856" s="93"/>
      <c r="AZ856" s="93"/>
      <c r="BA856" s="93"/>
      <c r="BB856" s="155"/>
      <c r="BC856" s="93"/>
      <c r="BE856" s="93"/>
      <c r="BG856" s="93"/>
      <c r="BH856" s="93"/>
      <c r="BI856" s="93"/>
      <c r="BJ856" s="155"/>
      <c r="BK856" s="93"/>
    </row>
    <row r="857">
      <c r="A857" s="166">
        <v>44563.009814351855</v>
      </c>
      <c r="B857" s="44" t="s">
        <v>88</v>
      </c>
      <c r="C857" s="128">
        <v>987.6172745530629</v>
      </c>
      <c r="D857" s="128">
        <v>11.0</v>
      </c>
      <c r="E857" s="128">
        <v>974.1773509477218</v>
      </c>
      <c r="F857" s="44" t="s">
        <v>110</v>
      </c>
      <c r="G857" s="128">
        <v>1000.0</v>
      </c>
      <c r="H857" s="128">
        <v>13.0</v>
      </c>
      <c r="I857" s="128">
        <v>988.1197181115899</v>
      </c>
      <c r="J857" s="44" t="s">
        <v>98</v>
      </c>
      <c r="K857" s="128">
        <v>1000.0</v>
      </c>
      <c r="L857" s="128">
        <v>14.0</v>
      </c>
      <c r="M857" s="128">
        <v>988.9530514449233</v>
      </c>
      <c r="N857" s="44" t="s">
        <v>27</v>
      </c>
      <c r="O857" s="128">
        <v>1011.6400312493915</v>
      </c>
      <c r="P857" s="128">
        <v>23.0</v>
      </c>
      <c r="Q857" s="128">
        <v>1008.0071852982195</v>
      </c>
      <c r="V857" s="44" t="s">
        <v>112</v>
      </c>
      <c r="W857" s="128">
        <v>991.6650971944621</v>
      </c>
      <c r="X857" s="128">
        <v>23.0</v>
      </c>
      <c r="Y857" s="128">
        <v>1001.1426352927801</v>
      </c>
      <c r="Z857" s="44" t="s">
        <v>61</v>
      </c>
      <c r="AA857" s="128">
        <v>1000.0694801043269</v>
      </c>
      <c r="AB857" s="128">
        <v>23.0</v>
      </c>
      <c r="AC857" s="128">
        <v>1009.4368087860332</v>
      </c>
      <c r="AD857" s="44" t="s">
        <v>23</v>
      </c>
      <c r="AE857" s="128">
        <v>1002.5153890043973</v>
      </c>
      <c r="AF857" s="128">
        <v>27.0</v>
      </c>
      <c r="AG857" s="128">
        <v>1015.186167945043</v>
      </c>
      <c r="AH857" s="44" t="s">
        <v>47</v>
      </c>
      <c r="AI857" s="128">
        <v>1004.1779130795443</v>
      </c>
      <c r="AJ857" s="128">
        <v>22.0</v>
      </c>
      <c r="AK857" s="128">
        <v>1012.6622673588741</v>
      </c>
      <c r="AP857" s="128">
        <v>7.0</v>
      </c>
      <c r="AQ857" s="128">
        <v>21.0</v>
      </c>
      <c r="AT857" s="44">
        <v>856.0</v>
      </c>
      <c r="AU857" s="44"/>
      <c r="AW857" s="93"/>
      <c r="AY857" s="93"/>
      <c r="AZ857" s="93"/>
      <c r="BA857" s="93"/>
      <c r="BB857" s="155"/>
      <c r="BC857" s="93"/>
      <c r="BE857" s="93"/>
      <c r="BG857" s="93"/>
      <c r="BH857" s="93"/>
      <c r="BI857" s="93"/>
      <c r="BJ857" s="155"/>
      <c r="BK857" s="93"/>
    </row>
    <row r="858">
      <c r="A858" s="166">
        <v>44563.904477337965</v>
      </c>
      <c r="B858" s="44" t="s">
        <v>92</v>
      </c>
      <c r="C858" s="128">
        <v>1000.0</v>
      </c>
      <c r="D858" s="128">
        <v>23.0</v>
      </c>
      <c r="E858" s="128">
        <v>1014.499482999654</v>
      </c>
      <c r="F858" s="44" t="s">
        <v>38</v>
      </c>
      <c r="G858" s="128">
        <v>1000.0</v>
      </c>
      <c r="H858" s="128">
        <v>22.0</v>
      </c>
      <c r="I858" s="128">
        <v>1013.3605941107651</v>
      </c>
      <c r="J858" s="44" t="s">
        <v>23</v>
      </c>
      <c r="K858" s="128">
        <v>1015.186167945043</v>
      </c>
      <c r="L858" s="128">
        <v>22.0</v>
      </c>
      <c r="M858" s="128">
        <v>1028.326090834624</v>
      </c>
      <c r="N858" s="44"/>
      <c r="O858" s="128"/>
      <c r="P858" s="128"/>
      <c r="Q858" s="128"/>
      <c r="V858" s="44" t="s">
        <v>582</v>
      </c>
      <c r="W858" s="128">
        <v>1000.0</v>
      </c>
      <c r="X858" s="128">
        <v>2.0</v>
      </c>
      <c r="Y858" s="128">
        <v>973.1093746389811</v>
      </c>
      <c r="Z858" s="44" t="s">
        <v>27</v>
      </c>
      <c r="AA858" s="128">
        <v>1008.0071852982195</v>
      </c>
      <c r="AB858" s="128">
        <v>26.0</v>
      </c>
      <c r="AC858" s="128">
        <v>1008.3751309352364</v>
      </c>
      <c r="AD858" s="44" t="s">
        <v>47</v>
      </c>
      <c r="AE858" s="128">
        <v>1012.6622673588741</v>
      </c>
      <c r="AF858" s="128">
        <v>13.0</v>
      </c>
      <c r="AG858" s="128">
        <v>998.1849470828762</v>
      </c>
      <c r="AH858" s="44"/>
      <c r="AI858" s="128"/>
      <c r="AJ858" s="128"/>
      <c r="AK858" s="128"/>
      <c r="AP858" s="128">
        <v>20.0</v>
      </c>
      <c r="AQ858" s="128">
        <v>8.0</v>
      </c>
      <c r="AT858" s="44">
        <v>857.0</v>
      </c>
      <c r="AU858" s="44"/>
      <c r="AW858" s="93"/>
      <c r="AY858" s="93"/>
      <c r="AZ858" s="93"/>
      <c r="BA858" s="93"/>
      <c r="BB858" s="155"/>
      <c r="BC858" s="93"/>
      <c r="BE858" s="93"/>
      <c r="BG858" s="93"/>
      <c r="BH858" s="93"/>
      <c r="BI858" s="93"/>
      <c r="BJ858" s="155"/>
      <c r="BK858" s="93"/>
    </row>
    <row r="859">
      <c r="A859" s="166">
        <v>44563.94734637732</v>
      </c>
      <c r="B859" s="44" t="s">
        <v>582</v>
      </c>
      <c r="C859" s="128">
        <v>973.1093746389811</v>
      </c>
      <c r="D859" s="128">
        <v>7.0</v>
      </c>
      <c r="E859" s="128">
        <v>963.5692838576542</v>
      </c>
      <c r="F859" s="44" t="s">
        <v>576</v>
      </c>
      <c r="G859" s="128">
        <v>1002.3148148148148</v>
      </c>
      <c r="H859" s="128">
        <v>18.0</v>
      </c>
      <c r="I859" s="128">
        <v>997.1947006495657</v>
      </c>
      <c r="J859" s="44" t="s">
        <v>38</v>
      </c>
      <c r="K859" s="128">
        <v>1013.3605941107651</v>
      </c>
      <c r="L859" s="128">
        <v>25.0</v>
      </c>
      <c r="M859" s="128">
        <v>1011.1096050973102</v>
      </c>
      <c r="N859" s="44" t="s">
        <v>92</v>
      </c>
      <c r="O859" s="128">
        <v>1014.499482999654</v>
      </c>
      <c r="P859" s="128">
        <v>23.0</v>
      </c>
      <c r="Q859" s="128">
        <v>1011.4106769596847</v>
      </c>
      <c r="V859" s="44" t="s">
        <v>47</v>
      </c>
      <c r="W859" s="128">
        <v>998.1849470828762</v>
      </c>
      <c r="X859" s="128">
        <v>27.0</v>
      </c>
      <c r="Y859" s="128">
        <v>1005.2892633092755</v>
      </c>
      <c r="Z859" s="44" t="s">
        <v>125</v>
      </c>
      <c r="AA859" s="128">
        <v>1000.0</v>
      </c>
      <c r="AB859" s="128">
        <v>13.0</v>
      </c>
      <c r="AC859" s="128">
        <v>1001.2603955647838</v>
      </c>
      <c r="AD859" s="44" t="s">
        <v>112</v>
      </c>
      <c r="AE859" s="128">
        <v>1001.1426352927801</v>
      </c>
      <c r="AF859" s="128">
        <v>18.0</v>
      </c>
      <c r="AG859" s="128">
        <v>1004.4798279895266</v>
      </c>
      <c r="AH859" s="44" t="s">
        <v>27</v>
      </c>
      <c r="AI859" s="128">
        <v>1008.3751309352364</v>
      </c>
      <c r="AJ859" s="128">
        <v>30.0</v>
      </c>
      <c r="AK859" s="128">
        <v>1016.6732264473068</v>
      </c>
      <c r="AP859" s="128">
        <v>10.0</v>
      </c>
      <c r="AQ859" s="128">
        <v>18.0</v>
      </c>
      <c r="AT859" s="44">
        <v>858.0</v>
      </c>
      <c r="AU859" s="44"/>
      <c r="AW859" s="93"/>
      <c r="AY859" s="93"/>
      <c r="AZ859" s="93"/>
      <c r="BA859" s="93"/>
      <c r="BB859" s="155"/>
      <c r="BC859" s="93"/>
      <c r="BE859" s="93"/>
      <c r="BG859" s="93"/>
      <c r="BH859" s="93"/>
      <c r="BI859" s="93"/>
      <c r="BJ859" s="155"/>
      <c r="BK859" s="93"/>
    </row>
    <row r="860">
      <c r="A860" s="166">
        <v>44563.9840165162</v>
      </c>
      <c r="B860" s="44" t="s">
        <v>582</v>
      </c>
      <c r="C860" s="128">
        <v>963.5692838576542</v>
      </c>
      <c r="D860" s="128">
        <v>12.0</v>
      </c>
      <c r="E860" s="128">
        <v>965.3700774581539</v>
      </c>
      <c r="F860" s="44" t="s">
        <v>38</v>
      </c>
      <c r="G860" s="128">
        <v>1011.1096050973102</v>
      </c>
      <c r="H860" s="128">
        <v>31.0</v>
      </c>
      <c r="I860" s="128">
        <v>1028.4662887378888</v>
      </c>
      <c r="J860" s="44" t="s">
        <v>92</v>
      </c>
      <c r="K860" s="128">
        <v>1011.4106769596847</v>
      </c>
      <c r="L860" s="128">
        <v>22.0</v>
      </c>
      <c r="M860" s="128">
        <v>1021.0767537728478</v>
      </c>
      <c r="N860" s="44" t="s">
        <v>27</v>
      </c>
      <c r="O860" s="128">
        <v>1016.6732264473068</v>
      </c>
      <c r="P860" s="128">
        <v>25.0</v>
      </c>
      <c r="Q860" s="128">
        <v>1028.8496723930652</v>
      </c>
      <c r="V860" s="44" t="s">
        <v>107</v>
      </c>
      <c r="W860" s="128">
        <v>1000.0</v>
      </c>
      <c r="X860" s="128">
        <v>8.0</v>
      </c>
      <c r="Y860" s="128">
        <v>984.0054651873386</v>
      </c>
      <c r="Z860" s="44" t="s">
        <v>125</v>
      </c>
      <c r="AA860" s="128">
        <v>1001.2603955647838</v>
      </c>
      <c r="AB860" s="128">
        <v>14.0</v>
      </c>
      <c r="AC860" s="128">
        <v>990.3810106656787</v>
      </c>
      <c r="AD860" s="44" t="s">
        <v>112</v>
      </c>
      <c r="AE860" s="128">
        <v>1004.4798279895266</v>
      </c>
      <c r="AF860" s="128">
        <v>29.0</v>
      </c>
      <c r="AG860" s="128">
        <v>1006.3885243940325</v>
      </c>
      <c r="AH860" s="44" t="s">
        <v>47</v>
      </c>
      <c r="AI860" s="128">
        <v>1005.2892633092755</v>
      </c>
      <c r="AJ860" s="128">
        <v>8.0</v>
      </c>
      <c r="AK860" s="128">
        <v>989.2544866165362</v>
      </c>
      <c r="AP860" s="128">
        <v>19.0</v>
      </c>
      <c r="AQ860" s="128">
        <v>9.0</v>
      </c>
      <c r="AT860" s="44">
        <v>859.0</v>
      </c>
      <c r="AU860" s="44"/>
      <c r="AW860" s="93"/>
      <c r="AY860" s="93"/>
      <c r="AZ860" s="93"/>
      <c r="BA860" s="93"/>
      <c r="BB860" s="155"/>
      <c r="BC860" s="93"/>
      <c r="BE860" s="93"/>
      <c r="BG860" s="93"/>
      <c r="BH860" s="93"/>
      <c r="BI860" s="93"/>
      <c r="BJ860" s="155"/>
      <c r="BK860" s="93"/>
    </row>
    <row r="861">
      <c r="A861" s="166">
        <v>44564.01586959491</v>
      </c>
      <c r="B861" s="44" t="s">
        <v>125</v>
      </c>
      <c r="C861" s="128">
        <v>990.3810106656787</v>
      </c>
      <c r="D861" s="128">
        <v>14.0</v>
      </c>
      <c r="E861" s="128">
        <v>982.1452554953829</v>
      </c>
      <c r="F861" s="44" t="s">
        <v>112</v>
      </c>
      <c r="G861" s="128">
        <v>1006.3885243940325</v>
      </c>
      <c r="H861" s="128">
        <v>12.0</v>
      </c>
      <c r="I861" s="128">
        <v>996.9464360006446</v>
      </c>
      <c r="J861" s="44" t="s">
        <v>27</v>
      </c>
      <c r="K861" s="128">
        <v>1028.8496723930652</v>
      </c>
      <c r="L861" s="128">
        <v>25.0</v>
      </c>
      <c r="M861" s="128">
        <v>1026.5275159567489</v>
      </c>
      <c r="N861" s="44"/>
      <c r="O861" s="128"/>
      <c r="P861" s="128"/>
      <c r="Q861" s="128"/>
      <c r="V861" s="44" t="s">
        <v>107</v>
      </c>
      <c r="W861" s="128">
        <v>984.0054651873386</v>
      </c>
      <c r="X861" s="128">
        <v>19.0</v>
      </c>
      <c r="Y861" s="128">
        <v>989.0167134831074</v>
      </c>
      <c r="Z861" s="44" t="s">
        <v>92</v>
      </c>
      <c r="AA861" s="128">
        <v>1021.0767537728478</v>
      </c>
      <c r="AB861" s="128">
        <v>20.0</v>
      </c>
      <c r="AC861" s="128">
        <v>1026.3686160500924</v>
      </c>
      <c r="AD861" s="44" t="s">
        <v>38</v>
      </c>
      <c r="AE861" s="128">
        <v>1028.4662887378888</v>
      </c>
      <c r="AF861" s="128">
        <v>28.0</v>
      </c>
      <c r="AG861" s="128">
        <v>1038.1631781648755</v>
      </c>
      <c r="AH861" s="44"/>
      <c r="AI861" s="128"/>
      <c r="AJ861" s="128"/>
      <c r="AK861" s="128"/>
      <c r="AP861" s="128">
        <v>11.0</v>
      </c>
      <c r="AQ861" s="128">
        <v>17.0</v>
      </c>
      <c r="AT861" s="44">
        <v>860.0</v>
      </c>
      <c r="AU861" s="44"/>
      <c r="AW861" s="93"/>
      <c r="AY861" s="93"/>
      <c r="AZ861" s="93"/>
      <c r="BA861" s="93"/>
      <c r="BB861" s="155"/>
      <c r="BC861" s="93"/>
      <c r="BE861" s="93"/>
      <c r="BG861" s="93"/>
      <c r="BH861" s="93"/>
      <c r="BI861" s="93"/>
      <c r="BJ861" s="155"/>
      <c r="BK861" s="93"/>
    </row>
    <row r="862">
      <c r="A862" s="166">
        <v>44564.93762774306</v>
      </c>
      <c r="B862" s="44" t="s">
        <v>582</v>
      </c>
      <c r="C862" s="128">
        <v>965.3700774581539</v>
      </c>
      <c r="D862" s="128">
        <v>10.0</v>
      </c>
      <c r="E862" s="128">
        <v>956.1372301306111</v>
      </c>
      <c r="F862" s="44" t="s">
        <v>61</v>
      </c>
      <c r="G862" s="128">
        <v>1009.4368087860332</v>
      </c>
      <c r="H862" s="128">
        <v>16.0</v>
      </c>
      <c r="I862" s="128">
        <v>1003.2724975739272</v>
      </c>
      <c r="J862" s="44" t="s">
        <v>38</v>
      </c>
      <c r="K862" s="128">
        <v>1038.1631781648755</v>
      </c>
      <c r="L862" s="128">
        <v>19.0</v>
      </c>
      <c r="M862" s="128">
        <v>1033.5603367045244</v>
      </c>
      <c r="N862" s="44"/>
      <c r="O862" s="128"/>
      <c r="P862" s="128"/>
      <c r="Q862" s="128"/>
      <c r="V862" s="44" t="s">
        <v>47</v>
      </c>
      <c r="W862" s="128">
        <v>989.2544866165362</v>
      </c>
      <c r="X862" s="128">
        <v>26.0</v>
      </c>
      <c r="Y862" s="128">
        <v>998.9931548220773</v>
      </c>
      <c r="Z862" s="44" t="s">
        <v>58</v>
      </c>
      <c r="AA862" s="128">
        <v>1000.0</v>
      </c>
      <c r="AB862" s="128">
        <v>14.0</v>
      </c>
      <c r="AC862" s="128">
        <v>1002.9908741834058</v>
      </c>
      <c r="AD862" s="44" t="s">
        <v>23</v>
      </c>
      <c r="AE862" s="128">
        <v>1028.326090834624</v>
      </c>
      <c r="AF862" s="128">
        <v>22.0</v>
      </c>
      <c r="AG862" s="128">
        <v>1035.596548445677</v>
      </c>
      <c r="AH862" s="44"/>
      <c r="AI862" s="128"/>
      <c r="AJ862" s="128"/>
      <c r="AK862" s="128"/>
      <c r="AP862" s="128">
        <v>11.0</v>
      </c>
      <c r="AQ862" s="128">
        <v>17.0</v>
      </c>
      <c r="AT862" s="44">
        <v>861.0</v>
      </c>
      <c r="AU862" s="44"/>
      <c r="AW862" s="93"/>
      <c r="AY862" s="93"/>
      <c r="AZ862" s="93"/>
      <c r="BA862" s="93"/>
      <c r="BB862" s="155"/>
      <c r="BC862" s="93"/>
      <c r="BE862" s="93"/>
      <c r="BG862" s="93"/>
      <c r="BH862" s="93"/>
      <c r="BI862" s="93"/>
      <c r="BJ862" s="155"/>
      <c r="BK862" s="93"/>
    </row>
    <row r="863">
      <c r="A863" s="166">
        <v>44564.99429166666</v>
      </c>
      <c r="B863" s="44" t="s">
        <v>125</v>
      </c>
      <c r="C863" s="128">
        <v>982.1452554953829</v>
      </c>
      <c r="D863" s="128">
        <v>11.0</v>
      </c>
      <c r="E863" s="128">
        <v>976.2385655378611</v>
      </c>
      <c r="F863" s="44" t="s">
        <v>58</v>
      </c>
      <c r="G863" s="128">
        <v>1002.9908741834058</v>
      </c>
      <c r="H863" s="128">
        <v>14.0</v>
      </c>
      <c r="I863" s="128">
        <v>998.0049988373554</v>
      </c>
      <c r="J863" s="44" t="s">
        <v>61</v>
      </c>
      <c r="K863" s="128">
        <v>1003.2724975739272</v>
      </c>
      <c r="L863" s="128">
        <v>17.0</v>
      </c>
      <c r="M863" s="128">
        <v>999.2856868727145</v>
      </c>
      <c r="N863" s="44" t="s">
        <v>27</v>
      </c>
      <c r="O863" s="128">
        <v>1026.5275159567489</v>
      </c>
      <c r="P863" s="128">
        <v>23.0</v>
      </c>
      <c r="Q863" s="128">
        <v>1024.4750234116052</v>
      </c>
      <c r="R863" s="44" t="s">
        <v>38</v>
      </c>
      <c r="S863" s="128">
        <v>1033.5603367045244</v>
      </c>
      <c r="T863" s="128">
        <v>20.0</v>
      </c>
      <c r="U863" s="128">
        <v>1030.492205254453</v>
      </c>
      <c r="V863" s="44" t="s">
        <v>107</v>
      </c>
      <c r="W863" s="128">
        <v>989.0167134831074</v>
      </c>
      <c r="X863" s="128">
        <v>24.0</v>
      </c>
      <c r="Y863" s="128">
        <v>993.9670419941338</v>
      </c>
      <c r="Z863" s="44" t="s">
        <v>47</v>
      </c>
      <c r="AA863" s="128">
        <v>998.9931548220773</v>
      </c>
      <c r="AB863" s="128">
        <v>19.0</v>
      </c>
      <c r="AC863" s="128">
        <v>1002.2299747094329</v>
      </c>
      <c r="AD863" s="44" t="s">
        <v>123</v>
      </c>
      <c r="AE863" s="128">
        <v>1000.0</v>
      </c>
      <c r="AF863" s="128">
        <v>10.0</v>
      </c>
      <c r="AG863" s="128">
        <v>1000.2324073617347</v>
      </c>
      <c r="AH863" s="44" t="s">
        <v>92</v>
      </c>
      <c r="AI863" s="128">
        <v>1026.3686160500924</v>
      </c>
      <c r="AJ863" s="128">
        <v>26.0</v>
      </c>
      <c r="AK863" s="128">
        <v>1031.8382176753844</v>
      </c>
      <c r="AL863" s="44" t="s">
        <v>23</v>
      </c>
      <c r="AM863" s="128">
        <v>1035.596548445677</v>
      </c>
      <c r="AN863" s="128">
        <v>28.0</v>
      </c>
      <c r="AO863" s="128">
        <v>1041.7073910602685</v>
      </c>
      <c r="AP863" s="128">
        <v>10.0</v>
      </c>
      <c r="AQ863" s="128">
        <v>18.0</v>
      </c>
      <c r="AT863" s="44">
        <v>862.0</v>
      </c>
      <c r="AU863" s="44"/>
      <c r="AW863" s="93"/>
      <c r="AY863" s="93"/>
      <c r="AZ863" s="93"/>
      <c r="BA863" s="93"/>
      <c r="BB863" s="155"/>
      <c r="BC863" s="93"/>
      <c r="BE863" s="93"/>
      <c r="BG863" s="93"/>
      <c r="BH863" s="93"/>
      <c r="BI863" s="93"/>
      <c r="BJ863" s="155"/>
      <c r="BK863" s="93"/>
    </row>
    <row r="864">
      <c r="A864" s="166">
        <v>44565.02757140047</v>
      </c>
      <c r="B864" s="44" t="s">
        <v>125</v>
      </c>
      <c r="C864" s="128">
        <v>976.2385655378611</v>
      </c>
      <c r="D864" s="128">
        <v>10.0</v>
      </c>
      <c r="E864" s="128">
        <v>965.8772791959385</v>
      </c>
      <c r="F864" s="44" t="s">
        <v>27</v>
      </c>
      <c r="G864" s="128">
        <v>1024.4750234116052</v>
      </c>
      <c r="H864" s="128">
        <v>21.0</v>
      </c>
      <c r="I864" s="128">
        <v>1019.9474996394393</v>
      </c>
      <c r="J864" s="44" t="s">
        <v>92</v>
      </c>
      <c r="K864" s="128">
        <v>1031.8382176753844</v>
      </c>
      <c r="L864" s="128">
        <v>20.0</v>
      </c>
      <c r="M864" s="128">
        <v>1026.727027789473</v>
      </c>
      <c r="N864" s="44"/>
      <c r="O864" s="128"/>
      <c r="P864" s="128"/>
      <c r="Q864" s="128"/>
      <c r="V864" s="44" t="s">
        <v>61</v>
      </c>
      <c r="W864" s="128">
        <v>999.2856868727145</v>
      </c>
      <c r="X864" s="128">
        <v>26.0</v>
      </c>
      <c r="Y864" s="128">
        <v>1008.9919845244813</v>
      </c>
      <c r="Z864" s="44" t="s">
        <v>123</v>
      </c>
      <c r="AA864" s="128">
        <v>1000.2324073617347</v>
      </c>
      <c r="AB864" s="128">
        <v>12.0</v>
      </c>
      <c r="AC864" s="128">
        <v>1002.1543093243405</v>
      </c>
      <c r="AD864" s="44" t="s">
        <v>23</v>
      </c>
      <c r="AE864" s="128">
        <v>1041.7073910602685</v>
      </c>
      <c r="AF864" s="128">
        <v>24.0</v>
      </c>
      <c r="AG864" s="128">
        <v>1050.0791914458957</v>
      </c>
      <c r="AH864" s="44"/>
      <c r="AI864" s="128"/>
      <c r="AJ864" s="128"/>
      <c r="AK864" s="128"/>
      <c r="AP864" s="128">
        <v>11.0</v>
      </c>
      <c r="AQ864" s="128">
        <v>16.0</v>
      </c>
      <c r="AT864" s="44">
        <v>863.0</v>
      </c>
      <c r="AU864" s="44"/>
      <c r="AW864" s="93"/>
      <c r="AY864" s="93"/>
      <c r="AZ864" s="93"/>
      <c r="BA864" s="93"/>
      <c r="BB864" s="155"/>
      <c r="BC864" s="93"/>
      <c r="BE864" s="93"/>
      <c r="BG864" s="93"/>
      <c r="BH864" s="93"/>
      <c r="BI864" s="93"/>
      <c r="BJ864" s="155"/>
      <c r="BK864" s="93"/>
    </row>
    <row r="865">
      <c r="A865" s="166">
        <v>44565.95854388889</v>
      </c>
      <c r="B865" s="44" t="s">
        <v>582</v>
      </c>
      <c r="C865" s="128">
        <v>956.1372301306111</v>
      </c>
      <c r="D865" s="128">
        <v>11.0</v>
      </c>
      <c r="E865" s="128">
        <v>957.243167393625</v>
      </c>
      <c r="F865" s="44" t="s">
        <v>112</v>
      </c>
      <c r="G865" s="128">
        <v>996.9464360006446</v>
      </c>
      <c r="H865" s="128">
        <v>19.0</v>
      </c>
      <c r="I865" s="128">
        <v>1000.4979953372956</v>
      </c>
      <c r="J865" s="44" t="s">
        <v>61</v>
      </c>
      <c r="K865" s="128">
        <v>1008.9919845244813</v>
      </c>
      <c r="L865" s="128">
        <v>26.0</v>
      </c>
      <c r="M865" s="128">
        <v>1014.8290327097117</v>
      </c>
      <c r="N865" s="44" t="s">
        <v>92</v>
      </c>
      <c r="O865" s="128">
        <v>1026.727027789473</v>
      </c>
      <c r="P865" s="128">
        <v>18.0</v>
      </c>
      <c r="Q865" s="128">
        <v>1029.8401393312408</v>
      </c>
      <c r="R865" s="44" t="s">
        <v>23</v>
      </c>
      <c r="S865" s="128">
        <v>1050.0791914458957</v>
      </c>
      <c r="T865" s="128">
        <v>28.0</v>
      </c>
      <c r="U865" s="128">
        <v>1056.4715351192324</v>
      </c>
      <c r="V865" s="44" t="s">
        <v>110</v>
      </c>
      <c r="W865" s="128">
        <v>988.1197181115899</v>
      </c>
      <c r="X865" s="128">
        <v>22.0</v>
      </c>
      <c r="Y865" s="128">
        <v>984.8635214596849</v>
      </c>
      <c r="Z865" s="44" t="s">
        <v>121</v>
      </c>
      <c r="AA865" s="128">
        <v>1000.0</v>
      </c>
      <c r="AB865" s="128">
        <v>14.0</v>
      </c>
      <c r="AC865" s="128">
        <v>994.0255440518555</v>
      </c>
      <c r="AD865" s="44" t="s">
        <v>123</v>
      </c>
      <c r="AE865" s="128">
        <v>1002.1543093243405</v>
      </c>
      <c r="AF865" s="128">
        <v>19.0</v>
      </c>
      <c r="AG865" s="128">
        <v>997.8379515556718</v>
      </c>
      <c r="AH865" s="44" t="s">
        <v>27</v>
      </c>
      <c r="AI865" s="128">
        <v>1019.9474996394393</v>
      </c>
      <c r="AJ865" s="128">
        <v>25.0</v>
      </c>
      <c r="AK865" s="128">
        <v>1017.5691895748074</v>
      </c>
      <c r="AL865" s="44" t="s">
        <v>38</v>
      </c>
      <c r="AM865" s="128">
        <v>1030.492205254453</v>
      </c>
      <c r="AN865" s="128">
        <v>20.0</v>
      </c>
      <c r="AO865" s="128">
        <v>1026.4175256878032</v>
      </c>
      <c r="AP865" s="128">
        <v>16.0</v>
      </c>
      <c r="AQ865" s="128">
        <v>12.0</v>
      </c>
      <c r="AT865" s="44">
        <v>864.0</v>
      </c>
      <c r="AU865" s="44"/>
      <c r="AW865" s="93"/>
      <c r="AY865" s="93"/>
      <c r="AZ865" s="93"/>
      <c r="BA865" s="93"/>
      <c r="BB865" s="155"/>
      <c r="BC865" s="93"/>
      <c r="BE865" s="93"/>
      <c r="BG865" s="93"/>
      <c r="BH865" s="93"/>
      <c r="BI865" s="93"/>
      <c r="BJ865" s="155"/>
      <c r="BK865" s="93"/>
    </row>
    <row r="866">
      <c r="A866" s="166">
        <v>44566.014243854166</v>
      </c>
      <c r="B866" s="44" t="s">
        <v>125</v>
      </c>
      <c r="C866" s="128">
        <v>965.8772791959385</v>
      </c>
      <c r="D866" s="128">
        <v>12.0</v>
      </c>
      <c r="E866" s="128">
        <v>966.3626233448081</v>
      </c>
      <c r="F866" s="44" t="s">
        <v>245</v>
      </c>
      <c r="G866" s="128">
        <v>1000.0</v>
      </c>
      <c r="H866" s="128">
        <v>30.0</v>
      </c>
      <c r="I866" s="128">
        <v>1006.290507521256</v>
      </c>
      <c r="J866" s="44" t="s">
        <v>61</v>
      </c>
      <c r="K866" s="128">
        <v>1014.8290327097117</v>
      </c>
      <c r="L866" s="128">
        <v>21.0</v>
      </c>
      <c r="M866" s="128">
        <v>1018.056777922654</v>
      </c>
      <c r="N866" s="44" t="s">
        <v>27</v>
      </c>
      <c r="O866" s="128">
        <v>1017.5691895748074</v>
      </c>
      <c r="P866" s="128">
        <v>20.0</v>
      </c>
      <c r="Q866" s="128">
        <v>1020.4533573586401</v>
      </c>
      <c r="R866" s="44" t="s">
        <v>23</v>
      </c>
      <c r="S866" s="128">
        <v>1056.4715351192324</v>
      </c>
      <c r="T866" s="128">
        <v>33.0</v>
      </c>
      <c r="U866" s="128">
        <v>1063.583770452332</v>
      </c>
      <c r="V866" s="44" t="s">
        <v>123</v>
      </c>
      <c r="W866" s="128">
        <v>997.8379515556718</v>
      </c>
      <c r="X866" s="128">
        <v>14.0</v>
      </c>
      <c r="Y866" s="128">
        <v>991.882766019556</v>
      </c>
      <c r="Z866" s="44" t="s">
        <v>31</v>
      </c>
      <c r="AA866" s="128">
        <v>1000.0</v>
      </c>
      <c r="AB866" s="128">
        <v>32.0</v>
      </c>
      <c r="AC866" s="128">
        <v>1000.0360268066288</v>
      </c>
      <c r="AD866" s="44" t="s">
        <v>112</v>
      </c>
      <c r="AE866" s="128">
        <v>1000.4979953372956</v>
      </c>
      <c r="AF866" s="128">
        <v>18.0</v>
      </c>
      <c r="AG866" s="128">
        <v>995.8653651684494</v>
      </c>
      <c r="AH866" s="44" t="s">
        <v>38</v>
      </c>
      <c r="AI866" s="128">
        <v>1026.4175256878032</v>
      </c>
      <c r="AJ866" s="128">
        <v>19.0</v>
      </c>
      <c r="AK866" s="128">
        <v>1022.0313340251527</v>
      </c>
      <c r="AL866" s="44" t="s">
        <v>92</v>
      </c>
      <c r="AM866" s="128">
        <v>1029.8401393312408</v>
      </c>
      <c r="AN866" s="128">
        <v>17.0</v>
      </c>
      <c r="AO866" s="128">
        <v>1024.7781198922246</v>
      </c>
      <c r="AP866" s="128">
        <v>18.0</v>
      </c>
      <c r="AQ866" s="128">
        <v>10.0</v>
      </c>
      <c r="AT866" s="44">
        <v>865.0</v>
      </c>
      <c r="AU866" s="44"/>
      <c r="AW866" s="93"/>
      <c r="AY866" s="93"/>
      <c r="AZ866" s="93"/>
      <c r="BA866" s="93"/>
      <c r="BB866" s="155"/>
      <c r="BC866" s="93"/>
      <c r="BE866" s="93"/>
      <c r="BG866" s="93"/>
      <c r="BH866" s="93"/>
      <c r="BI866" s="93"/>
      <c r="BJ866" s="155"/>
      <c r="BK866" s="93"/>
    </row>
    <row r="867">
      <c r="A867" s="166">
        <v>44566.046834872686</v>
      </c>
      <c r="B867" s="44" t="s">
        <v>125</v>
      </c>
      <c r="C867" s="128">
        <v>966.3626233448081</v>
      </c>
      <c r="D867" s="128">
        <v>16.0</v>
      </c>
      <c r="E867" s="128">
        <v>956.4602912497812</v>
      </c>
      <c r="F867" s="44" t="s">
        <v>123</v>
      </c>
      <c r="G867" s="128">
        <v>991.882766019556</v>
      </c>
      <c r="H867" s="128">
        <v>13.0</v>
      </c>
      <c r="I867" s="128">
        <v>979.2146263325806</v>
      </c>
      <c r="J867" s="44" t="s">
        <v>61</v>
      </c>
      <c r="K867" s="128">
        <v>1018.056777922654</v>
      </c>
      <c r="L867" s="128">
        <v>21.0</v>
      </c>
      <c r="M867" s="128">
        <v>1011.8543326455585</v>
      </c>
      <c r="N867" s="44" t="s">
        <v>38</v>
      </c>
      <c r="O867" s="128">
        <v>1022.0313340251527</v>
      </c>
      <c r="P867" s="128">
        <v>15.0</v>
      </c>
      <c r="Q867" s="128">
        <v>1010.8042510842504</v>
      </c>
      <c r="V867" s="44" t="s">
        <v>112</v>
      </c>
      <c r="W867" s="128">
        <v>995.8653651684494</v>
      </c>
      <c r="X867" s="128">
        <v>20.0</v>
      </c>
      <c r="Y867" s="128">
        <v>1002.7963966146743</v>
      </c>
      <c r="Z867" s="44" t="s">
        <v>34</v>
      </c>
      <c r="AA867" s="128">
        <v>1000.0</v>
      </c>
      <c r="AB867" s="128">
        <v>28.0</v>
      </c>
      <c r="AC867" s="128">
        <v>1013.5471337678651</v>
      </c>
      <c r="AD867" s="44" t="s">
        <v>31</v>
      </c>
      <c r="AE867" s="128">
        <v>1000.0360268066288</v>
      </c>
      <c r="AF867" s="128">
        <v>19.0</v>
      </c>
      <c r="AG867" s="128">
        <v>1006.082731370276</v>
      </c>
      <c r="AH867" s="44" t="s">
        <v>245</v>
      </c>
      <c r="AI867" s="128">
        <v>1006.290507521256</v>
      </c>
      <c r="AJ867" s="128">
        <v>28.0</v>
      </c>
      <c r="AK867" s="128">
        <v>1019.7656377435188</v>
      </c>
      <c r="AP867" s="128">
        <v>8.0</v>
      </c>
      <c r="AQ867" s="128">
        <v>20.0</v>
      </c>
      <c r="AT867" s="44">
        <v>866.0</v>
      </c>
      <c r="AU867" s="44"/>
      <c r="AW867" s="93"/>
      <c r="AY867" s="93"/>
      <c r="AZ867" s="93"/>
      <c r="BA867" s="93"/>
      <c r="BB867" s="155"/>
      <c r="BC867" s="93"/>
      <c r="BE867" s="93"/>
      <c r="BG867" s="93"/>
      <c r="BH867" s="93"/>
      <c r="BI867" s="93"/>
      <c r="BJ867" s="155"/>
      <c r="BK867" s="93"/>
    </row>
    <row r="868">
      <c r="A868" s="166">
        <v>44566.08173827546</v>
      </c>
      <c r="B868" s="44" t="s">
        <v>125</v>
      </c>
      <c r="C868" s="128">
        <v>956.4602912497812</v>
      </c>
      <c r="D868" s="128">
        <v>11.0</v>
      </c>
      <c r="E868" s="128">
        <v>943.1535514870477</v>
      </c>
      <c r="F868" s="44" t="s">
        <v>34</v>
      </c>
      <c r="G868" s="128">
        <v>1013.5471337678651</v>
      </c>
      <c r="H868" s="128">
        <v>9.0</v>
      </c>
      <c r="I868" s="128">
        <v>997.7194209986391</v>
      </c>
      <c r="J868" s="44" t="s">
        <v>245</v>
      </c>
      <c r="K868" s="128">
        <v>1019.7656377435188</v>
      </c>
      <c r="L868" s="128">
        <v>18.0</v>
      </c>
      <c r="M868" s="128">
        <v>1012.9000902754784</v>
      </c>
      <c r="N868" s="44"/>
      <c r="O868" s="128"/>
      <c r="P868" s="128"/>
      <c r="Q868" s="128"/>
      <c r="V868" s="44" t="s">
        <v>31</v>
      </c>
      <c r="W868" s="128">
        <v>1006.082731370276</v>
      </c>
      <c r="X868" s="128">
        <v>28.0</v>
      </c>
      <c r="Y868" s="128">
        <v>1023.1254483775722</v>
      </c>
      <c r="Z868" s="44" t="s">
        <v>38</v>
      </c>
      <c r="AA868" s="128">
        <v>1010.8042510842504</v>
      </c>
      <c r="AB868" s="128">
        <v>17.0</v>
      </c>
      <c r="AC868" s="128">
        <v>1016.7890805165773</v>
      </c>
      <c r="AD868" s="44" t="s">
        <v>61</v>
      </c>
      <c r="AE868" s="128">
        <v>1011.8543326455585</v>
      </c>
      <c r="AF868" s="128">
        <v>24.0</v>
      </c>
      <c r="AG868" s="128">
        <v>1024.8267862059354</v>
      </c>
      <c r="AH868" s="44"/>
      <c r="AI868" s="128"/>
      <c r="AJ868" s="128"/>
      <c r="AK868" s="128"/>
      <c r="AP868" s="128">
        <v>9.0</v>
      </c>
      <c r="AQ868" s="128">
        <v>19.0</v>
      </c>
      <c r="AT868" s="44">
        <v>867.0</v>
      </c>
      <c r="AU868" s="44"/>
      <c r="AW868" s="93"/>
      <c r="AY868" s="93"/>
      <c r="AZ868" s="93"/>
      <c r="BA868" s="93"/>
      <c r="BB868" s="155"/>
      <c r="BC868" s="93"/>
      <c r="BE868" s="93"/>
      <c r="BG868" s="93"/>
      <c r="BH868" s="93"/>
      <c r="BI868" s="93"/>
      <c r="BJ868" s="155"/>
      <c r="BK868" s="93"/>
    </row>
    <row r="869">
      <c r="A869" s="166">
        <v>44566.95316909722</v>
      </c>
      <c r="B869" s="44" t="s">
        <v>123</v>
      </c>
      <c r="C869" s="128">
        <v>979.2146263325806</v>
      </c>
      <c r="D869" s="128">
        <v>18.0</v>
      </c>
      <c r="E869" s="128">
        <v>968.7170704302928</v>
      </c>
      <c r="F869" s="44" t="s">
        <v>47</v>
      </c>
      <c r="G869" s="128">
        <v>1002.2299747094329</v>
      </c>
      <c r="H869" s="128">
        <v>29.0</v>
      </c>
      <c r="I869" s="128">
        <v>997.9332233337977</v>
      </c>
      <c r="J869" s="44" t="s">
        <v>61</v>
      </c>
      <c r="K869" s="128">
        <v>1024.8267862059354</v>
      </c>
      <c r="L869" s="128">
        <v>26.0</v>
      </c>
      <c r="M869" s="128">
        <v>1018.6210934838582</v>
      </c>
      <c r="N869" s="44"/>
      <c r="O869" s="128"/>
      <c r="P869" s="128"/>
      <c r="Q869" s="128"/>
      <c r="V869" s="44" t="s">
        <v>88</v>
      </c>
      <c r="W869" s="128">
        <v>974.1773509477218</v>
      </c>
      <c r="X869" s="128">
        <v>30.0</v>
      </c>
      <c r="Y869" s="128">
        <v>981.8339822417719</v>
      </c>
      <c r="Z869" s="44" t="s">
        <v>58</v>
      </c>
      <c r="AA869" s="128">
        <v>998.0049988373554</v>
      </c>
      <c r="AB869" s="128">
        <v>39.0</v>
      </c>
      <c r="AC869" s="128">
        <v>1010.627224140738</v>
      </c>
      <c r="AD869" s="44" t="s">
        <v>92</v>
      </c>
      <c r="AE869" s="128">
        <v>1024.7781198922246</v>
      </c>
      <c r="AF869" s="128">
        <v>19.0</v>
      </c>
      <c r="AG869" s="128">
        <v>1025.499263294792</v>
      </c>
      <c r="AH869" s="44"/>
      <c r="AI869" s="128"/>
      <c r="AJ869" s="128"/>
      <c r="AK869" s="128"/>
      <c r="AP869" s="128">
        <v>18.0</v>
      </c>
      <c r="AQ869" s="128">
        <v>24.0</v>
      </c>
      <c r="AT869" s="44">
        <v>868.0</v>
      </c>
      <c r="AU869" s="44"/>
      <c r="AW869" s="93"/>
      <c r="AY869" s="93"/>
      <c r="AZ869" s="93"/>
      <c r="BA869" s="93"/>
      <c r="BB869" s="155"/>
      <c r="BC869" s="93"/>
      <c r="BE869" s="93"/>
      <c r="BG869" s="93"/>
      <c r="BH869" s="93"/>
      <c r="BI869" s="93"/>
      <c r="BJ869" s="155"/>
      <c r="BK869" s="93"/>
    </row>
    <row r="870">
      <c r="A870" s="166">
        <v>44566.99811568287</v>
      </c>
      <c r="B870" s="44" t="s">
        <v>123</v>
      </c>
      <c r="C870" s="128">
        <v>968.7170704302928</v>
      </c>
      <c r="D870" s="128">
        <v>14.0</v>
      </c>
      <c r="E870" s="128">
        <v>970.2602648238251</v>
      </c>
      <c r="F870" s="44" t="s">
        <v>47</v>
      </c>
      <c r="G870" s="128">
        <v>997.9332233337977</v>
      </c>
      <c r="H870" s="128">
        <v>17.0</v>
      </c>
      <c r="I870" s="128">
        <v>1000.0184186455092</v>
      </c>
      <c r="J870" s="44" t="s">
        <v>61</v>
      </c>
      <c r="K870" s="128">
        <v>1018.6210934838582</v>
      </c>
      <c r="L870" s="128">
        <v>25.0</v>
      </c>
      <c r="M870" s="128">
        <v>1022.3293793197477</v>
      </c>
      <c r="N870" s="44" t="s">
        <v>27</v>
      </c>
      <c r="O870" s="128">
        <v>1020.4533573586401</v>
      </c>
      <c r="P870" s="128">
        <v>20.0</v>
      </c>
      <c r="Q870" s="128">
        <v>1023.1166818175069</v>
      </c>
      <c r="V870" s="44" t="s">
        <v>125</v>
      </c>
      <c r="W870" s="128">
        <v>943.1535514870477</v>
      </c>
      <c r="X870" s="128">
        <v>13.0</v>
      </c>
      <c r="Y870" s="128">
        <v>939.7595655746376</v>
      </c>
      <c r="Z870" s="44" t="s">
        <v>88</v>
      </c>
      <c r="AA870" s="128">
        <v>981.8339822417719</v>
      </c>
      <c r="AB870" s="128">
        <v>19.0</v>
      </c>
      <c r="AC870" s="128">
        <v>979.5613167060683</v>
      </c>
      <c r="AD870" s="44" t="s">
        <v>58</v>
      </c>
      <c r="AE870" s="128">
        <v>1010.627224140738</v>
      </c>
      <c r="AF870" s="128">
        <v>13.0</v>
      </c>
      <c r="AG870" s="128">
        <v>1007.0372068674124</v>
      </c>
      <c r="AH870" s="44" t="s">
        <v>23</v>
      </c>
      <c r="AI870" s="128">
        <v>1063.583770452332</v>
      </c>
      <c r="AJ870" s="128">
        <v>27.0</v>
      </c>
      <c r="AK870" s="128">
        <v>1062.8404391737713</v>
      </c>
      <c r="AP870" s="128">
        <v>15.0</v>
      </c>
      <c r="AQ870" s="128">
        <v>13.0</v>
      </c>
      <c r="AT870" s="44">
        <v>869.0</v>
      </c>
      <c r="AU870" s="44"/>
      <c r="AW870" s="93"/>
      <c r="AY870" s="93"/>
      <c r="AZ870" s="93"/>
      <c r="BA870" s="93"/>
      <c r="BB870" s="155"/>
      <c r="BC870" s="93"/>
      <c r="BE870" s="93"/>
      <c r="BG870" s="93"/>
      <c r="BH870" s="93"/>
      <c r="BI870" s="93"/>
      <c r="BJ870" s="155"/>
      <c r="BK870" s="93"/>
    </row>
    <row r="871">
      <c r="A871" s="166">
        <v>44567.04461829861</v>
      </c>
      <c r="B871" s="44" t="s">
        <v>123</v>
      </c>
      <c r="C871" s="128">
        <v>970.2602648238251</v>
      </c>
      <c r="D871" s="128">
        <v>27.0</v>
      </c>
      <c r="E871" s="128">
        <v>969.5581800174486</v>
      </c>
      <c r="F871" s="44" t="s">
        <v>34</v>
      </c>
      <c r="G871" s="128">
        <v>997.7194209986391</v>
      </c>
      <c r="H871" s="128">
        <v>13.0</v>
      </c>
      <c r="I871" s="128">
        <v>994.620285754304</v>
      </c>
      <c r="J871" s="44" t="s">
        <v>47</v>
      </c>
      <c r="K871" s="128">
        <v>1000.0184186455092</v>
      </c>
      <c r="L871" s="128">
        <v>23.0</v>
      </c>
      <c r="M871" s="128">
        <v>998.5814595985402</v>
      </c>
      <c r="N871" s="44" t="s">
        <v>58</v>
      </c>
      <c r="O871" s="128">
        <v>1007.0372068674124</v>
      </c>
      <c r="P871" s="128">
        <v>18.0</v>
      </c>
      <c r="Q871" s="128">
        <v>1004.7539790919002</v>
      </c>
      <c r="R871" s="44" t="s">
        <v>92</v>
      </c>
      <c r="S871" s="128">
        <v>1025.499263294792</v>
      </c>
      <c r="T871" s="128">
        <v>17.0</v>
      </c>
      <c r="U871" s="128">
        <v>1023.0206701679847</v>
      </c>
      <c r="V871" s="44" t="s">
        <v>125</v>
      </c>
      <c r="W871" s="128">
        <v>939.7595655746376</v>
      </c>
      <c r="X871" s="128">
        <v>14.0</v>
      </c>
      <c r="Y871" s="128">
        <v>940.9363516430303</v>
      </c>
      <c r="Z871" s="44" t="s">
        <v>88</v>
      </c>
      <c r="AA871" s="128">
        <v>979.5613167060683</v>
      </c>
      <c r="AB871" s="128">
        <v>25.0</v>
      </c>
      <c r="AC871" s="128">
        <v>982.4524802802172</v>
      </c>
      <c r="AD871" s="44" t="s">
        <v>107</v>
      </c>
      <c r="AE871" s="128">
        <v>993.9670419941338</v>
      </c>
      <c r="AF871" s="128">
        <v>12.0</v>
      </c>
      <c r="AG871" s="128">
        <v>994.6586308804127</v>
      </c>
      <c r="AH871" s="44" t="s">
        <v>61</v>
      </c>
      <c r="AI871" s="128">
        <v>1022.3293793197477</v>
      </c>
      <c r="AJ871" s="128">
        <v>19.0</v>
      </c>
      <c r="AK871" s="128">
        <v>1024.1375482118226</v>
      </c>
      <c r="AL871" s="44" t="s">
        <v>23</v>
      </c>
      <c r="AM871" s="128">
        <v>1062.8404391737713</v>
      </c>
      <c r="AN871" s="128">
        <v>29.0</v>
      </c>
      <c r="AO871" s="128">
        <v>1066.2727317528756</v>
      </c>
      <c r="AP871" s="128">
        <v>13.0</v>
      </c>
      <c r="AQ871" s="128">
        <v>15.0</v>
      </c>
      <c r="AT871" s="44">
        <v>870.0</v>
      </c>
      <c r="AU871" s="44"/>
      <c r="AW871" s="93"/>
      <c r="AY871" s="93"/>
      <c r="AZ871" s="93"/>
      <c r="BA871" s="93"/>
      <c r="BB871" s="155"/>
      <c r="BC871" s="93"/>
      <c r="BE871" s="93"/>
      <c r="BG871" s="93"/>
      <c r="BH871" s="93"/>
      <c r="BI871" s="93"/>
      <c r="BJ871" s="155"/>
      <c r="BK871" s="93"/>
    </row>
    <row r="872">
      <c r="A872" s="166">
        <v>44567.09739358796</v>
      </c>
      <c r="B872" s="44" t="s">
        <v>123</v>
      </c>
      <c r="C872" s="128">
        <v>969.5581800174486</v>
      </c>
      <c r="D872" s="128">
        <v>23.0</v>
      </c>
      <c r="E872" s="128">
        <v>966.9442358705895</v>
      </c>
      <c r="F872" s="44" t="s">
        <v>88</v>
      </c>
      <c r="G872" s="128">
        <v>982.4524802802172</v>
      </c>
      <c r="H872" s="128">
        <v>21.0</v>
      </c>
      <c r="I872" s="128">
        <v>979.4600924931684</v>
      </c>
      <c r="J872" s="44" t="s">
        <v>34</v>
      </c>
      <c r="K872" s="128">
        <v>994.620285754304</v>
      </c>
      <c r="L872" s="128">
        <v>30.0</v>
      </c>
      <c r="M872" s="128">
        <v>993.0906506952942</v>
      </c>
      <c r="N872" s="44" t="s">
        <v>92</v>
      </c>
      <c r="O872" s="128">
        <v>1023.0206701679847</v>
      </c>
      <c r="P872" s="128">
        <v>34.0</v>
      </c>
      <c r="Q872" s="128">
        <v>1022.0897356843328</v>
      </c>
      <c r="R872" s="44" t="s">
        <v>61</v>
      </c>
      <c r="S872" s="128">
        <v>1024.1375482118226</v>
      </c>
      <c r="T872" s="128">
        <v>28.0</v>
      </c>
      <c r="U872" s="128">
        <v>1022.2044496883921</v>
      </c>
      <c r="V872" s="44" t="s">
        <v>125</v>
      </c>
      <c r="W872" s="128">
        <v>940.9363516430303</v>
      </c>
      <c r="X872" s="128">
        <v>15.0</v>
      </c>
      <c r="Y872" s="128">
        <v>940.5822003352368</v>
      </c>
      <c r="Z872" s="44" t="s">
        <v>110</v>
      </c>
      <c r="AA872" s="128">
        <v>984.8635214596849</v>
      </c>
      <c r="AB872" s="128">
        <v>33.0</v>
      </c>
      <c r="AC872" s="128">
        <v>987.3137572306479</v>
      </c>
      <c r="AD872" s="44" t="s">
        <v>47</v>
      </c>
      <c r="AE872" s="128">
        <v>998.5814595985402</v>
      </c>
      <c r="AF872" s="128">
        <v>34.0</v>
      </c>
      <c r="AG872" s="128">
        <v>1001.1529149622824</v>
      </c>
      <c r="AH872" s="44" t="s">
        <v>112</v>
      </c>
      <c r="AI872" s="128">
        <v>1002.7963966146743</v>
      </c>
      <c r="AJ872" s="128">
        <v>33.0</v>
      </c>
      <c r="AK872" s="128">
        <v>1005.1886459638281</v>
      </c>
      <c r="AL872" s="44" t="s">
        <v>23</v>
      </c>
      <c r="AM872" s="128">
        <v>1066.2727317528756</v>
      </c>
      <c r="AN872" s="128">
        <v>37.0</v>
      </c>
      <c r="AO872" s="128">
        <v>1069.2129425768103</v>
      </c>
      <c r="AP872" s="128">
        <v>20.0</v>
      </c>
      <c r="AQ872" s="128">
        <v>22.0</v>
      </c>
      <c r="AT872" s="44">
        <v>871.0</v>
      </c>
      <c r="AU872" s="44"/>
      <c r="AW872" s="93"/>
      <c r="AY872" s="93"/>
      <c r="AZ872" s="93"/>
      <c r="BA872" s="93"/>
      <c r="BB872" s="155"/>
      <c r="BC872" s="93"/>
      <c r="BE872" s="93"/>
      <c r="BG872" s="93"/>
      <c r="BH872" s="93"/>
      <c r="BI872" s="93"/>
      <c r="BJ872" s="155"/>
      <c r="BK872" s="93"/>
    </row>
    <row r="873">
      <c r="A873" s="166">
        <v>44567.12805392361</v>
      </c>
      <c r="B873" s="44" t="s">
        <v>125</v>
      </c>
      <c r="C873" s="128">
        <v>940.5822003352368</v>
      </c>
      <c r="D873" s="128">
        <v>7.0</v>
      </c>
      <c r="E873" s="128">
        <v>928.5562397592636</v>
      </c>
      <c r="F873" s="44" t="s">
        <v>34</v>
      </c>
      <c r="G873" s="128">
        <v>993.0906506952942</v>
      </c>
      <c r="H873" s="128">
        <v>15.0</v>
      </c>
      <c r="I873" s="128">
        <v>985.0809829178377</v>
      </c>
      <c r="J873" s="44" t="s">
        <v>23</v>
      </c>
      <c r="K873" s="128">
        <v>1069.2129425768103</v>
      </c>
      <c r="L873" s="128">
        <v>30.0</v>
      </c>
      <c r="M873" s="128">
        <v>1069.2029425768103</v>
      </c>
      <c r="N873" s="44"/>
      <c r="O873" s="128"/>
      <c r="P873" s="128"/>
      <c r="Q873" s="128"/>
      <c r="V873" s="44" t="s">
        <v>88</v>
      </c>
      <c r="W873" s="128">
        <v>979.4600924931684</v>
      </c>
      <c r="X873" s="128">
        <v>16.0</v>
      </c>
      <c r="Y873" s="128">
        <v>983.3275619208506</v>
      </c>
      <c r="Z873" s="44" t="s">
        <v>112</v>
      </c>
      <c r="AA873" s="128">
        <v>1005.1886459638281</v>
      </c>
      <c r="AB873" s="128">
        <v>19.0</v>
      </c>
      <c r="AC873" s="128">
        <v>1010.5266289782653</v>
      </c>
      <c r="AD873" s="44" t="s">
        <v>61</v>
      </c>
      <c r="AE873" s="128">
        <v>1022.2044496883921</v>
      </c>
      <c r="AF873" s="128">
        <v>29.0</v>
      </c>
      <c r="AG873" s="128">
        <v>1032.9989972462727</v>
      </c>
      <c r="AH873" s="44"/>
      <c r="AI873" s="128"/>
      <c r="AJ873" s="128"/>
      <c r="AK873" s="128"/>
      <c r="AP873" s="128">
        <v>11.0</v>
      </c>
      <c r="AQ873" s="128">
        <v>16.0</v>
      </c>
      <c r="AT873" s="44">
        <v>872.0</v>
      </c>
      <c r="AU873" s="44"/>
      <c r="AW873" s="93"/>
      <c r="AY873" s="93"/>
      <c r="AZ873" s="93"/>
      <c r="BA873" s="93"/>
      <c r="BB873" s="155"/>
      <c r="BC873" s="93"/>
      <c r="BE873" s="93"/>
      <c r="BG873" s="93"/>
      <c r="BH873" s="93"/>
      <c r="BI873" s="93"/>
      <c r="BJ873" s="155"/>
      <c r="BK873" s="93"/>
    </row>
    <row r="874">
      <c r="A874" s="166">
        <v>44567.9321662963</v>
      </c>
      <c r="B874" s="44" t="s">
        <v>98</v>
      </c>
      <c r="C874" s="128">
        <v>988.9530514449233</v>
      </c>
      <c r="D874" s="128">
        <v>20.0</v>
      </c>
      <c r="E874" s="128">
        <v>989.8661422451935</v>
      </c>
      <c r="F874" s="44" t="s">
        <v>47</v>
      </c>
      <c r="G874" s="128">
        <v>1001.1529149622824</v>
      </c>
      <c r="H874" s="128">
        <v>35.0</v>
      </c>
      <c r="I874" s="128">
        <v>1006.1724830099979</v>
      </c>
      <c r="J874" s="44" t="s">
        <v>61</v>
      </c>
      <c r="K874" s="128">
        <v>1032.9989972462727</v>
      </c>
      <c r="L874" s="128">
        <v>32.0</v>
      </c>
      <c r="M874" s="128">
        <v>1037.066338398287</v>
      </c>
      <c r="N874" s="44"/>
      <c r="O874" s="128"/>
      <c r="P874" s="128"/>
      <c r="Q874" s="128"/>
      <c r="V874" s="44" t="s">
        <v>125</v>
      </c>
      <c r="W874" s="128">
        <v>928.5562397592636</v>
      </c>
      <c r="X874" s="128">
        <v>24.0</v>
      </c>
      <c r="Y874" s="128">
        <v>924.4288611451606</v>
      </c>
      <c r="Z874" s="44" t="s">
        <v>38</v>
      </c>
      <c r="AA874" s="128">
        <v>1016.7890805165773</v>
      </c>
      <c r="AB874" s="128">
        <v>26.0</v>
      </c>
      <c r="AC874" s="128">
        <v>1012.6682599081118</v>
      </c>
      <c r="AD874" s="44" t="s">
        <v>23</v>
      </c>
      <c r="AE874" s="128">
        <v>1069.2029425768103</v>
      </c>
      <c r="AF874" s="128">
        <v>35.0</v>
      </c>
      <c r="AG874" s="128">
        <v>1067.4511417993788</v>
      </c>
      <c r="AH874" s="44"/>
      <c r="AI874" s="128"/>
      <c r="AJ874" s="128"/>
      <c r="AK874" s="128"/>
      <c r="AP874" s="128">
        <v>22.0</v>
      </c>
      <c r="AQ874" s="128">
        <v>20.0</v>
      </c>
      <c r="AT874" s="44">
        <v>873.0</v>
      </c>
      <c r="AU874" s="44"/>
      <c r="AW874" s="93"/>
      <c r="AY874" s="93"/>
      <c r="AZ874" s="93"/>
      <c r="BA874" s="93"/>
      <c r="BB874" s="155"/>
      <c r="BC874" s="93"/>
      <c r="BE874" s="93"/>
      <c r="BG874" s="93"/>
      <c r="BH874" s="93"/>
      <c r="BI874" s="93"/>
      <c r="BJ874" s="155"/>
      <c r="BK874" s="93"/>
    </row>
    <row r="875">
      <c r="A875" s="166">
        <v>44567.974235127316</v>
      </c>
      <c r="B875" s="44" t="s">
        <v>125</v>
      </c>
      <c r="C875" s="128">
        <v>924.4288611451606</v>
      </c>
      <c r="D875" s="128">
        <v>11.0</v>
      </c>
      <c r="E875" s="128">
        <v>925.6675489299288</v>
      </c>
      <c r="F875" s="44" t="s">
        <v>47</v>
      </c>
      <c r="G875" s="128">
        <v>1006.1724830099979</v>
      </c>
      <c r="H875" s="128">
        <v>27.0</v>
      </c>
      <c r="I875" s="128">
        <v>1013.4689940864881</v>
      </c>
      <c r="J875" s="44" t="s">
        <v>112</v>
      </c>
      <c r="K875" s="128">
        <v>1010.5266289782653</v>
      </c>
      <c r="L875" s="128">
        <v>19.0</v>
      </c>
      <c r="M875" s="128">
        <v>1014.4696083209611</v>
      </c>
      <c r="N875" s="44" t="s">
        <v>23</v>
      </c>
      <c r="O875" s="128">
        <v>1067.4511417993788</v>
      </c>
      <c r="P875" s="128">
        <v>28.0</v>
      </c>
      <c r="Q875" s="128">
        <v>1074.9729635954245</v>
      </c>
      <c r="V875" s="44" t="s">
        <v>123</v>
      </c>
      <c r="W875" s="128">
        <v>966.9442358705895</v>
      </c>
      <c r="X875" s="128">
        <v>18.0</v>
      </c>
      <c r="Y875" s="128">
        <v>961.7925671992367</v>
      </c>
      <c r="Z875" s="44" t="s">
        <v>88</v>
      </c>
      <c r="AA875" s="128">
        <v>983.3275619208506</v>
      </c>
      <c r="AB875" s="128">
        <v>22.0</v>
      </c>
      <c r="AC875" s="128">
        <v>979.7452395711676</v>
      </c>
      <c r="AD875" s="44" t="s">
        <v>38</v>
      </c>
      <c r="AE875" s="128">
        <v>1012.6682599081118</v>
      </c>
      <c r="AF875" s="128">
        <v>16.0</v>
      </c>
      <c r="AG875" s="128">
        <v>1006.4498287168996</v>
      </c>
      <c r="AH875" s="44" t="s">
        <v>61</v>
      </c>
      <c r="AI875" s="128">
        <v>1037.066338398287</v>
      </c>
      <c r="AJ875" s="128">
        <v>19.0</v>
      </c>
      <c r="AK875" s="128">
        <v>1032.018760610535</v>
      </c>
      <c r="AP875" s="128">
        <v>17.0</v>
      </c>
      <c r="AQ875" s="128">
        <v>11.0</v>
      </c>
      <c r="AT875" s="44">
        <v>874.0</v>
      </c>
      <c r="AU875" s="44"/>
      <c r="AW875" s="93"/>
      <c r="AY875" s="93"/>
      <c r="AZ875" s="93"/>
      <c r="BA875" s="93"/>
      <c r="BB875" s="155"/>
      <c r="BC875" s="93"/>
      <c r="BE875" s="93"/>
      <c r="BG875" s="93"/>
      <c r="BH875" s="93"/>
      <c r="BI875" s="93"/>
      <c r="BJ875" s="155"/>
      <c r="BK875" s="93"/>
    </row>
    <row r="876">
      <c r="A876" s="166">
        <v>44568.025655798614</v>
      </c>
      <c r="B876" s="44" t="s">
        <v>125</v>
      </c>
      <c r="C876" s="128">
        <v>925.6675489299288</v>
      </c>
      <c r="D876" s="128">
        <v>9.0</v>
      </c>
      <c r="E876" s="128">
        <v>925.6775489299288</v>
      </c>
      <c r="F876" s="44" t="s">
        <v>100</v>
      </c>
      <c r="G876" s="128">
        <v>951.45</v>
      </c>
      <c r="H876" s="128">
        <v>11.0</v>
      </c>
      <c r="I876" s="128">
        <v>951.46</v>
      </c>
      <c r="J876" s="44" t="s">
        <v>107</v>
      </c>
      <c r="K876" s="128">
        <v>994.6586308804127</v>
      </c>
      <c r="L876" s="128">
        <v>15.0</v>
      </c>
      <c r="M876" s="128">
        <v>994.6686308804127</v>
      </c>
      <c r="N876" s="44" t="s">
        <v>61</v>
      </c>
      <c r="O876" s="128">
        <v>1032.018760610535</v>
      </c>
      <c r="P876" s="128">
        <v>26.0</v>
      </c>
      <c r="Q876" s="128">
        <v>1032.028760610535</v>
      </c>
      <c r="R876" s="44" t="s">
        <v>23</v>
      </c>
      <c r="S876" s="128">
        <v>1074.9729635954245</v>
      </c>
      <c r="T876" s="128">
        <v>29.0</v>
      </c>
      <c r="U876" s="128">
        <v>1074.9829635954245</v>
      </c>
      <c r="V876" s="44" t="s">
        <v>123</v>
      </c>
      <c r="W876" s="128">
        <v>961.7925671992367</v>
      </c>
      <c r="X876" s="128">
        <v>12.0</v>
      </c>
      <c r="Y876" s="128">
        <v>961.7925671992367</v>
      </c>
      <c r="Z876" s="44" t="s">
        <v>88</v>
      </c>
      <c r="AA876" s="128">
        <v>979.7452395711676</v>
      </c>
      <c r="AB876" s="128">
        <v>16.0</v>
      </c>
      <c r="AC876" s="128">
        <v>979.7452395711676</v>
      </c>
      <c r="AD876" s="44" t="s">
        <v>38</v>
      </c>
      <c r="AE876" s="128">
        <v>1006.4498287168996</v>
      </c>
      <c r="AF876" s="128">
        <v>25.0</v>
      </c>
      <c r="AG876" s="128">
        <v>1006.4498287168996</v>
      </c>
      <c r="AH876" s="44" t="s">
        <v>47</v>
      </c>
      <c r="AI876" s="128">
        <v>1013.4689940864881</v>
      </c>
      <c r="AJ876" s="128">
        <v>23.0</v>
      </c>
      <c r="AK876" s="128">
        <v>1013.4689940864881</v>
      </c>
      <c r="AL876" s="44" t="s">
        <v>112</v>
      </c>
      <c r="AM876" s="128">
        <v>1014.4696083209611</v>
      </c>
      <c r="AN876" s="128">
        <v>26.0</v>
      </c>
      <c r="AO876" s="128">
        <v>1014.4696083209611</v>
      </c>
      <c r="AP876" s="128">
        <v>14.0</v>
      </c>
      <c r="AQ876" s="128">
        <v>14.0</v>
      </c>
      <c r="AT876" s="44">
        <v>875.0</v>
      </c>
      <c r="AU876" s="44"/>
      <c r="AW876" s="93"/>
      <c r="AY876" s="93"/>
      <c r="AZ876" s="93"/>
      <c r="BA876" s="93"/>
      <c r="BB876" s="155"/>
      <c r="BC876" s="93"/>
      <c r="BE876" s="93"/>
      <c r="BG876" s="93"/>
      <c r="BH876" s="93"/>
      <c r="BI876" s="93"/>
      <c r="BJ876" s="155"/>
      <c r="BK876" s="93"/>
    </row>
    <row r="877">
      <c r="A877" s="166">
        <v>44568.06750239583</v>
      </c>
      <c r="B877" s="44" t="s">
        <v>125</v>
      </c>
      <c r="C877" s="128">
        <v>925.6775489299288</v>
      </c>
      <c r="D877" s="128">
        <v>7.0</v>
      </c>
      <c r="E877" s="128">
        <v>916.4845367546004</v>
      </c>
      <c r="F877" s="44" t="s">
        <v>34</v>
      </c>
      <c r="G877" s="128">
        <v>985.0809829178377</v>
      </c>
      <c r="H877" s="128">
        <v>15.0</v>
      </c>
      <c r="I877" s="128">
        <v>978.8057568445797</v>
      </c>
      <c r="J877" s="44" t="s">
        <v>47</v>
      </c>
      <c r="K877" s="128">
        <v>1013.4689940864881</v>
      </c>
      <c r="L877" s="128">
        <v>21.0</v>
      </c>
      <c r="M877" s="128">
        <v>1009.5667361061835</v>
      </c>
      <c r="N877" s="44" t="s">
        <v>61</v>
      </c>
      <c r="O877" s="128">
        <v>1032.028760610535</v>
      </c>
      <c r="P877" s="128">
        <v>29.0</v>
      </c>
      <c r="Q877" s="128">
        <v>1031.399256839426</v>
      </c>
      <c r="V877" s="44" t="s">
        <v>100</v>
      </c>
      <c r="W877" s="128">
        <v>951.46</v>
      </c>
      <c r="X877" s="128">
        <v>14.0</v>
      </c>
      <c r="Y877" s="128">
        <v>953.9873783633378</v>
      </c>
      <c r="Z877" s="44" t="s">
        <v>88</v>
      </c>
      <c r="AA877" s="128">
        <v>979.7452395711676</v>
      </c>
      <c r="AB877" s="128">
        <v>13.0</v>
      </c>
      <c r="AC877" s="128">
        <v>981.6507125415017</v>
      </c>
      <c r="AD877" s="44" t="s">
        <v>38</v>
      </c>
      <c r="AE877" s="128">
        <v>1006.4498287168996</v>
      </c>
      <c r="AF877" s="128">
        <v>31.0</v>
      </c>
      <c r="AG877" s="128">
        <v>1015.7093769726217</v>
      </c>
      <c r="AH877" s="44" t="s">
        <v>112</v>
      </c>
      <c r="AI877" s="128">
        <v>1014.4696083209611</v>
      </c>
      <c r="AJ877" s="128">
        <v>24.0</v>
      </c>
      <c r="AK877" s="128">
        <v>1020.7772087315672</v>
      </c>
      <c r="AP877" s="128">
        <v>11.0</v>
      </c>
      <c r="AQ877" s="128">
        <v>17.0</v>
      </c>
      <c r="AT877" s="44">
        <v>876.0</v>
      </c>
      <c r="AU877" s="44"/>
      <c r="AW877" s="93"/>
      <c r="AY877" s="93"/>
      <c r="AZ877" s="93"/>
      <c r="BA877" s="93"/>
      <c r="BB877" s="155"/>
      <c r="BC877" s="93"/>
      <c r="BE877" s="93"/>
      <c r="BG877" s="93"/>
      <c r="BH877" s="93"/>
      <c r="BI877" s="93"/>
      <c r="BJ877" s="155"/>
      <c r="BK877" s="93"/>
    </row>
    <row r="878">
      <c r="A878" s="166">
        <v>44569.942339490735</v>
      </c>
      <c r="B878" s="44" t="s">
        <v>34</v>
      </c>
      <c r="C878" s="128">
        <v>978.8057568445797</v>
      </c>
      <c r="D878" s="128">
        <v>22.0</v>
      </c>
      <c r="E878" s="128">
        <v>975.4017964608094</v>
      </c>
      <c r="F878" s="44" t="s">
        <v>88</v>
      </c>
      <c r="G878" s="128">
        <v>981.6507125415017</v>
      </c>
      <c r="H878" s="128">
        <v>17.0</v>
      </c>
      <c r="I878" s="128">
        <v>975.3108727378898</v>
      </c>
      <c r="J878" s="44" t="s">
        <v>61</v>
      </c>
      <c r="K878" s="128">
        <v>1031.399256839426</v>
      </c>
      <c r="L878" s="128">
        <v>9.0</v>
      </c>
      <c r="M878" s="128">
        <v>1020.1430570268083</v>
      </c>
      <c r="N878" s="44"/>
      <c r="O878" s="128"/>
      <c r="P878" s="128"/>
      <c r="Q878" s="128"/>
      <c r="V878" s="44" t="s">
        <v>125</v>
      </c>
      <c r="W878" s="128">
        <v>916.4845367546004</v>
      </c>
      <c r="X878" s="128">
        <v>11.0</v>
      </c>
      <c r="Y878" s="128">
        <v>919.078669213995</v>
      </c>
      <c r="Z878" s="44" t="s">
        <v>110</v>
      </c>
      <c r="AA878" s="128">
        <v>987.3137572306479</v>
      </c>
      <c r="AB878" s="128">
        <v>10.0</v>
      </c>
      <c r="AC878" s="128">
        <v>988.5495410028485</v>
      </c>
      <c r="AD878" s="44" t="s">
        <v>23</v>
      </c>
      <c r="AE878" s="128">
        <v>1074.9829635954245</v>
      </c>
      <c r="AF878" s="128">
        <v>38.0</v>
      </c>
      <c r="AG878" s="128">
        <v>1092.1530473638293</v>
      </c>
      <c r="AH878" s="44"/>
      <c r="AI878" s="128"/>
      <c r="AJ878" s="128"/>
      <c r="AK878" s="128"/>
      <c r="AP878" s="128">
        <v>11.0</v>
      </c>
      <c r="AQ878" s="128">
        <v>17.0</v>
      </c>
      <c r="AT878" s="44">
        <v>877.0</v>
      </c>
      <c r="AU878" s="44"/>
      <c r="AW878" s="93"/>
      <c r="AY878" s="93"/>
      <c r="AZ878" s="93"/>
      <c r="BA878" s="93"/>
      <c r="BB878" s="155"/>
      <c r="BC878" s="93"/>
      <c r="BE878" s="93"/>
      <c r="BG878" s="93"/>
      <c r="BH878" s="93"/>
      <c r="BI878" s="93"/>
      <c r="BJ878" s="155"/>
      <c r="BK878" s="93"/>
    </row>
    <row r="879">
      <c r="A879" s="166">
        <v>44569.94398836806</v>
      </c>
      <c r="B879" s="44" t="s">
        <v>88</v>
      </c>
      <c r="C879" s="128">
        <v>975.3108727378898</v>
      </c>
      <c r="D879" s="128">
        <v>15.0</v>
      </c>
      <c r="E879" s="128">
        <v>971.848638234252</v>
      </c>
      <c r="F879" s="44" t="s">
        <v>34</v>
      </c>
      <c r="G879" s="128">
        <v>975.4017964608094</v>
      </c>
      <c r="H879" s="128">
        <v>26.0</v>
      </c>
      <c r="I879" s="128">
        <v>974.6892713999309</v>
      </c>
      <c r="J879" s="44" t="s">
        <v>61</v>
      </c>
      <c r="K879" s="128">
        <v>1020.1430570268083</v>
      </c>
      <c r="L879" s="128">
        <v>10.0</v>
      </c>
      <c r="M879" s="128">
        <v>1015.3178165913245</v>
      </c>
      <c r="N879" s="44"/>
      <c r="O879" s="128"/>
      <c r="P879" s="128"/>
      <c r="Q879" s="128"/>
      <c r="V879" s="44" t="s">
        <v>125</v>
      </c>
      <c r="W879" s="128">
        <v>919.078669213995</v>
      </c>
      <c r="X879" s="128">
        <v>9.0</v>
      </c>
      <c r="Y879" s="128">
        <v>920.0747545538678</v>
      </c>
      <c r="Z879" s="44" t="s">
        <v>110</v>
      </c>
      <c r="AA879" s="128">
        <v>988.5495410028485</v>
      </c>
      <c r="AB879" s="128">
        <v>19.0</v>
      </c>
      <c r="AC879" s="128">
        <v>991.757525950671</v>
      </c>
      <c r="AD879" s="44" t="s">
        <v>23</v>
      </c>
      <c r="AE879" s="128">
        <v>1092.1530473638293</v>
      </c>
      <c r="AF879" s="128">
        <v>26.0</v>
      </c>
      <c r="AG879" s="128">
        <v>1096.9489770761338</v>
      </c>
      <c r="AH879" s="44"/>
      <c r="AI879" s="128"/>
      <c r="AJ879" s="128"/>
      <c r="AK879" s="128"/>
      <c r="AP879" s="128">
        <v>13.0</v>
      </c>
      <c r="AQ879" s="128">
        <v>15.0</v>
      </c>
      <c r="AT879" s="44">
        <v>878.0</v>
      </c>
      <c r="AU879" s="44"/>
      <c r="AW879" s="93"/>
      <c r="AY879" s="93"/>
      <c r="AZ879" s="93"/>
      <c r="BA879" s="93"/>
      <c r="BB879" s="155"/>
      <c r="BC879" s="93"/>
      <c r="BE879" s="93"/>
      <c r="BG879" s="93"/>
      <c r="BH879" s="93"/>
      <c r="BI879" s="93"/>
      <c r="BJ879" s="155"/>
      <c r="BK879" s="93"/>
    </row>
    <row r="880">
      <c r="A880" s="166">
        <v>44569.978509629625</v>
      </c>
      <c r="B880" s="44" t="s">
        <v>125</v>
      </c>
      <c r="C880" s="128">
        <v>920.0747545538678</v>
      </c>
      <c r="D880" s="128">
        <v>6.0</v>
      </c>
      <c r="E880" s="128">
        <v>920.0847545538678</v>
      </c>
      <c r="F880" s="44" t="s">
        <v>88</v>
      </c>
      <c r="G880" s="128">
        <v>971.848638234252</v>
      </c>
      <c r="H880" s="128">
        <v>20.0</v>
      </c>
      <c r="I880" s="128">
        <v>971.858638234252</v>
      </c>
      <c r="J880" s="44" t="s">
        <v>112</v>
      </c>
      <c r="K880" s="128">
        <v>1020.7772087315672</v>
      </c>
      <c r="L880" s="128">
        <v>23.0</v>
      </c>
      <c r="M880" s="128">
        <v>1020.7872087315671</v>
      </c>
      <c r="N880" s="44" t="s">
        <v>23</v>
      </c>
      <c r="O880" s="128">
        <v>1096.9489770761338</v>
      </c>
      <c r="P880" s="128">
        <v>27.0</v>
      </c>
      <c r="Q880" s="128">
        <v>1096.9589770761338</v>
      </c>
      <c r="V880" s="44" t="s">
        <v>98</v>
      </c>
      <c r="W880" s="128">
        <v>989.8661422451935</v>
      </c>
      <c r="X880" s="128">
        <v>18.0</v>
      </c>
      <c r="Y880" s="128">
        <v>989.8661422451935</v>
      </c>
      <c r="Z880" s="44" t="s">
        <v>576</v>
      </c>
      <c r="AA880" s="128">
        <v>997.1947006495657</v>
      </c>
      <c r="AB880" s="128">
        <v>13.0</v>
      </c>
      <c r="AC880" s="128">
        <v>997.1947006495657</v>
      </c>
      <c r="AD880" s="44" t="s">
        <v>47</v>
      </c>
      <c r="AE880" s="128">
        <v>1009.5667361061835</v>
      </c>
      <c r="AF880" s="128">
        <v>11.0</v>
      </c>
      <c r="AG880" s="128">
        <v>1009.5667361061835</v>
      </c>
      <c r="AH880" s="44" t="s">
        <v>38</v>
      </c>
      <c r="AI880" s="128">
        <v>1015.7093769726217</v>
      </c>
      <c r="AJ880" s="128">
        <v>30.0</v>
      </c>
      <c r="AK880" s="128">
        <v>1015.7093769726217</v>
      </c>
      <c r="AP880" s="128">
        <v>14.0</v>
      </c>
      <c r="AQ880" s="128">
        <v>14.0</v>
      </c>
      <c r="AT880" s="44">
        <v>879.0</v>
      </c>
      <c r="AU880" s="44"/>
      <c r="AW880" s="93"/>
      <c r="AY880" s="93"/>
      <c r="AZ880" s="93"/>
      <c r="BA880" s="93"/>
      <c r="BB880" s="155"/>
      <c r="BC880" s="93"/>
      <c r="BE880" s="93"/>
      <c r="BG880" s="93"/>
      <c r="BH880" s="93"/>
      <c r="BI880" s="93"/>
      <c r="BJ880" s="155"/>
      <c r="BK880" s="93"/>
    </row>
    <row r="881">
      <c r="A881" s="166">
        <v>44570.00823695602</v>
      </c>
      <c r="B881" s="44" t="s">
        <v>125</v>
      </c>
      <c r="C881" s="128">
        <v>920.0847545538678</v>
      </c>
      <c r="D881" s="128">
        <v>10.0</v>
      </c>
      <c r="E881" s="128">
        <v>912.3584519601757</v>
      </c>
      <c r="F881" s="44" t="s">
        <v>123</v>
      </c>
      <c r="G881" s="128">
        <v>961.7925671992367</v>
      </c>
      <c r="H881" s="128">
        <v>6.0</v>
      </c>
      <c r="I881" s="128">
        <v>952.0919407091322</v>
      </c>
      <c r="J881" s="44" t="s">
        <v>38</v>
      </c>
      <c r="K881" s="128">
        <v>1015.7093769726217</v>
      </c>
      <c r="L881" s="128">
        <v>29.0</v>
      </c>
      <c r="M881" s="128">
        <v>1015.3330794739833</v>
      </c>
      <c r="N881" s="44" t="s">
        <v>23</v>
      </c>
      <c r="O881" s="128">
        <v>1096.9589770761338</v>
      </c>
      <c r="P881" s="128">
        <v>25.0</v>
      </c>
      <c r="Q881" s="128">
        <v>1094.7622036585688</v>
      </c>
      <c r="V881" s="44" t="s">
        <v>88</v>
      </c>
      <c r="W881" s="128">
        <v>971.858638234252</v>
      </c>
      <c r="X881" s="128">
        <v>20.0</v>
      </c>
      <c r="Y881" s="128">
        <v>976.5925921002549</v>
      </c>
      <c r="Z881" s="44" t="s">
        <v>107</v>
      </c>
      <c r="AA881" s="128">
        <v>994.6686308804127</v>
      </c>
      <c r="AB881" s="128">
        <v>17.0</v>
      </c>
      <c r="AC881" s="128">
        <v>998.0154227022362</v>
      </c>
      <c r="AD881" s="44" t="s">
        <v>47</v>
      </c>
      <c r="AE881" s="128">
        <v>1009.5667361061835</v>
      </c>
      <c r="AF881" s="128">
        <v>22.0</v>
      </c>
      <c r="AG881" s="128">
        <v>1014.9244328351864</v>
      </c>
      <c r="AH881" s="44" t="s">
        <v>112</v>
      </c>
      <c r="AI881" s="128">
        <v>1020.7872087315671</v>
      </c>
      <c r="AJ881" s="128">
        <v>25.0</v>
      </c>
      <c r="AK881" s="128">
        <v>1027.348766314738</v>
      </c>
      <c r="AP881" s="128">
        <v>12.0</v>
      </c>
      <c r="AQ881" s="128">
        <v>16.0</v>
      </c>
      <c r="AT881" s="44">
        <v>880.0</v>
      </c>
      <c r="AU881" s="44"/>
      <c r="AW881" s="93"/>
      <c r="AY881" s="93"/>
      <c r="AZ881" s="93"/>
      <c r="BA881" s="93"/>
      <c r="BB881" s="155"/>
      <c r="BC881" s="93"/>
      <c r="BE881" s="93"/>
      <c r="BG881" s="93"/>
      <c r="BH881" s="93"/>
      <c r="BI881" s="93"/>
      <c r="BJ881" s="155"/>
      <c r="BK881" s="93"/>
    </row>
    <row r="882">
      <c r="A882" s="166">
        <v>44570.069878912036</v>
      </c>
      <c r="B882" s="44" t="s">
        <v>88</v>
      </c>
      <c r="C882" s="128">
        <v>976.5925921002549</v>
      </c>
      <c r="D882" s="128">
        <v>41.0</v>
      </c>
      <c r="E882" s="128">
        <v>979.2524038321568</v>
      </c>
      <c r="F882" s="44" t="s">
        <v>98</v>
      </c>
      <c r="G882" s="128">
        <v>989.8661422451935</v>
      </c>
      <c r="H882" s="128">
        <v>26.0</v>
      </c>
      <c r="I882" s="128">
        <v>989.9695041171526</v>
      </c>
      <c r="J882" s="44" t="s">
        <v>47</v>
      </c>
      <c r="K882" s="128">
        <v>1014.9244328351864</v>
      </c>
      <c r="L882" s="128">
        <v>29.0</v>
      </c>
      <c r="M882" s="128">
        <v>1015.4416897918805</v>
      </c>
      <c r="N882" s="44" t="s">
        <v>23</v>
      </c>
      <c r="O882" s="128">
        <v>1094.7622036585688</v>
      </c>
      <c r="P882" s="128">
        <v>55.0</v>
      </c>
      <c r="Q882" s="128">
        <v>1099.4817730980135</v>
      </c>
      <c r="V882" s="44" t="s">
        <v>123</v>
      </c>
      <c r="W882" s="128">
        <v>952.0919407091322</v>
      </c>
      <c r="X882" s="128">
        <v>21.0</v>
      </c>
      <c r="Y882" s="128">
        <v>948.3851977444515</v>
      </c>
      <c r="Z882" s="44" t="s">
        <v>107</v>
      </c>
      <c r="AA882" s="128">
        <v>998.0154227022362</v>
      </c>
      <c r="AB882" s="128">
        <v>29.0</v>
      </c>
      <c r="AC882" s="128">
        <v>995.4593039330288</v>
      </c>
      <c r="AD882" s="44" t="s">
        <v>38</v>
      </c>
      <c r="AE882" s="128">
        <v>1015.3330794739833</v>
      </c>
      <c r="AF882" s="128">
        <v>31.0</v>
      </c>
      <c r="AG882" s="128">
        <v>1013.0617177829292</v>
      </c>
      <c r="AH882" s="44" t="s">
        <v>112</v>
      </c>
      <c r="AI882" s="128">
        <v>1027.348766314738</v>
      </c>
      <c r="AJ882" s="128">
        <v>48.0</v>
      </c>
      <c r="AK882" s="128">
        <v>1027.8829897396802</v>
      </c>
      <c r="AP882" s="128">
        <v>23.0</v>
      </c>
      <c r="AQ882" s="128">
        <v>19.0</v>
      </c>
      <c r="AT882" s="44">
        <v>881.0</v>
      </c>
      <c r="AU882" s="44"/>
      <c r="AW882" s="93"/>
      <c r="AY882" s="93"/>
      <c r="AZ882" s="93"/>
      <c r="BA882" s="93"/>
      <c r="BB882" s="155"/>
      <c r="BC882" s="93"/>
      <c r="BE882" s="93"/>
      <c r="BG882" s="93"/>
      <c r="BH882" s="93"/>
      <c r="BI882" s="93"/>
      <c r="BJ882" s="155"/>
      <c r="BK882" s="93"/>
    </row>
    <row r="883">
      <c r="A883" s="166">
        <v>44570.12093228009</v>
      </c>
      <c r="B883" s="44" t="s">
        <v>34</v>
      </c>
      <c r="C883" s="128">
        <v>974.6892713999309</v>
      </c>
      <c r="D883" s="128">
        <v>17.0</v>
      </c>
      <c r="E883" s="128">
        <v>976.7200327278914</v>
      </c>
      <c r="F883" s="44" t="s">
        <v>88</v>
      </c>
      <c r="G883" s="128">
        <v>979.2524038321568</v>
      </c>
      <c r="H883" s="128">
        <v>16.0</v>
      </c>
      <c r="I883" s="128">
        <v>981.0614817274867</v>
      </c>
      <c r="J883" s="44" t="s">
        <v>38</v>
      </c>
      <c r="K883" s="128">
        <v>1013.0617177829292</v>
      </c>
      <c r="L883" s="128">
        <v>23.0</v>
      </c>
      <c r="M883" s="128">
        <v>1016.2482407145365</v>
      </c>
      <c r="N883" s="44" t="s">
        <v>47</v>
      </c>
      <c r="O883" s="128">
        <v>1015.4416897918805</v>
      </c>
      <c r="P883" s="128">
        <v>22.0</v>
      </c>
      <c r="Q883" s="128">
        <v>1018.415327636983</v>
      </c>
      <c r="V883" s="44" t="s">
        <v>125</v>
      </c>
      <c r="W883" s="128">
        <v>912.3584519601757</v>
      </c>
      <c r="X883" s="128">
        <v>9.0</v>
      </c>
      <c r="Y883" s="128">
        <v>908.1558634116761</v>
      </c>
      <c r="Z883" s="44" t="s">
        <v>123</v>
      </c>
      <c r="AA883" s="128">
        <v>948.3851977444515</v>
      </c>
      <c r="AB883" s="128">
        <v>9.0</v>
      </c>
      <c r="AC883" s="128">
        <v>944.0360634695684</v>
      </c>
      <c r="AD883" s="44" t="s">
        <v>112</v>
      </c>
      <c r="AE883" s="128">
        <v>1027.8829897396802</v>
      </c>
      <c r="AF883" s="128">
        <v>21.0</v>
      </c>
      <c r="AG883" s="128">
        <v>1025.8353470337038</v>
      </c>
      <c r="AH883" s="44" t="s">
        <v>23</v>
      </c>
      <c r="AI883" s="128">
        <v>1099.4817730980135</v>
      </c>
      <c r="AJ883" s="128">
        <v>34.0</v>
      </c>
      <c r="AK883" s="128">
        <v>1100.0811386273724</v>
      </c>
      <c r="AP883" s="128">
        <v>15.0</v>
      </c>
      <c r="AQ883" s="128">
        <v>13.0</v>
      </c>
      <c r="AT883" s="44">
        <v>882.0</v>
      </c>
      <c r="AU883" s="44"/>
      <c r="AW883" s="93"/>
      <c r="AY883" s="93"/>
      <c r="AZ883" s="93"/>
      <c r="BA883" s="93"/>
      <c r="BB883" s="155"/>
      <c r="BC883" s="93"/>
      <c r="BE883" s="93"/>
      <c r="BG883" s="93"/>
      <c r="BH883" s="93"/>
      <c r="BI883" s="93"/>
      <c r="BJ883" s="155"/>
      <c r="BK883" s="93"/>
    </row>
    <row r="884">
      <c r="A884" s="166">
        <v>44571.036337638885</v>
      </c>
      <c r="B884" s="44" t="s">
        <v>125</v>
      </c>
      <c r="C884" s="128">
        <v>908.1558634116761</v>
      </c>
      <c r="D884" s="128">
        <v>10.0</v>
      </c>
      <c r="E884" s="128">
        <v>908.8048206673101</v>
      </c>
      <c r="F884" s="44" t="s">
        <v>88</v>
      </c>
      <c r="G884" s="128">
        <v>981.0614817274867</v>
      </c>
      <c r="H884" s="128">
        <v>21.0</v>
      </c>
      <c r="I884" s="128">
        <v>983.7088496255477</v>
      </c>
      <c r="J884" s="44" t="s">
        <v>61</v>
      </c>
      <c r="K884" s="128">
        <v>1015.3178165913245</v>
      </c>
      <c r="L884" s="128">
        <v>28.0</v>
      </c>
      <c r="M884" s="128">
        <v>1019.3400381844483</v>
      </c>
      <c r="N884" s="44" t="s">
        <v>23</v>
      </c>
      <c r="O884" s="128">
        <v>1100.0811386273724</v>
      </c>
      <c r="P884" s="128">
        <v>22.0</v>
      </c>
      <c r="Q884" s="128">
        <v>1102.7625918805536</v>
      </c>
      <c r="V884" s="44" t="s">
        <v>100</v>
      </c>
      <c r="W884" s="128">
        <v>953.9873783633378</v>
      </c>
      <c r="X884" s="128">
        <v>14.0</v>
      </c>
      <c r="Y884" s="128">
        <v>950.6647805759675</v>
      </c>
      <c r="Z884" s="44" t="s">
        <v>107</v>
      </c>
      <c r="AA884" s="128">
        <v>995.4593039330288</v>
      </c>
      <c r="AB884" s="128">
        <v>16.0</v>
      </c>
      <c r="AC884" s="128">
        <v>992.4365610029827</v>
      </c>
      <c r="AD884" s="44" t="s">
        <v>92</v>
      </c>
      <c r="AE884" s="128">
        <v>1022.0897356843328</v>
      </c>
      <c r="AF884" s="128">
        <v>21.0</v>
      </c>
      <c r="AG884" s="128">
        <v>1020.0570336253489</v>
      </c>
      <c r="AH884" s="44" t="s">
        <v>112</v>
      </c>
      <c r="AI884" s="128">
        <v>1025.8353470337038</v>
      </c>
      <c r="AJ884" s="128">
        <v>23.0</v>
      </c>
      <c r="AK884" s="128">
        <v>1024.213389810104</v>
      </c>
      <c r="AP884" s="128">
        <v>15.0</v>
      </c>
      <c r="AQ884" s="128">
        <v>13.0</v>
      </c>
      <c r="AT884" s="44">
        <v>883.0</v>
      </c>
      <c r="AU884" s="44"/>
      <c r="AW884" s="93"/>
      <c r="AY884" s="93"/>
      <c r="AZ884" s="93"/>
      <c r="BA884" s="93"/>
      <c r="BB884" s="155"/>
      <c r="BC884" s="93"/>
      <c r="BE884" s="93"/>
      <c r="BG884" s="93"/>
      <c r="BH884" s="93"/>
      <c r="BI884" s="93"/>
      <c r="BJ884" s="155"/>
      <c r="BK884" s="93"/>
    </row>
    <row r="885">
      <c r="A885" s="166">
        <v>44571.3574325463</v>
      </c>
      <c r="B885" s="44" t="s">
        <v>100</v>
      </c>
      <c r="C885" s="128">
        <v>950.6647805759675</v>
      </c>
      <c r="D885" s="128">
        <v>19.0</v>
      </c>
      <c r="E885" s="128">
        <v>945.5166164829204</v>
      </c>
      <c r="F885" s="44" t="s">
        <v>61</v>
      </c>
      <c r="G885" s="128">
        <v>1019.3400381844483</v>
      </c>
      <c r="H885" s="128">
        <v>39.0</v>
      </c>
      <c r="I885" s="128">
        <v>1019.3300381844483</v>
      </c>
      <c r="J885" s="44" t="s">
        <v>92</v>
      </c>
      <c r="K885" s="128">
        <v>1020.0570336253489</v>
      </c>
      <c r="L885" s="128">
        <v>21.0</v>
      </c>
      <c r="M885" s="128">
        <v>1015.1299743893704</v>
      </c>
      <c r="N885" s="44"/>
      <c r="O885" s="128"/>
      <c r="P885" s="128"/>
      <c r="Q885" s="128"/>
      <c r="V885" s="44" t="s">
        <v>125</v>
      </c>
      <c r="W885" s="128">
        <v>908.8048206673101</v>
      </c>
      <c r="X885" s="128">
        <v>18.0</v>
      </c>
      <c r="Y885" s="128">
        <v>909.9308249107362</v>
      </c>
      <c r="Z885" s="44" t="s">
        <v>107</v>
      </c>
      <c r="AA885" s="128">
        <v>992.4365610029827</v>
      </c>
      <c r="AB885" s="128">
        <v>23.0</v>
      </c>
      <c r="AC885" s="128">
        <v>994.3661451553318</v>
      </c>
      <c r="AD885" s="44" t="s">
        <v>23</v>
      </c>
      <c r="AE885" s="128">
        <v>1102.7625918805536</v>
      </c>
      <c r="AF885" s="128">
        <v>42.0</v>
      </c>
      <c r="AG885" s="128">
        <v>1109.7070034847784</v>
      </c>
      <c r="AH885" s="44"/>
      <c r="AI885" s="128"/>
      <c r="AJ885" s="128"/>
      <c r="AK885" s="128"/>
      <c r="AP885" s="128">
        <v>19.0</v>
      </c>
      <c r="AQ885" s="128">
        <v>23.0</v>
      </c>
      <c r="AT885" s="44">
        <v>884.0</v>
      </c>
      <c r="AU885" s="44"/>
      <c r="AW885" s="93"/>
      <c r="AY885" s="93"/>
      <c r="AZ885" s="93"/>
      <c r="BA885" s="93"/>
      <c r="BB885" s="155"/>
      <c r="BC885" s="93"/>
      <c r="BE885" s="93"/>
      <c r="BG885" s="93"/>
      <c r="BH885" s="93"/>
      <c r="BI885" s="93"/>
      <c r="BJ885" s="155"/>
      <c r="BK885" s="93"/>
    </row>
    <row r="886">
      <c r="A886" s="166">
        <v>44571.8857171875</v>
      </c>
      <c r="B886" s="44" t="s">
        <v>38</v>
      </c>
      <c r="C886" s="128">
        <v>1016.2482407145365</v>
      </c>
      <c r="D886" s="128">
        <v>22.0</v>
      </c>
      <c r="E886" s="128">
        <v>1034.1112125984077</v>
      </c>
      <c r="F886" s="44" t="s">
        <v>47</v>
      </c>
      <c r="G886" s="128">
        <v>1018.415327636983</v>
      </c>
      <c r="H886" s="128">
        <v>18.0</v>
      </c>
      <c r="I886" s="128">
        <v>1031.0307457750648</v>
      </c>
      <c r="J886" s="44" t="s">
        <v>61</v>
      </c>
      <c r="K886" s="128">
        <v>1019.3300381844483</v>
      </c>
      <c r="L886" s="128">
        <v>21.0</v>
      </c>
      <c r="M886" s="128">
        <v>1035.8516481624952</v>
      </c>
      <c r="N886" s="44"/>
      <c r="O886" s="128"/>
      <c r="P886" s="128"/>
      <c r="Q886" s="128"/>
      <c r="V886" s="44" t="s">
        <v>107</v>
      </c>
      <c r="W886" s="128">
        <v>994.3661451553318</v>
      </c>
      <c r="X886" s="128">
        <v>12.0</v>
      </c>
      <c r="Y886" s="128">
        <v>977.2096394943519</v>
      </c>
      <c r="Z886" s="44" t="s">
        <v>92</v>
      </c>
      <c r="AA886" s="128">
        <v>1015.1299743893704</v>
      </c>
      <c r="AB886" s="128">
        <v>14.0</v>
      </c>
      <c r="AC886" s="128">
        <v>1000.3983425004214</v>
      </c>
      <c r="AD886" s="44" t="s">
        <v>23</v>
      </c>
      <c r="AE886" s="128">
        <v>1109.7070034847784</v>
      </c>
      <c r="AF886" s="128">
        <v>14.0</v>
      </c>
      <c r="AG886" s="128">
        <v>1094.5951410347072</v>
      </c>
      <c r="AH886" s="44"/>
      <c r="AI886" s="128"/>
      <c r="AJ886" s="128"/>
      <c r="AK886" s="128"/>
      <c r="AP886" s="128">
        <v>19.0</v>
      </c>
      <c r="AQ886" s="128">
        <v>9.0</v>
      </c>
      <c r="AT886" s="44">
        <v>885.0</v>
      </c>
      <c r="AU886" s="44"/>
      <c r="AW886" s="93"/>
      <c r="AY886" s="93"/>
      <c r="AZ886" s="93"/>
      <c r="BA886" s="93"/>
      <c r="BB886" s="155"/>
      <c r="BC886" s="93"/>
      <c r="BE886" s="93"/>
      <c r="BG886" s="93"/>
      <c r="BH886" s="93"/>
      <c r="BI886" s="93"/>
      <c r="BJ886" s="155"/>
      <c r="BK886" s="93"/>
    </row>
    <row r="887">
      <c r="A887" s="166">
        <v>44571.94477123843</v>
      </c>
      <c r="B887" s="44" t="s">
        <v>123</v>
      </c>
      <c r="C887" s="128">
        <v>944.0360634695684</v>
      </c>
      <c r="D887" s="128">
        <v>14.0</v>
      </c>
      <c r="E887" s="128">
        <v>939.5537341530277</v>
      </c>
      <c r="F887" s="44" t="s">
        <v>583</v>
      </c>
      <c r="G887" s="128">
        <v>1000.0</v>
      </c>
      <c r="H887" s="128">
        <v>0.0</v>
      </c>
      <c r="I887" s="128">
        <v>991.327538608878</v>
      </c>
      <c r="J887" s="44" t="s">
        <v>92</v>
      </c>
      <c r="K887" s="128">
        <v>1000.3983425004214</v>
      </c>
      <c r="L887" s="128">
        <v>24.0</v>
      </c>
      <c r="M887" s="128">
        <v>998.5247031635412</v>
      </c>
      <c r="N887" s="44" t="s">
        <v>27</v>
      </c>
      <c r="O887" s="128">
        <v>1023.1166818175069</v>
      </c>
      <c r="P887" s="128">
        <v>27.0</v>
      </c>
      <c r="Q887" s="128">
        <v>1022.0347434350791</v>
      </c>
      <c r="R887" s="44" t="s">
        <v>23</v>
      </c>
      <c r="S887" s="128">
        <v>1094.5951410347072</v>
      </c>
      <c r="T887" s="128">
        <v>28.0</v>
      </c>
      <c r="U887" s="128">
        <v>1093.705509461678</v>
      </c>
      <c r="V887" s="44" t="s">
        <v>88</v>
      </c>
      <c r="W887" s="128">
        <v>983.7088496255477</v>
      </c>
      <c r="X887" s="128">
        <v>15.0</v>
      </c>
      <c r="Y887" s="128">
        <v>984.9131151497262</v>
      </c>
      <c r="Z887" s="44" t="s">
        <v>112</v>
      </c>
      <c r="AA887" s="128">
        <v>1024.213389810104</v>
      </c>
      <c r="AB887" s="128">
        <v>31.0</v>
      </c>
      <c r="AC887" s="128">
        <v>1029.809108853426</v>
      </c>
      <c r="AD887" s="44" t="s">
        <v>47</v>
      </c>
      <c r="AE887" s="128">
        <v>1031.0307457750648</v>
      </c>
      <c r="AF887" s="128">
        <v>36.0</v>
      </c>
      <c r="AG887" s="128">
        <v>1038.0258035073082</v>
      </c>
      <c r="AH887" s="44" t="s">
        <v>38</v>
      </c>
      <c r="AI887" s="128">
        <v>1034.1112125984077</v>
      </c>
      <c r="AJ887" s="128">
        <v>20.0</v>
      </c>
      <c r="AK887" s="128">
        <v>1036.5656693191647</v>
      </c>
      <c r="AL887" s="44" t="s">
        <v>61</v>
      </c>
      <c r="AM887" s="128">
        <v>1035.8516481624952</v>
      </c>
      <c r="AN887" s="128">
        <v>14.0</v>
      </c>
      <c r="AO887" s="128">
        <v>1036.602149141994</v>
      </c>
      <c r="AP887" s="128">
        <v>11.0</v>
      </c>
      <c r="AQ887" s="128">
        <v>17.0</v>
      </c>
      <c r="AT887" s="44">
        <v>886.0</v>
      </c>
      <c r="AU887" s="44"/>
      <c r="AW887" s="93"/>
      <c r="AY887" s="93"/>
      <c r="AZ887" s="93"/>
      <c r="BA887" s="93"/>
      <c r="BB887" s="155"/>
      <c r="BC887" s="93"/>
      <c r="BE887" s="93"/>
      <c r="BG887" s="93"/>
      <c r="BH887" s="93"/>
      <c r="BI887" s="93"/>
      <c r="BJ887" s="155"/>
      <c r="BK887" s="93"/>
    </row>
    <row r="888">
      <c r="A888" s="166">
        <v>44571.99411688658</v>
      </c>
      <c r="B888" s="44" t="s">
        <v>110</v>
      </c>
      <c r="C888" s="128">
        <v>991.757525950671</v>
      </c>
      <c r="D888" s="128">
        <v>26.0</v>
      </c>
      <c r="E888" s="128">
        <v>994.6885661183692</v>
      </c>
      <c r="F888" s="44" t="s">
        <v>576</v>
      </c>
      <c r="G888" s="128">
        <v>997.1947006495657</v>
      </c>
      <c r="H888" s="128">
        <v>27.0</v>
      </c>
      <c r="I888" s="128">
        <v>1000.3835963609483</v>
      </c>
      <c r="J888" s="44" t="s">
        <v>92</v>
      </c>
      <c r="K888" s="128">
        <v>998.5247031635412</v>
      </c>
      <c r="L888" s="128">
        <v>26.0</v>
      </c>
      <c r="M888" s="128">
        <v>1001.4242689905484</v>
      </c>
      <c r="N888" s="44" t="s">
        <v>47</v>
      </c>
      <c r="O888" s="128">
        <v>1038.0258035073082</v>
      </c>
      <c r="P888" s="128">
        <v>20.0</v>
      </c>
      <c r="Q888" s="128">
        <v>1039.0867608485391</v>
      </c>
      <c r="R888" s="44" t="s">
        <v>23</v>
      </c>
      <c r="S888" s="128">
        <v>1093.705509461678</v>
      </c>
      <c r="T888" s="128">
        <v>41.0</v>
      </c>
      <c r="U888" s="128">
        <v>1100.625050414359</v>
      </c>
      <c r="V888" s="44" t="s">
        <v>88</v>
      </c>
      <c r="W888" s="128">
        <v>984.9131151497262</v>
      </c>
      <c r="X888" s="128">
        <v>21.0</v>
      </c>
      <c r="Y888" s="128">
        <v>982.3267266444599</v>
      </c>
      <c r="Z888" s="44" t="s">
        <v>38</v>
      </c>
      <c r="AA888" s="43">
        <v>1036.57</v>
      </c>
      <c r="AB888" s="44">
        <v>24.0</v>
      </c>
      <c r="AC888" s="43">
        <v>1034.02</v>
      </c>
      <c r="AD888" s="44" t="s">
        <v>27</v>
      </c>
      <c r="AE888" s="128">
        <v>1022.0347434350791</v>
      </c>
      <c r="AF888" s="128">
        <v>12.0</v>
      </c>
      <c r="AG888" s="128">
        <v>1016.7949250681579</v>
      </c>
      <c r="AH888" s="44" t="s">
        <v>112</v>
      </c>
      <c r="AI888" s="128">
        <v>1029.809108853426</v>
      </c>
      <c r="AJ888" s="128">
        <v>20.0</v>
      </c>
      <c r="AK888" s="128">
        <v>1026.8198929311068</v>
      </c>
      <c r="AL888" s="44" t="s">
        <v>61</v>
      </c>
      <c r="AM888" s="128">
        <v>1036.602149141994</v>
      </c>
      <c r="AN888" s="128">
        <v>28.0</v>
      </c>
      <c r="AO888" s="128">
        <v>1035.8670017819998</v>
      </c>
      <c r="AP888" s="128">
        <v>17.0</v>
      </c>
      <c r="AQ888" s="128">
        <v>11.0</v>
      </c>
      <c r="AT888" s="44">
        <v>887.0</v>
      </c>
      <c r="AU888" s="44"/>
      <c r="AV888" s="44" t="s">
        <v>583</v>
      </c>
      <c r="AW888" s="45">
        <v>991.327538608878</v>
      </c>
      <c r="AX888" s="44">
        <v>7.0</v>
      </c>
      <c r="AY888" s="145">
        <v>991.34</v>
      </c>
      <c r="AZ888" s="145" t="s">
        <v>125</v>
      </c>
      <c r="BA888" s="45">
        <v>909.9308249107362</v>
      </c>
      <c r="BB888" s="146" t="s">
        <v>479</v>
      </c>
      <c r="BC888" s="145">
        <v>909.99</v>
      </c>
      <c r="BD888" s="44" t="s">
        <v>121</v>
      </c>
      <c r="BE888" s="128">
        <v>994.0255440518555</v>
      </c>
      <c r="BF888" s="128">
        <v>11.0</v>
      </c>
      <c r="BG888" s="128">
        <v>988.5761142063564</v>
      </c>
      <c r="BH888" s="145" t="s">
        <v>123</v>
      </c>
      <c r="BI888" s="45">
        <v>939.5537341530277</v>
      </c>
      <c r="BJ888" s="146" t="s">
        <v>475</v>
      </c>
      <c r="BK888" s="145">
        <v>935.0</v>
      </c>
    </row>
    <row r="889">
      <c r="A889" s="166">
        <v>44572.0321000463</v>
      </c>
      <c r="B889" s="44" t="s">
        <v>125</v>
      </c>
      <c r="C889" s="128">
        <v>909.99</v>
      </c>
      <c r="D889" s="128">
        <v>10.0</v>
      </c>
      <c r="E889" s="128">
        <v>903.3244286962516</v>
      </c>
      <c r="F889" s="44" t="s">
        <v>27</v>
      </c>
      <c r="G889" s="128">
        <v>1016.7949250681579</v>
      </c>
      <c r="H889" s="128">
        <v>16.0</v>
      </c>
      <c r="I889" s="128">
        <v>1011.5682143912323</v>
      </c>
      <c r="J889" s="44" t="s">
        <v>31</v>
      </c>
      <c r="K889" s="128">
        <v>1023.1254483775722</v>
      </c>
      <c r="L889" s="128">
        <v>31.0</v>
      </c>
      <c r="M889" s="128">
        <v>1022.8809653164512</v>
      </c>
      <c r="N889" s="44" t="s">
        <v>112</v>
      </c>
      <c r="O889" s="128">
        <v>1026.8198929311068</v>
      </c>
      <c r="P889" s="128">
        <v>20.0</v>
      </c>
      <c r="Q889" s="128">
        <v>1022.8990714448689</v>
      </c>
      <c r="R889" s="44" t="s">
        <v>61</v>
      </c>
      <c r="S889" s="128">
        <v>1035.8670017819998</v>
      </c>
      <c r="T889" s="128">
        <v>20.0</v>
      </c>
      <c r="U889" s="128">
        <v>1031.9245883100325</v>
      </c>
      <c r="V889" s="44" t="s">
        <v>123</v>
      </c>
      <c r="W889" s="128">
        <v>935.0</v>
      </c>
      <c r="X889" s="128">
        <v>14.0</v>
      </c>
      <c r="Y889" s="128">
        <v>936.8464898274674</v>
      </c>
      <c r="Z889" s="44" t="s">
        <v>88</v>
      </c>
      <c r="AA889" s="128">
        <v>982.3267266444599</v>
      </c>
      <c r="AB889" s="128">
        <v>27.0</v>
      </c>
      <c r="AC889" s="128">
        <v>988.2215911227357</v>
      </c>
      <c r="AD889" s="44" t="s">
        <v>110</v>
      </c>
      <c r="AE889" s="128">
        <v>994.6885661183692</v>
      </c>
      <c r="AF889" s="128">
        <v>15.0</v>
      </c>
      <c r="AG889" s="128">
        <v>996.5273809971745</v>
      </c>
      <c r="AH889" s="44" t="s">
        <v>92</v>
      </c>
      <c r="AI889" s="128">
        <v>1001.4242689905484</v>
      </c>
      <c r="AJ889" s="128">
        <v>20.0</v>
      </c>
      <c r="AK889" s="128">
        <v>1004.9022745017996</v>
      </c>
      <c r="AL889" s="44" t="s">
        <v>23</v>
      </c>
      <c r="AM889" s="128">
        <v>1100.625050414359</v>
      </c>
      <c r="AN889" s="128">
        <v>31.0</v>
      </c>
      <c r="AO889" s="128">
        <v>1107.5668757185592</v>
      </c>
      <c r="AP889" s="128">
        <v>12.0</v>
      </c>
      <c r="AQ889" s="128">
        <v>16.0</v>
      </c>
      <c r="AT889" s="44">
        <v>888.0</v>
      </c>
      <c r="AU889" s="44"/>
      <c r="AW889" s="93"/>
      <c r="AY889" s="93"/>
      <c r="AZ889" s="93"/>
      <c r="BA889" s="93"/>
      <c r="BB889" s="155"/>
      <c r="BC889" s="93"/>
      <c r="BE889" s="93"/>
      <c r="BG889" s="93"/>
      <c r="BH889" s="93"/>
      <c r="BI889" s="93"/>
      <c r="BJ889" s="155"/>
      <c r="BK889" s="93"/>
    </row>
    <row r="890">
      <c r="A890" s="166">
        <v>44572.916979305555</v>
      </c>
      <c r="B890" s="44" t="s">
        <v>572</v>
      </c>
      <c r="C890" s="128">
        <v>1000.0</v>
      </c>
      <c r="D890" s="128">
        <v>17.0</v>
      </c>
      <c r="E890" s="128">
        <v>1003.8492569695575</v>
      </c>
      <c r="F890" s="44" t="s">
        <v>31</v>
      </c>
      <c r="G890" s="128">
        <v>1022.8809653164512</v>
      </c>
      <c r="H890" s="128">
        <v>17.0</v>
      </c>
      <c r="I890" s="128">
        <v>1026.604312629599</v>
      </c>
      <c r="J890" s="44" t="s">
        <v>23</v>
      </c>
      <c r="K890" s="128">
        <v>1107.5668757185592</v>
      </c>
      <c r="L890" s="128">
        <v>32.0</v>
      </c>
      <c r="M890" s="128">
        <v>1118.994271435854</v>
      </c>
      <c r="N890" s="44"/>
      <c r="O890" s="128"/>
      <c r="P890" s="128"/>
      <c r="Q890" s="128"/>
      <c r="V890" s="44" t="s">
        <v>61</v>
      </c>
      <c r="W890" s="128">
        <v>1031.9245883100325</v>
      </c>
      <c r="X890" s="128">
        <v>20.0</v>
      </c>
      <c r="Y890" s="128">
        <v>1027.7112486591645</v>
      </c>
      <c r="Z890" s="44" t="s">
        <v>38</v>
      </c>
      <c r="AA890" s="128">
        <v>1034.02</v>
      </c>
      <c r="AB890" s="128">
        <v>9.0</v>
      </c>
      <c r="AC890" s="128">
        <v>1023.9948934701313</v>
      </c>
      <c r="AD890" s="44" t="s">
        <v>47</v>
      </c>
      <c r="AE890" s="128">
        <v>1039.0867608485391</v>
      </c>
      <c r="AF890" s="128">
        <v>19.0</v>
      </c>
      <c r="AG890" s="128">
        <v>1034.3252070292758</v>
      </c>
      <c r="AH890" s="44"/>
      <c r="AI890" s="128"/>
      <c r="AJ890" s="128"/>
      <c r="AK890" s="128"/>
      <c r="AP890" s="128">
        <v>17.0</v>
      </c>
      <c r="AQ890" s="128">
        <v>11.0</v>
      </c>
      <c r="AT890" s="44">
        <v>889.0</v>
      </c>
      <c r="AU890" s="44"/>
      <c r="AW890" s="93"/>
      <c r="AY890" s="93"/>
      <c r="AZ890" s="93"/>
      <c r="BA890" s="93"/>
      <c r="BB890" s="155"/>
      <c r="BC890" s="93"/>
      <c r="BE890" s="93"/>
      <c r="BG890" s="93"/>
      <c r="BH890" s="93"/>
      <c r="BI890" s="93"/>
      <c r="BJ890" s="155"/>
      <c r="BK890" s="93"/>
    </row>
    <row r="891">
      <c r="A891" s="166">
        <v>44572.951957743055</v>
      </c>
      <c r="B891" s="44" t="s">
        <v>34</v>
      </c>
      <c r="C891" s="128">
        <v>976.7200327278914</v>
      </c>
      <c r="D891" s="128">
        <v>22.0</v>
      </c>
      <c r="E891" s="128">
        <v>981.8698075680106</v>
      </c>
      <c r="F891" s="44" t="s">
        <v>107</v>
      </c>
      <c r="G891" s="128">
        <v>977.2096394943519</v>
      </c>
      <c r="H891" s="128">
        <v>15.0</v>
      </c>
      <c r="I891" s="128">
        <v>979.4396261586561</v>
      </c>
      <c r="J891" s="44" t="s">
        <v>27</v>
      </c>
      <c r="K891" s="128">
        <v>1011.5682143912323</v>
      </c>
      <c r="L891" s="128">
        <v>26.0</v>
      </c>
      <c r="M891" s="128">
        <v>1018.1981007058068</v>
      </c>
      <c r="N891" s="44" t="s">
        <v>23</v>
      </c>
      <c r="O891" s="128">
        <v>1118.994271435854</v>
      </c>
      <c r="P891" s="128">
        <v>25.0</v>
      </c>
      <c r="Q891" s="128">
        <v>1124.9846236168562</v>
      </c>
      <c r="V891" s="44" t="s">
        <v>572</v>
      </c>
      <c r="W891" s="128">
        <v>1003.8492569695575</v>
      </c>
      <c r="X891" s="128">
        <v>20.0</v>
      </c>
      <c r="Y891" s="128">
        <v>999.6410613553938</v>
      </c>
      <c r="Z891" s="44" t="s">
        <v>38</v>
      </c>
      <c r="AA891" s="128">
        <v>1023.9948934701313</v>
      </c>
      <c r="AB891" s="128">
        <v>20.0</v>
      </c>
      <c r="AC891" s="128">
        <v>1019.7165867780399</v>
      </c>
      <c r="AD891" s="44" t="s">
        <v>61</v>
      </c>
      <c r="AE891" s="128">
        <v>1027.7112486591645</v>
      </c>
      <c r="AF891" s="128">
        <v>20.0</v>
      </c>
      <c r="AG891" s="128">
        <v>1023.4219322302972</v>
      </c>
      <c r="AH891" s="44" t="s">
        <v>47</v>
      </c>
      <c r="AI891" s="128">
        <v>1034.3252070292758</v>
      </c>
      <c r="AJ891" s="128">
        <v>13.0</v>
      </c>
      <c r="AK891" s="128">
        <v>1027.1010257643982</v>
      </c>
      <c r="AP891" s="128">
        <v>17.0</v>
      </c>
      <c r="AQ891" s="128">
        <v>10.0</v>
      </c>
      <c r="AT891" s="44">
        <v>890.0</v>
      </c>
      <c r="AU891" s="44"/>
      <c r="AW891" s="93"/>
      <c r="AY891" s="93"/>
      <c r="AZ891" s="93"/>
      <c r="BA891" s="93"/>
      <c r="BB891" s="155"/>
      <c r="BC891" s="93"/>
      <c r="BE891" s="93"/>
      <c r="BG891" s="93"/>
      <c r="BH891" s="93"/>
      <c r="BI891" s="93"/>
      <c r="BJ891" s="155"/>
      <c r="BK891" s="93"/>
    </row>
    <row r="892">
      <c r="A892" s="166">
        <v>44573.005965833334</v>
      </c>
      <c r="B892" s="44" t="s">
        <v>107</v>
      </c>
      <c r="C892" s="128">
        <v>979.4396261586561</v>
      </c>
      <c r="D892" s="128">
        <v>17.0</v>
      </c>
      <c r="E892" s="128">
        <v>979.4496261586561</v>
      </c>
      <c r="F892" s="44" t="s">
        <v>34</v>
      </c>
      <c r="G892" s="128">
        <v>981.8698075680106</v>
      </c>
      <c r="H892" s="128">
        <v>22.0</v>
      </c>
      <c r="I892" s="128">
        <v>981.8798075680106</v>
      </c>
      <c r="J892" s="44" t="s">
        <v>112</v>
      </c>
      <c r="K892" s="44">
        <v>1022.9</v>
      </c>
      <c r="L892" s="44">
        <v>22.0</v>
      </c>
      <c r="M892" s="44">
        <v>1022.91</v>
      </c>
      <c r="N892" s="44" t="s">
        <v>27</v>
      </c>
      <c r="O892" s="128">
        <v>1018.1981007058068</v>
      </c>
      <c r="P892" s="128">
        <v>36.0</v>
      </c>
      <c r="Q892" s="128">
        <v>1018.2081007058068</v>
      </c>
      <c r="R892" s="44" t="s">
        <v>38</v>
      </c>
      <c r="S892" s="128">
        <v>1019.7165867780399</v>
      </c>
      <c r="T892" s="128">
        <v>20.0</v>
      </c>
      <c r="U892" s="128">
        <v>1019.7265867780399</v>
      </c>
      <c r="V892" s="44" t="s">
        <v>61</v>
      </c>
      <c r="W892" s="44">
        <v>1023.42</v>
      </c>
      <c r="X892" s="44">
        <v>21.0</v>
      </c>
      <c r="Y892" s="44">
        <v>1023.42</v>
      </c>
      <c r="Z892" s="44" t="s">
        <v>100</v>
      </c>
      <c r="AA892" s="128">
        <v>945.5166164829204</v>
      </c>
      <c r="AB892" s="128">
        <v>5.0</v>
      </c>
      <c r="AC892" s="128">
        <v>945.5166164829204</v>
      </c>
      <c r="AD892" s="44" t="s">
        <v>110</v>
      </c>
      <c r="AE892" s="128">
        <v>996.5273809971745</v>
      </c>
      <c r="AF892" s="128">
        <v>38.0</v>
      </c>
      <c r="AG892" s="128">
        <v>996.5273809971745</v>
      </c>
      <c r="AH892" s="44" t="s">
        <v>47</v>
      </c>
      <c r="AI892" s="128">
        <v>1027.1010257643982</v>
      </c>
      <c r="AJ892" s="128">
        <v>18.0</v>
      </c>
      <c r="AK892" s="128">
        <v>1027.1010257643982</v>
      </c>
      <c r="AL892" s="44" t="s">
        <v>23</v>
      </c>
      <c r="AM892" s="128">
        <v>1124.9846236168562</v>
      </c>
      <c r="AN892" s="128">
        <v>34.0</v>
      </c>
      <c r="AO892" s="128">
        <v>1124.9846236168562</v>
      </c>
      <c r="AP892" s="128">
        <v>14.0</v>
      </c>
      <c r="AQ892" s="128">
        <v>14.0</v>
      </c>
      <c r="AT892" s="44">
        <v>891.0</v>
      </c>
      <c r="AU892" s="44"/>
      <c r="AV892" s="44" t="s">
        <v>572</v>
      </c>
      <c r="AW892" s="128">
        <v>999.6410613553938</v>
      </c>
      <c r="AX892" s="128">
        <v>8.0</v>
      </c>
      <c r="AY892" s="128">
        <v>999.6510613553938</v>
      </c>
      <c r="AZ892" s="93"/>
      <c r="BA892" s="93"/>
      <c r="BB892" s="155"/>
      <c r="BC892" s="93"/>
      <c r="BD892" s="44" t="s">
        <v>125</v>
      </c>
      <c r="BE892" s="128">
        <v>903.3244286962516</v>
      </c>
      <c r="BF892" s="128">
        <v>16.0</v>
      </c>
      <c r="BG892" s="128">
        <v>903.3244286962516</v>
      </c>
      <c r="BH892" s="93"/>
      <c r="BI892" s="93"/>
      <c r="BJ892" s="155"/>
      <c r="BK892" s="93"/>
    </row>
    <row r="893">
      <c r="A893" s="166">
        <v>44573.05515296296</v>
      </c>
      <c r="B893" s="44" t="s">
        <v>125</v>
      </c>
      <c r="C893" s="128">
        <v>903.3244286962516</v>
      </c>
      <c r="D893" s="128">
        <v>26.0</v>
      </c>
      <c r="E893" s="128">
        <v>902.9684196619969</v>
      </c>
      <c r="F893" s="44" t="s">
        <v>112</v>
      </c>
      <c r="G893" s="128">
        <v>1022.91</v>
      </c>
      <c r="H893" s="128">
        <v>25.0</v>
      </c>
      <c r="I893" s="128">
        <v>1022.4492005330671</v>
      </c>
      <c r="J893" s="44" t="s">
        <v>61</v>
      </c>
      <c r="K893" s="128">
        <v>1023.4219322302972</v>
      </c>
      <c r="L893" s="128">
        <v>35.0</v>
      </c>
      <c r="M893" s="128">
        <v>1023.2387407314849</v>
      </c>
      <c r="N893" s="44"/>
      <c r="O893" s="128"/>
      <c r="P893" s="128"/>
      <c r="Q893" s="128"/>
      <c r="V893" s="44" t="s">
        <v>100</v>
      </c>
      <c r="W893" s="128">
        <v>945.5166164829204</v>
      </c>
      <c r="X893" s="128">
        <v>29.0</v>
      </c>
      <c r="Y893" s="128">
        <v>945.9507006578501</v>
      </c>
      <c r="Z893" s="44" t="s">
        <v>98</v>
      </c>
      <c r="AA893" s="128">
        <v>989.9695041171526</v>
      </c>
      <c r="AB893" s="128">
        <v>15.0</v>
      </c>
      <c r="AC893" s="128">
        <v>989.9899889452577</v>
      </c>
      <c r="AD893" s="44" t="s">
        <v>110</v>
      </c>
      <c r="AE893" s="128">
        <v>996.5273809971745</v>
      </c>
      <c r="AF893" s="128">
        <v>34.0</v>
      </c>
      <c r="AG893" s="128">
        <v>997.0728119941397</v>
      </c>
      <c r="AH893" s="44"/>
      <c r="AI893" s="128"/>
      <c r="AJ893" s="128"/>
      <c r="AK893" s="128"/>
      <c r="AP893" s="128">
        <v>21.0</v>
      </c>
      <c r="AQ893" s="128">
        <v>21.0</v>
      </c>
      <c r="AS893" s="44" t="s">
        <v>584</v>
      </c>
      <c r="AT893" s="44">
        <v>892.0</v>
      </c>
      <c r="AU893" s="44"/>
      <c r="AW893" s="93"/>
      <c r="AY893" s="93"/>
      <c r="AZ893" s="93"/>
      <c r="BA893" s="93"/>
      <c r="BB893" s="155"/>
      <c r="BC893" s="93"/>
      <c r="BE893" s="93"/>
      <c r="BG893" s="93"/>
      <c r="BH893" s="93"/>
      <c r="BI893" s="93"/>
      <c r="BJ893" s="155"/>
      <c r="BK893" s="93"/>
    </row>
    <row r="894">
      <c r="A894" s="166">
        <v>44573.98497866898</v>
      </c>
      <c r="B894" s="44" t="s">
        <v>125</v>
      </c>
      <c r="C894" s="128">
        <v>902.9684196619969</v>
      </c>
      <c r="D894" s="128">
        <v>19.0</v>
      </c>
      <c r="E894" s="128">
        <v>904.0748468582503</v>
      </c>
      <c r="F894" s="44" t="s">
        <v>92</v>
      </c>
      <c r="G894" s="128">
        <v>1004.9022745017996</v>
      </c>
      <c r="H894" s="128">
        <v>35.0</v>
      </c>
      <c r="I894" s="128">
        <v>1009.741484790041</v>
      </c>
      <c r="J894" s="44" t="s">
        <v>23</v>
      </c>
      <c r="K894" s="128">
        <v>1124.9846236168562</v>
      </c>
      <c r="L894" s="128">
        <v>33.0</v>
      </c>
      <c r="M894" s="128">
        <v>1129.0389861323615</v>
      </c>
      <c r="N894" s="44"/>
      <c r="O894" s="128"/>
      <c r="P894" s="128"/>
      <c r="Q894" s="128"/>
      <c r="V894" s="44" t="s">
        <v>88</v>
      </c>
      <c r="W894" s="128">
        <v>988.2215911227357</v>
      </c>
      <c r="X894" s="128">
        <v>26.0</v>
      </c>
      <c r="Y894" s="128">
        <v>984.3321119440269</v>
      </c>
      <c r="Z894" s="44" t="s">
        <v>27</v>
      </c>
      <c r="AA894" s="128">
        <v>1018.2081007058068</v>
      </c>
      <c r="AB894" s="128">
        <v>32.0</v>
      </c>
      <c r="AC894" s="128">
        <v>1015.8615969262075</v>
      </c>
      <c r="AD894" s="44" t="s">
        <v>47</v>
      </c>
      <c r="AE894" s="128">
        <v>1027.1010257643982</v>
      </c>
      <c r="AF894" s="128">
        <v>27.0</v>
      </c>
      <c r="AG894" s="128">
        <v>1023.3370087227062</v>
      </c>
      <c r="AH894" s="44"/>
      <c r="AI894" s="128"/>
      <c r="AJ894" s="128"/>
      <c r="AK894" s="128"/>
      <c r="AP894" s="128">
        <v>23.0</v>
      </c>
      <c r="AQ894" s="128">
        <v>19.0</v>
      </c>
      <c r="AT894" s="44">
        <v>893.0</v>
      </c>
      <c r="AU894" s="44"/>
      <c r="AW894" s="93"/>
      <c r="AY894" s="93"/>
      <c r="AZ894" s="93"/>
      <c r="BA894" s="93"/>
      <c r="BB894" s="155"/>
      <c r="BC894" s="93"/>
      <c r="BE894" s="93"/>
      <c r="BG894" s="93"/>
      <c r="BH894" s="93"/>
      <c r="BI894" s="93"/>
      <c r="BJ894" s="155"/>
      <c r="BK894" s="93"/>
    </row>
    <row r="895">
      <c r="A895" s="166">
        <v>44574.01991665509</v>
      </c>
      <c r="B895" s="44" t="s">
        <v>125</v>
      </c>
      <c r="C895" s="128">
        <v>904.0748468582503</v>
      </c>
      <c r="D895" s="128">
        <v>8.0</v>
      </c>
      <c r="E895" s="128">
        <v>904.5269703363269</v>
      </c>
      <c r="F895" s="44" t="s">
        <v>92</v>
      </c>
      <c r="G895" s="128">
        <v>1009.741484790041</v>
      </c>
      <c r="H895" s="128">
        <v>23.0</v>
      </c>
      <c r="I895" s="128">
        <v>1024.0552589325089</v>
      </c>
      <c r="J895" s="44" t="s">
        <v>23</v>
      </c>
      <c r="K895" s="128">
        <v>1129.0389861323615</v>
      </c>
      <c r="L895" s="128">
        <v>32.0</v>
      </c>
      <c r="M895" s="128">
        <v>1152.2730885118171</v>
      </c>
      <c r="N895" s="44"/>
      <c r="O895" s="128"/>
      <c r="P895" s="128"/>
      <c r="Q895" s="128"/>
      <c r="V895" s="44" t="s">
        <v>88</v>
      </c>
      <c r="W895" s="128">
        <v>984.3321119440269</v>
      </c>
      <c r="X895" s="128">
        <v>9.0</v>
      </c>
      <c r="Y895" s="128">
        <v>965.1820144454902</v>
      </c>
      <c r="Z895" s="44" t="s">
        <v>27</v>
      </c>
      <c r="AA895" s="128">
        <v>1015.8615969262075</v>
      </c>
      <c r="AB895" s="128">
        <v>19.0</v>
      </c>
      <c r="AC895" s="128">
        <v>1006.9901849515343</v>
      </c>
      <c r="AD895" s="44" t="s">
        <v>47</v>
      </c>
      <c r="AE895" s="128">
        <v>1023.3370087227062</v>
      </c>
      <c r="AF895" s="128">
        <v>18.0</v>
      </c>
      <c r="AG895" s="128">
        <v>1013.3585181959161</v>
      </c>
      <c r="AH895" s="44"/>
      <c r="AI895" s="128"/>
      <c r="AJ895" s="128"/>
      <c r="AK895" s="128"/>
      <c r="AP895" s="128">
        <v>19.0</v>
      </c>
      <c r="AQ895" s="128">
        <v>9.0</v>
      </c>
      <c r="AT895" s="44">
        <v>894.0</v>
      </c>
      <c r="AU895" s="44"/>
      <c r="AW895" s="93"/>
      <c r="AY895" s="93"/>
      <c r="AZ895" s="93"/>
      <c r="BA895" s="93"/>
      <c r="BB895" s="155"/>
      <c r="BC895" s="93"/>
      <c r="BE895" s="93"/>
      <c r="BG895" s="93"/>
      <c r="BH895" s="93"/>
      <c r="BI895" s="93"/>
      <c r="BJ895" s="155"/>
      <c r="BK895" s="93"/>
    </row>
    <row r="896">
      <c r="A896" s="166">
        <v>44574.9339278588</v>
      </c>
      <c r="B896" s="44" t="s">
        <v>100</v>
      </c>
      <c r="C896" s="128">
        <v>945.9507006578501</v>
      </c>
      <c r="D896" s="128">
        <v>15.0</v>
      </c>
      <c r="E896" s="128">
        <v>950.0420917455136</v>
      </c>
      <c r="F896" s="44" t="s">
        <v>110</v>
      </c>
      <c r="G896" s="128">
        <v>997.0728119941397</v>
      </c>
      <c r="H896" s="128">
        <v>18.0</v>
      </c>
      <c r="I896" s="128">
        <v>1002.258592267595</v>
      </c>
      <c r="J896" s="44" t="s">
        <v>23</v>
      </c>
      <c r="K896" s="128">
        <v>1152.2730885118171</v>
      </c>
      <c r="L896" s="128">
        <v>24.0</v>
      </c>
      <c r="M896" s="128">
        <v>1159.9959171506985</v>
      </c>
      <c r="N896" s="44"/>
      <c r="O896" s="128"/>
      <c r="P896" s="128"/>
      <c r="Q896" s="128"/>
      <c r="V896" s="44" t="s">
        <v>27</v>
      </c>
      <c r="W896" s="128">
        <v>1006.9901849515343</v>
      </c>
      <c r="X896" s="128">
        <v>19.0</v>
      </c>
      <c r="Y896" s="128">
        <v>1002.6050818379123</v>
      </c>
      <c r="Z896" s="44" t="s">
        <v>47</v>
      </c>
      <c r="AA896" s="128">
        <v>1013.3585181959161</v>
      </c>
      <c r="AB896" s="128">
        <v>11.0</v>
      </c>
      <c r="AC896" s="128">
        <v>1005.1727615095632</v>
      </c>
      <c r="AD896" s="44" t="s">
        <v>38</v>
      </c>
      <c r="AE896" s="128">
        <v>1019.7265867780399</v>
      </c>
      <c r="AF896" s="128">
        <v>19.0</v>
      </c>
      <c r="AG896" s="128">
        <v>1015.2974465780147</v>
      </c>
      <c r="AH896" s="44"/>
      <c r="AI896" s="128"/>
      <c r="AJ896" s="128"/>
      <c r="AK896" s="128"/>
      <c r="AP896" s="128">
        <v>16.0</v>
      </c>
      <c r="AQ896" s="128">
        <v>12.0</v>
      </c>
      <c r="AT896" s="44">
        <v>895.0</v>
      </c>
      <c r="AU896" s="44"/>
      <c r="AW896" s="93"/>
      <c r="AY896" s="93"/>
      <c r="AZ896" s="93"/>
      <c r="BA896" s="93"/>
      <c r="BB896" s="155"/>
      <c r="BC896" s="93"/>
      <c r="BE896" s="93"/>
      <c r="BG896" s="93"/>
      <c r="BH896" s="93"/>
      <c r="BI896" s="93"/>
      <c r="BJ896" s="155"/>
      <c r="BK896" s="93"/>
    </row>
    <row r="897">
      <c r="A897" s="166">
        <v>44574.97949515046</v>
      </c>
      <c r="B897" s="44" t="s">
        <v>125</v>
      </c>
      <c r="C897" s="128">
        <v>904.5269703363269</v>
      </c>
      <c r="D897" s="128">
        <v>10.0</v>
      </c>
      <c r="E897" s="128">
        <v>901.1063565511242</v>
      </c>
      <c r="F897" s="44" t="s">
        <v>100</v>
      </c>
      <c r="G897" s="128">
        <v>950.0420917455136</v>
      </c>
      <c r="H897" s="128">
        <v>25.0</v>
      </c>
      <c r="I897" s="128">
        <v>948.9736830067781</v>
      </c>
      <c r="J897" s="44" t="s">
        <v>27</v>
      </c>
      <c r="K897" s="128">
        <v>1002.6050818379123</v>
      </c>
      <c r="L897" s="128">
        <v>24.0</v>
      </c>
      <c r="M897" s="128">
        <v>1001.2528969423789</v>
      </c>
      <c r="N897" s="44" t="s">
        <v>38</v>
      </c>
      <c r="O897" s="128">
        <v>1015.2974465780147</v>
      </c>
      <c r="P897" s="128">
        <v>21.0</v>
      </c>
      <c r="Q897" s="128">
        <v>1013.4251721011397</v>
      </c>
      <c r="R897" s="44" t="s">
        <v>23</v>
      </c>
      <c r="S897" s="128">
        <v>1159.9959171506985</v>
      </c>
      <c r="T897" s="128">
        <v>19.0</v>
      </c>
      <c r="U897" s="128">
        <v>1157.709399047045</v>
      </c>
      <c r="V897" s="44" t="s">
        <v>107</v>
      </c>
      <c r="W897" s="128">
        <v>979.4496261586561</v>
      </c>
      <c r="X897" s="128">
        <v>15.0</v>
      </c>
      <c r="Y897" s="128">
        <v>980.7962803004604</v>
      </c>
      <c r="Z897" s="44" t="s">
        <v>110</v>
      </c>
      <c r="AA897" s="128">
        <v>1002.258592267595</v>
      </c>
      <c r="AB897" s="128">
        <v>25.0</v>
      </c>
      <c r="AC897" s="128">
        <v>1005.229908622611</v>
      </c>
      <c r="AD897" s="44" t="s">
        <v>47</v>
      </c>
      <c r="AE897" s="128">
        <v>1005.1727615095632</v>
      </c>
      <c r="AF897" s="128">
        <v>22.0</v>
      </c>
      <c r="AG897" s="128">
        <v>1007.6394084637093</v>
      </c>
      <c r="AH897" s="44" t="s">
        <v>112</v>
      </c>
      <c r="AI897" s="128">
        <v>1022.4492005330671</v>
      </c>
      <c r="AJ897" s="128">
        <v>17.0</v>
      </c>
      <c r="AK897" s="128">
        <v>1024.057906443224</v>
      </c>
      <c r="AL897" s="44" t="s">
        <v>92</v>
      </c>
      <c r="AM897" s="128">
        <v>1024.0552589325089</v>
      </c>
      <c r="AN897" s="128">
        <v>17.0</v>
      </c>
      <c r="AO897" s="128">
        <v>1025.6619355713856</v>
      </c>
      <c r="AP897" s="128">
        <v>13.0</v>
      </c>
      <c r="AQ897" s="128">
        <v>15.0</v>
      </c>
      <c r="AT897" s="44">
        <v>896.0</v>
      </c>
      <c r="AU897" s="44"/>
      <c r="AW897" s="93"/>
      <c r="AY897" s="93"/>
      <c r="AZ897" s="93"/>
      <c r="BA897" s="93"/>
      <c r="BB897" s="155"/>
      <c r="BC897" s="93"/>
      <c r="BE897" s="93"/>
      <c r="BG897" s="93"/>
      <c r="BH897" s="93"/>
      <c r="BI897" s="93"/>
      <c r="BJ897" s="155"/>
      <c r="BK897" s="93"/>
    </row>
    <row r="898">
      <c r="A898" s="166">
        <v>44575.01757914352</v>
      </c>
      <c r="B898" s="44" t="s">
        <v>125</v>
      </c>
      <c r="C898" s="128">
        <v>901.1063565511242</v>
      </c>
      <c r="D898" s="128">
        <v>17.0</v>
      </c>
      <c r="E898" s="128">
        <v>907.9435070100379</v>
      </c>
      <c r="F898" s="44" t="s">
        <v>88</v>
      </c>
      <c r="G898" s="128">
        <v>965.1820144454902</v>
      </c>
      <c r="H898" s="128">
        <v>16.0</v>
      </c>
      <c r="I898" s="128">
        <v>970.0585705564865</v>
      </c>
      <c r="J898" s="44" t="s">
        <v>110</v>
      </c>
      <c r="K898" s="128">
        <v>1005.229908622611</v>
      </c>
      <c r="L898" s="128">
        <v>21.0</v>
      </c>
      <c r="M898" s="128">
        <v>1013.8115170729571</v>
      </c>
      <c r="N898" s="44" t="s">
        <v>23</v>
      </c>
      <c r="O898" s="128">
        <v>1157.709399047045</v>
      </c>
      <c r="P898" s="128">
        <v>35.0</v>
      </c>
      <c r="Q898" s="128">
        <v>1177.414084026789</v>
      </c>
      <c r="V898" s="44" t="s">
        <v>34</v>
      </c>
      <c r="W898" s="128">
        <v>981.8798075680106</v>
      </c>
      <c r="X898" s="128">
        <v>17.0</v>
      </c>
      <c r="Y898" s="128">
        <v>971.448876233118</v>
      </c>
      <c r="Z898" s="44" t="s">
        <v>47</v>
      </c>
      <c r="AA898" s="128">
        <v>1007.6394084637093</v>
      </c>
      <c r="AB898" s="128">
        <v>18.0</v>
      </c>
      <c r="AC898" s="128">
        <v>997.8313657934332</v>
      </c>
      <c r="AD898" s="44" t="s">
        <v>38</v>
      </c>
      <c r="AE898" s="128">
        <v>1013.4251721011397</v>
      </c>
      <c r="AF898" s="128">
        <v>20.0</v>
      </c>
      <c r="AG898" s="128">
        <v>1005.2442202758776</v>
      </c>
      <c r="AH898" s="44" t="s">
        <v>112</v>
      </c>
      <c r="AI898" s="128">
        <v>1024.057906443224</v>
      </c>
      <c r="AJ898" s="128">
        <v>16.0</v>
      </c>
      <c r="AK898" s="128">
        <v>1012.4778322736548</v>
      </c>
      <c r="AP898" s="128">
        <v>19.0</v>
      </c>
      <c r="AQ898" s="128">
        <v>9.0</v>
      </c>
      <c r="AT898" s="44">
        <v>897.0</v>
      </c>
      <c r="AU898" s="44"/>
      <c r="AW898" s="93"/>
      <c r="AY898" s="93"/>
      <c r="AZ898" s="93"/>
      <c r="BA898" s="93"/>
      <c r="BB898" s="155"/>
      <c r="BC898" s="93"/>
      <c r="BE898" s="93"/>
      <c r="BG898" s="93"/>
      <c r="BH898" s="93"/>
      <c r="BI898" s="93"/>
      <c r="BJ898" s="155"/>
      <c r="BK898" s="93"/>
    </row>
    <row r="899">
      <c r="A899" s="166">
        <v>44575.04655024306</v>
      </c>
      <c r="B899" s="44" t="s">
        <v>125</v>
      </c>
      <c r="C899" s="128">
        <v>907.9435070100379</v>
      </c>
      <c r="D899" s="128">
        <v>9.0</v>
      </c>
      <c r="E899" s="128">
        <v>897.5321802615791</v>
      </c>
      <c r="F899" s="44" t="s">
        <v>112</v>
      </c>
      <c r="G899" s="128">
        <v>1012.4778322736548</v>
      </c>
      <c r="H899" s="128">
        <v>20.0</v>
      </c>
      <c r="I899" s="128">
        <v>1007.1307420105472</v>
      </c>
      <c r="J899" s="44" t="s">
        <v>110</v>
      </c>
      <c r="K899" s="128">
        <v>1013.8115170729571</v>
      </c>
      <c r="L899" s="128">
        <v>24.0</v>
      </c>
      <c r="M899" s="128">
        <v>1010.5699340845235</v>
      </c>
      <c r="N899" s="44"/>
      <c r="O899" s="128"/>
      <c r="P899" s="128"/>
      <c r="Q899" s="128"/>
      <c r="V899" s="44" t="s">
        <v>88</v>
      </c>
      <c r="W899" s="128">
        <v>970.0585705564865</v>
      </c>
      <c r="X899" s="128">
        <v>23.0</v>
      </c>
      <c r="Y899" s="128">
        <v>978.5754729806958</v>
      </c>
      <c r="Z899" s="44" t="s">
        <v>34</v>
      </c>
      <c r="AA899" s="128">
        <v>971.448876233118</v>
      </c>
      <c r="AB899" s="128">
        <v>14.0</v>
      </c>
      <c r="AC899" s="128">
        <v>975.2061905564632</v>
      </c>
      <c r="AD899" s="44" t="s">
        <v>38</v>
      </c>
      <c r="AE899" s="128">
        <v>1005.2442202758776</v>
      </c>
      <c r="AF899" s="128">
        <v>20.0</v>
      </c>
      <c r="AG899" s="128">
        <v>1011.9700035283232</v>
      </c>
      <c r="AH899" s="44"/>
      <c r="AI899" s="128"/>
      <c r="AJ899" s="128"/>
      <c r="AK899" s="128"/>
      <c r="AP899" s="128">
        <v>12.0</v>
      </c>
      <c r="AQ899" s="128">
        <v>16.0</v>
      </c>
      <c r="AT899" s="44">
        <v>898.0</v>
      </c>
      <c r="AU899" s="44"/>
      <c r="AW899" s="93"/>
      <c r="AY899" s="93"/>
      <c r="AZ899" s="93"/>
      <c r="BA899" s="93"/>
      <c r="BB899" s="155"/>
      <c r="BC899" s="93"/>
      <c r="BE899" s="93"/>
      <c r="BG899" s="93"/>
      <c r="BH899" s="93"/>
      <c r="BI899" s="93"/>
      <c r="BJ899" s="155"/>
      <c r="BK899" s="93"/>
    </row>
    <row r="900">
      <c r="A900" s="166">
        <v>44575.936139212965</v>
      </c>
      <c r="B900" s="44" t="s">
        <v>34</v>
      </c>
      <c r="C900" s="128">
        <v>975.2061905564632</v>
      </c>
      <c r="D900" s="128">
        <v>19.0</v>
      </c>
      <c r="E900" s="128">
        <v>971.2437705612609</v>
      </c>
      <c r="F900" s="44" t="s">
        <v>47</v>
      </c>
      <c r="G900" s="128">
        <v>997.8313657934332</v>
      </c>
      <c r="H900" s="128">
        <v>18.0</v>
      </c>
      <c r="I900" s="128">
        <v>993.420660459093</v>
      </c>
      <c r="J900" s="44" t="s">
        <v>23</v>
      </c>
      <c r="K900" s="128">
        <v>1177.414084026789</v>
      </c>
      <c r="L900" s="128">
        <v>18.0</v>
      </c>
      <c r="M900" s="128">
        <v>1172.7872093563312</v>
      </c>
      <c r="N900" s="44"/>
      <c r="O900" s="128"/>
      <c r="P900" s="128"/>
      <c r="Q900" s="128"/>
      <c r="V900" s="44" t="s">
        <v>110</v>
      </c>
      <c r="W900" s="128">
        <v>1010.5699340845235</v>
      </c>
      <c r="X900" s="128">
        <v>21.0</v>
      </c>
      <c r="Y900" s="128">
        <v>1015.1584884759269</v>
      </c>
      <c r="Z900" s="44" t="s">
        <v>38</v>
      </c>
      <c r="AA900" s="128">
        <v>1011.9700035283232</v>
      </c>
      <c r="AB900" s="128">
        <v>25.0</v>
      </c>
      <c r="AC900" s="128">
        <v>1017.9984138272275</v>
      </c>
      <c r="AD900" s="44" t="s">
        <v>61</v>
      </c>
      <c r="AE900" s="128">
        <v>1023.2387407314849</v>
      </c>
      <c r="AF900" s="128">
        <v>15.0</v>
      </c>
      <c r="AG900" s="128">
        <v>1025.621776041177</v>
      </c>
      <c r="AH900" s="44"/>
      <c r="AI900" s="128"/>
      <c r="AJ900" s="128"/>
      <c r="AK900" s="128"/>
      <c r="AP900" s="128">
        <v>13.0</v>
      </c>
      <c r="AQ900" s="128">
        <v>15.0</v>
      </c>
      <c r="AT900" s="44">
        <v>899.0</v>
      </c>
      <c r="AU900" s="44"/>
      <c r="AW900" s="93"/>
      <c r="AY900" s="93"/>
      <c r="AZ900" s="93"/>
      <c r="BA900" s="93"/>
      <c r="BB900" s="155"/>
      <c r="BC900" s="93"/>
      <c r="BE900" s="93"/>
      <c r="BG900" s="93"/>
      <c r="BH900" s="93"/>
      <c r="BI900" s="93"/>
      <c r="BJ900" s="155"/>
      <c r="BK900" s="93"/>
    </row>
    <row r="901">
      <c r="A901" s="166">
        <v>44575.98767069445</v>
      </c>
      <c r="B901" s="44" t="s">
        <v>34</v>
      </c>
      <c r="C901" s="128">
        <v>971.2437705612609</v>
      </c>
      <c r="D901" s="128">
        <v>22.0</v>
      </c>
      <c r="E901" s="128">
        <v>971.0630456672795</v>
      </c>
      <c r="F901" s="44" t="s">
        <v>107</v>
      </c>
      <c r="G901" s="128">
        <v>980.7962803004604</v>
      </c>
      <c r="H901" s="128">
        <v>11.0</v>
      </c>
      <c r="I901" s="128">
        <v>980.3839379893249</v>
      </c>
      <c r="J901" s="44" t="s">
        <v>47</v>
      </c>
      <c r="K901" s="128">
        <v>993.420660459093</v>
      </c>
      <c r="L901" s="128">
        <v>13.0</v>
      </c>
      <c r="M901" s="128">
        <v>993.047066327</v>
      </c>
      <c r="N901" s="44" t="s">
        <v>23</v>
      </c>
      <c r="O901" s="128">
        <v>1172.7872093563312</v>
      </c>
      <c r="P901" s="128">
        <v>30.0</v>
      </c>
      <c r="Q901" s="128">
        <v>1172.753870693541</v>
      </c>
      <c r="V901" s="44" t="s">
        <v>112</v>
      </c>
      <c r="W901" s="128">
        <v>1007.1307420105472</v>
      </c>
      <c r="X901" s="128">
        <v>20.0</v>
      </c>
      <c r="Y901" s="128">
        <v>1007.3357428210771</v>
      </c>
      <c r="Z901" s="44" t="s">
        <v>110</v>
      </c>
      <c r="AA901" s="128">
        <v>1015.1584884759269</v>
      </c>
      <c r="AB901" s="128">
        <v>23.0</v>
      </c>
      <c r="AC901" s="128">
        <v>1015.4243210558817</v>
      </c>
      <c r="AD901" s="44" t="s">
        <v>38</v>
      </c>
      <c r="AE901" s="128">
        <v>1017.9984138272275</v>
      </c>
      <c r="AF901" s="128">
        <v>16.0</v>
      </c>
      <c r="AG901" s="128">
        <v>1018.1178598895585</v>
      </c>
      <c r="AH901" s="44" t="s">
        <v>61</v>
      </c>
      <c r="AI901" s="128">
        <v>1025.621776041177</v>
      </c>
      <c r="AJ901" s="128">
        <v>30.0</v>
      </c>
      <c r="AK901" s="128">
        <v>1026.0314965883615</v>
      </c>
      <c r="AP901" s="128">
        <v>14.0</v>
      </c>
      <c r="AQ901" s="128">
        <v>14.0</v>
      </c>
      <c r="AT901" s="44">
        <v>900.0</v>
      </c>
      <c r="AU901" s="44"/>
      <c r="AW901" s="93"/>
      <c r="AY901" s="93"/>
      <c r="AZ901" s="93"/>
      <c r="BA901" s="93"/>
      <c r="BB901" s="155"/>
      <c r="BC901" s="93"/>
      <c r="BE901" s="93"/>
      <c r="BG901" s="93"/>
      <c r="BH901" s="93"/>
      <c r="BI901" s="93"/>
      <c r="BJ901" s="155"/>
      <c r="BK901" s="93"/>
    </row>
    <row r="902">
      <c r="A902" s="166">
        <v>44576.02834109953</v>
      </c>
      <c r="B902" s="44" t="s">
        <v>125</v>
      </c>
      <c r="C902" s="128">
        <v>897.5321802615791</v>
      </c>
      <c r="D902" s="128">
        <v>14.0</v>
      </c>
      <c r="E902" s="128">
        <v>899.1261392326396</v>
      </c>
      <c r="F902" s="44" t="s">
        <v>34</v>
      </c>
      <c r="G902" s="128">
        <v>971.0630456672795</v>
      </c>
      <c r="H902" s="128">
        <v>24.0</v>
      </c>
      <c r="I902" s="128">
        <v>975.4820260517791</v>
      </c>
      <c r="J902" s="44" t="s">
        <v>107</v>
      </c>
      <c r="K902" s="128">
        <v>980.3839379893249</v>
      </c>
      <c r="L902" s="128">
        <v>26.0</v>
      </c>
      <c r="M902" s="128">
        <v>985.4228712413637</v>
      </c>
      <c r="N902" s="44" t="s">
        <v>245</v>
      </c>
      <c r="O902" s="128">
        <v>1012.9000902754784</v>
      </c>
      <c r="P902" s="128">
        <v>25.0</v>
      </c>
      <c r="Q902" s="128">
        <v>1017.4725409873066</v>
      </c>
      <c r="R902" s="44" t="s">
        <v>23</v>
      </c>
      <c r="S902" s="128">
        <v>1172.753870693541</v>
      </c>
      <c r="T902" s="128">
        <v>25.0</v>
      </c>
      <c r="U902" s="128">
        <v>1177.129547374114</v>
      </c>
      <c r="V902" s="44" t="s">
        <v>98</v>
      </c>
      <c r="W902" s="128">
        <v>989.9899889452577</v>
      </c>
      <c r="X902" s="128">
        <v>14.0</v>
      </c>
      <c r="Y902" s="128">
        <v>984.9706733316127</v>
      </c>
      <c r="Z902" s="44" t="s">
        <v>47</v>
      </c>
      <c r="AA902" s="128">
        <v>993.047066327</v>
      </c>
      <c r="AB902" s="128">
        <v>9.0</v>
      </c>
      <c r="AC902" s="128">
        <v>986.3513181846831</v>
      </c>
      <c r="AD902" s="44" t="s">
        <v>112</v>
      </c>
      <c r="AE902" s="128">
        <v>1007.3357428210771</v>
      </c>
      <c r="AF902" s="128">
        <v>21.0</v>
      </c>
      <c r="AG902" s="128">
        <v>1004.5982825633339</v>
      </c>
      <c r="AH902" s="44" t="s">
        <v>38</v>
      </c>
      <c r="AI902" s="128">
        <v>1018.1178598895585</v>
      </c>
      <c r="AJ902" s="128">
        <v>20.0</v>
      </c>
      <c r="AK902" s="128">
        <v>1015.0197367027195</v>
      </c>
      <c r="AL902" s="44" t="s">
        <v>61</v>
      </c>
      <c r="AM902" s="128">
        <v>1026.0314965883615</v>
      </c>
      <c r="AN902" s="128">
        <v>22.0</v>
      </c>
      <c r="AO902" s="128">
        <v>1023.5821437889057</v>
      </c>
      <c r="AP902" s="128">
        <v>17.0</v>
      </c>
      <c r="AQ902" s="128">
        <v>11.0</v>
      </c>
      <c r="AR902" s="146" t="s">
        <v>585</v>
      </c>
      <c r="AS902" s="44" t="s">
        <v>243</v>
      </c>
      <c r="AT902" s="44">
        <v>901.0</v>
      </c>
      <c r="AU902" s="44"/>
      <c r="AW902" s="93"/>
      <c r="AY902" s="93"/>
      <c r="AZ902" s="93"/>
      <c r="BA902" s="93"/>
      <c r="BB902" s="155"/>
      <c r="BC902" s="93"/>
      <c r="BE902" s="93"/>
      <c r="BG902" s="93"/>
      <c r="BH902" s="93"/>
      <c r="BI902" s="93"/>
      <c r="BJ902" s="155"/>
      <c r="BK902" s="93"/>
    </row>
    <row r="903">
      <c r="A903" s="166">
        <v>44576.06480238426</v>
      </c>
      <c r="B903" s="44" t="s">
        <v>125</v>
      </c>
      <c r="C903" s="128">
        <v>899.1261392326396</v>
      </c>
      <c r="D903" s="128">
        <v>9.0</v>
      </c>
      <c r="E903" s="128">
        <v>900.5113396915191</v>
      </c>
      <c r="F903" s="44" t="s">
        <v>34</v>
      </c>
      <c r="G903" s="128">
        <v>975.4820260517791</v>
      </c>
      <c r="H903" s="128">
        <v>9.0</v>
      </c>
      <c r="I903" s="128">
        <v>976.3644181609765</v>
      </c>
      <c r="J903" s="44" t="s">
        <v>112</v>
      </c>
      <c r="K903" s="128">
        <v>1004.5982825633339</v>
      </c>
      <c r="L903" s="128">
        <v>21.0</v>
      </c>
      <c r="M903" s="128">
        <v>1010.1066079186808</v>
      </c>
      <c r="N903" s="44" t="s">
        <v>23</v>
      </c>
      <c r="O903" s="128">
        <v>1177.129547374114</v>
      </c>
      <c r="P903" s="128">
        <v>36.0</v>
      </c>
      <c r="Q903" s="128">
        <v>1188.3536294506905</v>
      </c>
      <c r="V903" s="44" t="s">
        <v>47</v>
      </c>
      <c r="W903" s="128">
        <v>986.3513181846831</v>
      </c>
      <c r="X903" s="128">
        <v>14.0</v>
      </c>
      <c r="Y903" s="128">
        <v>980.1032759286242</v>
      </c>
      <c r="Z903" s="44" t="s">
        <v>38</v>
      </c>
      <c r="AA903" s="128">
        <v>1015.0197367027195</v>
      </c>
      <c r="AB903" s="128">
        <v>19.0</v>
      </c>
      <c r="AC903" s="128">
        <v>1010.6478636638418</v>
      </c>
      <c r="AD903" s="44" t="s">
        <v>245</v>
      </c>
      <c r="AE903" s="128">
        <v>1017.4725409873066</v>
      </c>
      <c r="AF903" s="128">
        <v>16.0</v>
      </c>
      <c r="AG903" s="128">
        <v>1011.9057958467378</v>
      </c>
      <c r="AH903" s="44" t="s">
        <v>61</v>
      </c>
      <c r="AI903" s="128">
        <v>1023.5821437889057</v>
      </c>
      <c r="AJ903" s="128">
        <v>23.0</v>
      </c>
      <c r="AK903" s="128">
        <v>1020.768804224411</v>
      </c>
      <c r="AP903" s="128">
        <v>16.0</v>
      </c>
      <c r="AQ903" s="128">
        <v>12.0</v>
      </c>
      <c r="AT903" s="44">
        <v>902.0</v>
      </c>
      <c r="AU903" s="44"/>
      <c r="AW903" s="93"/>
      <c r="AY903" s="93"/>
      <c r="AZ903" s="93"/>
      <c r="BA903" s="93"/>
      <c r="BB903" s="155"/>
      <c r="BC903" s="93"/>
      <c r="BE903" s="93"/>
      <c r="BG903" s="93"/>
      <c r="BH903" s="93"/>
      <c r="BI903" s="93"/>
      <c r="BJ903" s="155"/>
      <c r="BK903" s="93"/>
    </row>
    <row r="904">
      <c r="A904" s="166">
        <v>44576.09150197917</v>
      </c>
      <c r="B904" s="44" t="s">
        <v>125</v>
      </c>
      <c r="C904" s="128">
        <v>900.5113396915191</v>
      </c>
      <c r="D904" s="128">
        <v>11.0</v>
      </c>
      <c r="E904" s="128">
        <v>884.7083907119583</v>
      </c>
      <c r="F904" s="44" t="s">
        <v>34</v>
      </c>
      <c r="G904" s="128">
        <v>976.3644181609765</v>
      </c>
      <c r="H904" s="128">
        <v>9.0</v>
      </c>
      <c r="I904" s="128">
        <v>957.1515723546767</v>
      </c>
      <c r="J904" s="44" t="s">
        <v>23</v>
      </c>
      <c r="K904" s="128">
        <v>1188.3536294506905</v>
      </c>
      <c r="L904" s="128">
        <v>19.0</v>
      </c>
      <c r="M904" s="128">
        <v>1180.3694242365511</v>
      </c>
      <c r="N904" s="44"/>
      <c r="O904" s="128"/>
      <c r="P904" s="128"/>
      <c r="Q904" s="128"/>
      <c r="V904" s="44" t="s">
        <v>112</v>
      </c>
      <c r="W904" s="128">
        <v>1010.1066079186808</v>
      </c>
      <c r="X904" s="128">
        <v>14.0</v>
      </c>
      <c r="Y904" s="128">
        <v>1015.3280535179746</v>
      </c>
      <c r="Z904" s="44" t="s">
        <v>245</v>
      </c>
      <c r="AA904" s="128">
        <v>1011.9057958467378</v>
      </c>
      <c r="AB904" s="128">
        <v>33.0</v>
      </c>
      <c r="AC904" s="128">
        <v>1039.8010909272812</v>
      </c>
      <c r="AD904" s="44" t="s">
        <v>61</v>
      </c>
      <c r="AE904" s="128">
        <v>1020.768804224411</v>
      </c>
      <c r="AF904" s="128">
        <v>18.0</v>
      </c>
      <c r="AG904" s="128">
        <v>1030.6520635445738</v>
      </c>
      <c r="AH904" s="44"/>
      <c r="AI904" s="128"/>
      <c r="AJ904" s="128"/>
      <c r="AK904" s="128"/>
      <c r="AP904" s="128">
        <v>8.0</v>
      </c>
      <c r="AQ904" s="128">
        <v>20.0</v>
      </c>
      <c r="AR904" s="44" t="s">
        <v>586</v>
      </c>
      <c r="AT904" s="44">
        <v>903.0</v>
      </c>
      <c r="AU904" s="44"/>
      <c r="AW904" s="93"/>
      <c r="AY904" s="93"/>
      <c r="AZ904" s="93"/>
      <c r="BA904" s="93"/>
      <c r="BB904" s="155"/>
      <c r="BC904" s="93"/>
      <c r="BE904" s="93"/>
      <c r="BG904" s="93"/>
      <c r="BH904" s="93"/>
      <c r="BI904" s="93"/>
      <c r="BJ904" s="155"/>
      <c r="BK904" s="93"/>
    </row>
    <row r="905">
      <c r="A905" s="166">
        <v>44576.14218949074</v>
      </c>
      <c r="B905" s="44" t="s">
        <v>125</v>
      </c>
      <c r="C905" s="128">
        <v>884.7083907119583</v>
      </c>
      <c r="D905" s="128">
        <v>3.0</v>
      </c>
      <c r="E905" s="128">
        <v>884.7183907119582</v>
      </c>
      <c r="F905" s="44" t="s">
        <v>34</v>
      </c>
      <c r="G905" s="128">
        <v>957.1515723546767</v>
      </c>
      <c r="H905" s="128">
        <v>14.0</v>
      </c>
      <c r="I905" s="128">
        <v>957.4093162433566</v>
      </c>
      <c r="J905" s="44" t="s">
        <v>23</v>
      </c>
      <c r="K905" s="128">
        <v>1180.3694242365511</v>
      </c>
      <c r="L905" s="128">
        <v>33.0</v>
      </c>
      <c r="M905" s="128">
        <v>1181.1273727960158</v>
      </c>
      <c r="N905" s="44"/>
      <c r="O905" s="128"/>
      <c r="P905" s="128"/>
      <c r="Q905" s="128"/>
      <c r="V905" s="44" t="s">
        <v>112</v>
      </c>
      <c r="W905" s="128">
        <v>1015.3280535179746</v>
      </c>
      <c r="X905" s="128">
        <v>17.0</v>
      </c>
      <c r="Y905" s="128">
        <v>1014.9040418633216</v>
      </c>
      <c r="Z905" s="44" t="s">
        <v>31</v>
      </c>
      <c r="AA905" s="128">
        <v>1026.604312629599</v>
      </c>
      <c r="AB905" s="128">
        <v>26.0</v>
      </c>
      <c r="AC905" s="128">
        <v>1026.4278324051713</v>
      </c>
      <c r="AD905" s="44" t="s">
        <v>61</v>
      </c>
      <c r="AE905" s="128">
        <v>1030.6520635445738</v>
      </c>
      <c r="AF905" s="128">
        <v>18.0</v>
      </c>
      <c r="AG905" s="128">
        <v>1030.2525554236545</v>
      </c>
      <c r="AH905" s="44"/>
      <c r="AI905" s="128"/>
      <c r="AJ905" s="128"/>
      <c r="AK905" s="128"/>
      <c r="AP905" s="128">
        <v>14.0</v>
      </c>
      <c r="AQ905" s="128">
        <v>14.0</v>
      </c>
      <c r="AT905" s="44">
        <v>904.0</v>
      </c>
      <c r="AU905" s="44"/>
      <c r="AW905" s="93"/>
      <c r="AY905" s="93"/>
      <c r="AZ905" s="93"/>
      <c r="BA905" s="93"/>
      <c r="BB905" s="155"/>
      <c r="BC905" s="93"/>
      <c r="BE905" s="93"/>
      <c r="BG905" s="93"/>
      <c r="BH905" s="93"/>
      <c r="BI905" s="93"/>
      <c r="BJ905" s="155"/>
      <c r="BK905" s="93"/>
    </row>
    <row r="906">
      <c r="A906" s="166">
        <v>44576.94418856481</v>
      </c>
      <c r="B906" s="44" t="s">
        <v>88</v>
      </c>
      <c r="C906" s="128">
        <v>978.5754729806958</v>
      </c>
      <c r="D906" s="128">
        <v>9.0</v>
      </c>
      <c r="E906" s="128">
        <v>954.3165194045989</v>
      </c>
      <c r="F906" s="44" t="s">
        <v>107</v>
      </c>
      <c r="G906" s="128">
        <v>985.4228712413637</v>
      </c>
      <c r="H906" s="128">
        <v>21.0</v>
      </c>
      <c r="I906" s="128">
        <v>981.0851968125933</v>
      </c>
      <c r="J906" s="44" t="s">
        <v>61</v>
      </c>
      <c r="K906" s="128">
        <v>1030.2525554236545</v>
      </c>
      <c r="L906" s="128">
        <v>5.0</v>
      </c>
      <c r="M906" s="128">
        <v>998.8491834285219</v>
      </c>
      <c r="N906" s="44"/>
      <c r="O906" s="128"/>
      <c r="P906" s="128"/>
      <c r="Q906" s="128"/>
      <c r="V906" s="44" t="s">
        <v>47</v>
      </c>
      <c r="W906" s="128">
        <v>980.1032759286242</v>
      </c>
      <c r="X906" s="128">
        <v>25.0</v>
      </c>
      <c r="Y906" s="128">
        <v>998.8325668493881</v>
      </c>
      <c r="Z906" s="44" t="s">
        <v>27</v>
      </c>
      <c r="AA906" s="128">
        <v>1001.2528969423789</v>
      </c>
      <c r="AB906" s="128">
        <v>26.0</v>
      </c>
      <c r="AC906" s="128">
        <v>1021.1496598193885</v>
      </c>
      <c r="AD906" s="44" t="s">
        <v>38</v>
      </c>
      <c r="AE906" s="128">
        <v>1010.6478636638418</v>
      </c>
      <c r="AF906" s="128">
        <v>27.0</v>
      </c>
      <c r="AG906" s="128">
        <v>1032.0218098660685</v>
      </c>
      <c r="AH906" s="44"/>
      <c r="AI906" s="128"/>
      <c r="AJ906" s="128"/>
      <c r="AK906" s="128"/>
      <c r="AP906" s="128">
        <v>4.0</v>
      </c>
      <c r="AQ906" s="128">
        <v>24.0</v>
      </c>
      <c r="AT906" s="44">
        <v>905.0</v>
      </c>
      <c r="AU906" s="44"/>
      <c r="AW906" s="93"/>
      <c r="AY906" s="93"/>
      <c r="AZ906" s="93"/>
      <c r="BA906" s="93"/>
      <c r="BB906" s="155"/>
      <c r="BC906" s="93"/>
      <c r="BE906" s="93"/>
      <c r="BG906" s="93"/>
      <c r="BH906" s="93"/>
      <c r="BI906" s="93"/>
      <c r="BJ906" s="155"/>
      <c r="BK906" s="93"/>
    </row>
    <row r="907">
      <c r="A907" s="166">
        <v>44576.982046018515</v>
      </c>
      <c r="B907" s="44" t="s">
        <v>88</v>
      </c>
      <c r="C907" s="128">
        <v>954.3165194045989</v>
      </c>
      <c r="D907" s="128">
        <v>15.0</v>
      </c>
      <c r="E907" s="128">
        <v>949.0881998924657</v>
      </c>
      <c r="F907" s="44" t="s">
        <v>47</v>
      </c>
      <c r="G907" s="128">
        <v>998.8325668493881</v>
      </c>
      <c r="H907" s="128">
        <v>14.0</v>
      </c>
      <c r="I907" s="128">
        <v>993.0653302025711</v>
      </c>
      <c r="J907" s="44" t="s">
        <v>23</v>
      </c>
      <c r="K907" s="128">
        <v>1181.1273727960158</v>
      </c>
      <c r="L907" s="128">
        <v>25.0</v>
      </c>
      <c r="M907" s="128">
        <v>1179.122928954966</v>
      </c>
      <c r="N907" s="44"/>
      <c r="O907" s="128"/>
      <c r="P907" s="128"/>
      <c r="Q907" s="128"/>
      <c r="V907" s="44" t="s">
        <v>61</v>
      </c>
      <c r="W907" s="128">
        <v>998.8491834285219</v>
      </c>
      <c r="X907" s="128">
        <v>16.0</v>
      </c>
      <c r="Y907" s="128">
        <v>1002.7371832614185</v>
      </c>
      <c r="Z907" s="44" t="s">
        <v>110</v>
      </c>
      <c r="AA907" s="128">
        <v>1015.4243210558817</v>
      </c>
      <c r="AB907" s="128">
        <v>16.0</v>
      </c>
      <c r="AC907" s="128">
        <v>1019.2652625933003</v>
      </c>
      <c r="AD907" s="44" t="s">
        <v>27</v>
      </c>
      <c r="AE907" s="128">
        <v>1021.1496598193885</v>
      </c>
      <c r="AF907" s="128">
        <v>20.0</v>
      </c>
      <c r="AG907" s="128">
        <v>1026.420718449073</v>
      </c>
      <c r="AH907" s="44"/>
      <c r="AI907" s="128"/>
      <c r="AJ907" s="128"/>
      <c r="AK907" s="128"/>
      <c r="AP907" s="128">
        <v>13.0</v>
      </c>
      <c r="AQ907" s="128">
        <v>15.0</v>
      </c>
      <c r="AT907" s="44">
        <v>906.0</v>
      </c>
      <c r="AU907" s="44"/>
      <c r="AW907" s="93"/>
      <c r="AY907" s="93"/>
      <c r="AZ907" s="93"/>
      <c r="BA907" s="93"/>
      <c r="BB907" s="155"/>
      <c r="BC907" s="93"/>
      <c r="BE907" s="93"/>
      <c r="BG907" s="93"/>
      <c r="BH907" s="93"/>
      <c r="BI907" s="93"/>
      <c r="BJ907" s="155"/>
      <c r="BK907" s="93"/>
    </row>
    <row r="908">
      <c r="A908" s="166">
        <v>44577.02369768519</v>
      </c>
      <c r="B908" s="44" t="s">
        <v>125</v>
      </c>
      <c r="C908" s="128">
        <v>884.7183907119582</v>
      </c>
      <c r="D908" s="128">
        <v>12.0</v>
      </c>
      <c r="E908" s="128">
        <v>885.5278492323581</v>
      </c>
      <c r="F908" s="44" t="s">
        <v>47</v>
      </c>
      <c r="G908" s="128">
        <v>993.0653302025711</v>
      </c>
      <c r="H908" s="128">
        <v>22.0</v>
      </c>
      <c r="I908" s="128">
        <v>995.0696981648108</v>
      </c>
      <c r="J908" s="44" t="s">
        <v>572</v>
      </c>
      <c r="K908" s="128">
        <v>999.6510613553938</v>
      </c>
      <c r="L908" s="128">
        <v>18.0</v>
      </c>
      <c r="M908" s="128">
        <v>1001.0621455550995</v>
      </c>
      <c r="N908" s="44" t="s">
        <v>23</v>
      </c>
      <c r="O908" s="128">
        <v>1179.122928954966</v>
      </c>
      <c r="P908" s="128">
        <v>28.0</v>
      </c>
      <c r="Q908" s="128">
        <v>1181.8980182726207</v>
      </c>
      <c r="V908" s="44" t="s">
        <v>88</v>
      </c>
      <c r="W908" s="128">
        <v>949.0881998924657</v>
      </c>
      <c r="X908" s="128">
        <v>26.0</v>
      </c>
      <c r="Y908" s="128">
        <v>948.3559319780211</v>
      </c>
      <c r="Z908" s="44" t="s">
        <v>98</v>
      </c>
      <c r="AA908" s="128">
        <v>984.9706733316127</v>
      </c>
      <c r="AB908" s="128">
        <v>8.0</v>
      </c>
      <c r="AC908" s="128">
        <v>981.5449512421067</v>
      </c>
      <c r="AD908" s="44" t="s">
        <v>61</v>
      </c>
      <c r="AE908" s="128">
        <v>1002.7371832614185</v>
      </c>
      <c r="AF908" s="128">
        <v>27.0</v>
      </c>
      <c r="AG908" s="128">
        <v>1002.0556851135461</v>
      </c>
      <c r="AH908" s="44" t="s">
        <v>110</v>
      </c>
      <c r="AI908" s="128">
        <v>1019.2652625933003</v>
      </c>
      <c r="AJ908" s="128">
        <v>17.0</v>
      </c>
      <c r="AK908" s="128">
        <v>1017.1047507451234</v>
      </c>
      <c r="AP908" s="128">
        <v>15.0</v>
      </c>
      <c r="AQ908" s="128">
        <v>13.0</v>
      </c>
      <c r="AT908" s="44">
        <v>907.0</v>
      </c>
      <c r="AU908" s="44"/>
      <c r="AW908" s="93"/>
      <c r="AY908" s="93"/>
      <c r="AZ908" s="93"/>
      <c r="BA908" s="93"/>
      <c r="BB908" s="155"/>
      <c r="BC908" s="93"/>
      <c r="BE908" s="93"/>
      <c r="BG908" s="93"/>
      <c r="BH908" s="93"/>
      <c r="BI908" s="93"/>
      <c r="BJ908" s="155"/>
      <c r="BK908" s="93"/>
    </row>
    <row r="909">
      <c r="A909" s="166">
        <v>44577.077030810186</v>
      </c>
      <c r="B909" s="44" t="s">
        <v>125</v>
      </c>
      <c r="C909" s="128">
        <v>885.5278492323581</v>
      </c>
      <c r="D909" s="128">
        <v>13.0</v>
      </c>
      <c r="E909" s="128">
        <v>887.6131760924632</v>
      </c>
      <c r="F909" s="44" t="s">
        <v>88</v>
      </c>
      <c r="G909" s="128">
        <v>948.3559319780211</v>
      </c>
      <c r="H909" s="128">
        <v>27.0</v>
      </c>
      <c r="I909" s="128">
        <v>955.7357074756694</v>
      </c>
      <c r="J909" s="44" t="s">
        <v>61</v>
      </c>
      <c r="K909" s="128">
        <v>1002.0556851135461</v>
      </c>
      <c r="L909" s="128">
        <v>18.0</v>
      </c>
      <c r="M909" s="128">
        <v>1005.380414244927</v>
      </c>
      <c r="N909" s="44" t="s">
        <v>23</v>
      </c>
      <c r="O909" s="128">
        <v>1181.8980182726207</v>
      </c>
      <c r="P909" s="128">
        <v>28.0</v>
      </c>
      <c r="Q909" s="128">
        <v>1189.1081867834864</v>
      </c>
      <c r="V909" s="44" t="s">
        <v>98</v>
      </c>
      <c r="W909" s="128">
        <v>981.5449512421067</v>
      </c>
      <c r="X909" s="128">
        <v>13.0</v>
      </c>
      <c r="Y909" s="128">
        <v>974.757438253783</v>
      </c>
      <c r="Z909" s="44" t="s">
        <v>47</v>
      </c>
      <c r="AA909" s="128">
        <v>995.0696981648108</v>
      </c>
      <c r="AB909" s="128">
        <v>25.0</v>
      </c>
      <c r="AC909" s="128">
        <v>993.2281111874015</v>
      </c>
      <c r="AD909" s="44" t="s">
        <v>110</v>
      </c>
      <c r="AE909" s="128">
        <v>1017.1047507451234</v>
      </c>
      <c r="AF909" s="128">
        <v>15.0</v>
      </c>
      <c r="AG909" s="128">
        <v>1011.0228160811365</v>
      </c>
      <c r="AH909" s="44" t="s">
        <v>38</v>
      </c>
      <c r="AI909" s="128">
        <v>1032.0218098660685</v>
      </c>
      <c r="AJ909" s="128">
        <v>17.0</v>
      </c>
      <c r="AK909" s="128">
        <v>1026.7328444957884</v>
      </c>
      <c r="AP909" s="128">
        <v>18.0</v>
      </c>
      <c r="AQ909" s="128">
        <v>10.0</v>
      </c>
      <c r="AT909" s="44">
        <v>908.0</v>
      </c>
      <c r="AU909" s="44"/>
      <c r="AW909" s="93"/>
      <c r="AY909" s="93"/>
      <c r="AZ909" s="93"/>
      <c r="BA909" s="93"/>
      <c r="BB909" s="155"/>
      <c r="BC909" s="93"/>
      <c r="BE909" s="93"/>
      <c r="BG909" s="93"/>
      <c r="BH909" s="93"/>
      <c r="BI909" s="93"/>
      <c r="BJ909" s="155"/>
      <c r="BK909" s="93"/>
    </row>
    <row r="910">
      <c r="A910" s="166">
        <v>44577.967607824074</v>
      </c>
      <c r="B910" s="44" t="s">
        <v>123</v>
      </c>
      <c r="C910" s="128">
        <v>936.8464898274674</v>
      </c>
      <c r="D910" s="128">
        <v>18.0</v>
      </c>
      <c r="E910" s="128">
        <v>940.8502678666656</v>
      </c>
      <c r="F910" s="44" t="s">
        <v>88</v>
      </c>
      <c r="G910" s="128">
        <v>955.7357074756694</v>
      </c>
      <c r="H910" s="128">
        <v>18.0</v>
      </c>
      <c r="I910" s="128">
        <v>959.6199420935105</v>
      </c>
      <c r="J910" s="44" t="s">
        <v>107</v>
      </c>
      <c r="K910" s="128">
        <v>981.0851968125933</v>
      </c>
      <c r="L910" s="128">
        <v>13.0</v>
      </c>
      <c r="M910" s="128">
        <v>982.8547160990456</v>
      </c>
      <c r="N910" s="44" t="s">
        <v>23</v>
      </c>
      <c r="O910" s="128">
        <v>1189.1081867834864</v>
      </c>
      <c r="P910" s="128">
        <v>33.0</v>
      </c>
      <c r="Q910" s="128">
        <v>1198.4506548399947</v>
      </c>
      <c r="V910" s="44" t="s">
        <v>47</v>
      </c>
      <c r="W910" s="128">
        <v>993.2281111874015</v>
      </c>
      <c r="X910" s="128">
        <v>20.0</v>
      </c>
      <c r="Y910" s="128">
        <v>988.6362416374899</v>
      </c>
      <c r="Z910" s="44" t="s">
        <v>58</v>
      </c>
      <c r="AA910" s="128">
        <v>1004.7539790919002</v>
      </c>
      <c r="AB910" s="128">
        <v>21.0</v>
      </c>
      <c r="AC910" s="128">
        <v>1000.5137769641777</v>
      </c>
      <c r="AD910" s="44" t="s">
        <v>112</v>
      </c>
      <c r="AE910" s="128">
        <v>1014.9040418633216</v>
      </c>
      <c r="AF910" s="128">
        <v>17.0</v>
      </c>
      <c r="AG910" s="128">
        <v>1009.0458138989649</v>
      </c>
      <c r="AH910" s="44" t="s">
        <v>27</v>
      </c>
      <c r="AI910" s="128">
        <v>1026.420718449073</v>
      </c>
      <c r="AJ910" s="128">
        <v>21.0</v>
      </c>
      <c r="AK910" s="128">
        <v>1022.1110180910639</v>
      </c>
      <c r="AP910" s="128">
        <v>16.0</v>
      </c>
      <c r="AQ910" s="128">
        <v>12.0</v>
      </c>
      <c r="AT910" s="44">
        <v>909.0</v>
      </c>
      <c r="AU910" s="44"/>
      <c r="AW910" s="93"/>
      <c r="AY910" s="93"/>
      <c r="AZ910" s="93"/>
      <c r="BA910" s="93"/>
      <c r="BB910" s="155"/>
      <c r="BC910" s="93"/>
      <c r="BE910" s="93"/>
      <c r="BG910" s="93"/>
      <c r="BH910" s="93"/>
      <c r="BI910" s="93"/>
      <c r="BJ910" s="155"/>
      <c r="BK910" s="93"/>
    </row>
    <row r="911">
      <c r="A911" s="166">
        <v>44578.011005</v>
      </c>
      <c r="B911" s="44" t="s">
        <v>123</v>
      </c>
      <c r="C911" s="128">
        <v>940.8502678666656</v>
      </c>
      <c r="D911" s="128">
        <v>9.0</v>
      </c>
      <c r="E911" s="128">
        <v>931.5693791373048</v>
      </c>
      <c r="F911" s="44" t="s">
        <v>88</v>
      </c>
      <c r="G911" s="128">
        <v>959.6199420935105</v>
      </c>
      <c r="H911" s="128">
        <v>19.0</v>
      </c>
      <c r="I911" s="128">
        <v>954.8082069426389</v>
      </c>
      <c r="J911" s="44" t="s">
        <v>107</v>
      </c>
      <c r="K911" s="128">
        <v>982.8547160990456</v>
      </c>
      <c r="L911" s="128">
        <v>10.0</v>
      </c>
      <c r="M911" s="128">
        <v>973.7978668866982</v>
      </c>
      <c r="N911" s="44" t="s">
        <v>23</v>
      </c>
      <c r="O911" s="128">
        <v>1198.4506548399947</v>
      </c>
      <c r="P911" s="128">
        <v>33.0</v>
      </c>
      <c r="Q911" s="128">
        <v>1198.4406548399947</v>
      </c>
      <c r="V911" s="44" t="s">
        <v>47</v>
      </c>
      <c r="W911" s="128">
        <v>988.6362416374899</v>
      </c>
      <c r="X911" s="128">
        <v>24.0</v>
      </c>
      <c r="Y911" s="128">
        <v>995.8393335382957</v>
      </c>
      <c r="Z911" s="44" t="s">
        <v>112</v>
      </c>
      <c r="AA911" s="128">
        <v>1009.0458138989649</v>
      </c>
      <c r="AB911" s="128">
        <v>22.0</v>
      </c>
      <c r="AC911" s="128">
        <v>1015.2389510828592</v>
      </c>
      <c r="AD911" s="44" t="s">
        <v>27</v>
      </c>
      <c r="AE911" s="128">
        <v>1022.1110180910639</v>
      </c>
      <c r="AF911" s="128">
        <v>18.0</v>
      </c>
      <c r="AG911" s="128">
        <v>1026.420872204051</v>
      </c>
      <c r="AH911" s="44" t="s">
        <v>38</v>
      </c>
      <c r="AI911" s="128">
        <v>1026.7328444957884</v>
      </c>
      <c r="AJ911" s="128">
        <v>18.0</v>
      </c>
      <c r="AK911" s="128">
        <v>1031.026761298101</v>
      </c>
      <c r="AP911" s="128">
        <v>11.0</v>
      </c>
      <c r="AQ911" s="128">
        <v>17.0</v>
      </c>
      <c r="AT911" s="44">
        <v>910.0</v>
      </c>
      <c r="AU911" s="44"/>
      <c r="AW911" s="93"/>
      <c r="AY911" s="93"/>
      <c r="AZ911" s="93"/>
      <c r="BA911" s="93"/>
      <c r="BB911" s="155"/>
      <c r="BC911" s="93"/>
      <c r="BE911" s="93"/>
      <c r="BG911" s="93"/>
      <c r="BH911" s="93"/>
      <c r="BI911" s="93"/>
      <c r="BJ911" s="155"/>
      <c r="BK911" s="93"/>
    </row>
    <row r="912">
      <c r="A912" s="166">
        <v>44578.044432546296</v>
      </c>
      <c r="B912" s="44" t="s">
        <v>125</v>
      </c>
      <c r="C912" s="128">
        <v>887.6131760924632</v>
      </c>
      <c r="D912" s="128">
        <v>22.0</v>
      </c>
      <c r="E912" s="128">
        <v>895.9140835063915</v>
      </c>
      <c r="F912" s="44" t="s">
        <v>107</v>
      </c>
      <c r="G912" s="128">
        <v>973.7978668866982</v>
      </c>
      <c r="H912" s="128">
        <v>15.0</v>
      </c>
      <c r="I912" s="128">
        <v>977.108562545336</v>
      </c>
      <c r="J912" s="44" t="s">
        <v>38</v>
      </c>
      <c r="K912" s="128">
        <v>1031.026761298101</v>
      </c>
      <c r="L912" s="128">
        <v>26.0</v>
      </c>
      <c r="M912" s="128">
        <v>1040.415158225535</v>
      </c>
      <c r="N912" s="44"/>
      <c r="O912" s="128"/>
      <c r="P912" s="128"/>
      <c r="Q912" s="128"/>
      <c r="V912" s="44" t="s">
        <v>123</v>
      </c>
      <c r="W912" s="128">
        <v>931.5693791373048</v>
      </c>
      <c r="X912" s="128">
        <v>11.0</v>
      </c>
      <c r="Y912" s="128">
        <v>921.4931191197024</v>
      </c>
      <c r="Z912" s="44" t="s">
        <v>88</v>
      </c>
      <c r="AA912" s="128">
        <v>954.8082069426389</v>
      </c>
      <c r="AB912" s="128">
        <v>16.0</v>
      </c>
      <c r="AC912" s="128">
        <v>947.4710397084559</v>
      </c>
      <c r="AD912" s="44" t="s">
        <v>112</v>
      </c>
      <c r="AE912" s="128">
        <v>1015.2389510828592</v>
      </c>
      <c r="AF912" s="128">
        <v>23.0</v>
      </c>
      <c r="AG912" s="128">
        <v>1011.6523783346446</v>
      </c>
      <c r="AH912" s="44"/>
      <c r="AI912" s="128"/>
      <c r="AJ912" s="128"/>
      <c r="AK912" s="128"/>
      <c r="AP912" s="128">
        <v>16.0</v>
      </c>
      <c r="AQ912" s="128">
        <v>12.0</v>
      </c>
      <c r="AT912" s="44">
        <v>911.0</v>
      </c>
      <c r="AU912" s="44"/>
      <c r="AW912" s="93"/>
      <c r="AY912" s="93"/>
      <c r="AZ912" s="93"/>
      <c r="BA912" s="93"/>
      <c r="BB912" s="155"/>
      <c r="BC912" s="93"/>
      <c r="BE912" s="93"/>
      <c r="BG912" s="93"/>
      <c r="BH912" s="93"/>
      <c r="BI912" s="93"/>
      <c r="BJ912" s="155"/>
      <c r="BK912" s="93"/>
    </row>
    <row r="913">
      <c r="A913" s="166">
        <v>44578.994172025465</v>
      </c>
      <c r="B913" s="44" t="s">
        <v>100</v>
      </c>
      <c r="C913" s="128">
        <v>948.9736830067781</v>
      </c>
      <c r="D913" s="128">
        <v>20.0</v>
      </c>
      <c r="E913" s="128">
        <v>952.8908387806919</v>
      </c>
      <c r="F913" s="44" t="s">
        <v>47</v>
      </c>
      <c r="G913" s="128">
        <v>995.8393335382957</v>
      </c>
      <c r="H913" s="128">
        <v>12.0</v>
      </c>
      <c r="I913" s="128">
        <v>997.3863818472781</v>
      </c>
      <c r="J913" s="44" t="s">
        <v>27</v>
      </c>
      <c r="K913" s="128">
        <v>1026.420872204051</v>
      </c>
      <c r="L913" s="128">
        <v>23.0</v>
      </c>
      <c r="M913" s="128">
        <v>1030.9566681211547</v>
      </c>
      <c r="N913" s="44"/>
      <c r="O913" s="128"/>
      <c r="P913" s="128"/>
      <c r="Q913" s="128"/>
      <c r="V913" s="44" t="s">
        <v>88</v>
      </c>
      <c r="W913" s="128">
        <v>947.4710397084559</v>
      </c>
      <c r="X913" s="128">
        <v>21.0</v>
      </c>
      <c r="Y913" s="128">
        <v>945.3752573483963</v>
      </c>
      <c r="Z913" s="44" t="s">
        <v>112</v>
      </c>
      <c r="AA913" s="128">
        <v>1011.6523783346446</v>
      </c>
      <c r="AB913" s="128">
        <v>18.0</v>
      </c>
      <c r="AC913" s="128">
        <v>1008.5466136224578</v>
      </c>
      <c r="AD913" s="44" t="s">
        <v>92</v>
      </c>
      <c r="AE913" s="128">
        <v>1025.6619355713856</v>
      </c>
      <c r="AF913" s="128">
        <v>12.0</v>
      </c>
      <c r="AG913" s="128">
        <v>1020.863482643632</v>
      </c>
      <c r="AH913" s="44"/>
      <c r="AI913" s="128"/>
      <c r="AJ913" s="128"/>
      <c r="AK913" s="128"/>
      <c r="AP913" s="128">
        <v>15.0</v>
      </c>
      <c r="AQ913" s="128">
        <v>13.0</v>
      </c>
      <c r="AT913" s="44">
        <v>912.0</v>
      </c>
      <c r="AU913" s="44"/>
      <c r="AW913" s="93"/>
      <c r="AY913" s="93"/>
      <c r="AZ913" s="93"/>
      <c r="BA913" s="93"/>
      <c r="BB913" s="155"/>
      <c r="BC913" s="93"/>
      <c r="BE913" s="93"/>
      <c r="BG913" s="93"/>
      <c r="BH913" s="93"/>
      <c r="BI913" s="93"/>
      <c r="BJ913" s="155"/>
      <c r="BK913" s="93"/>
    </row>
    <row r="914">
      <c r="A914" s="166">
        <v>44579.027705370376</v>
      </c>
      <c r="B914" s="44" t="s">
        <v>100</v>
      </c>
      <c r="C914" s="128">
        <v>952.8908387806919</v>
      </c>
      <c r="D914" s="128">
        <v>13.0</v>
      </c>
      <c r="E914" s="128">
        <v>954.6739189926503</v>
      </c>
      <c r="F914" s="44" t="s">
        <v>47</v>
      </c>
      <c r="G914" s="128">
        <v>997.3863818472781</v>
      </c>
      <c r="H914" s="128">
        <v>18.0</v>
      </c>
      <c r="I914" s="128">
        <v>1001.0149973036737</v>
      </c>
      <c r="J914" s="44" t="s">
        <v>112</v>
      </c>
      <c r="K914" s="128">
        <v>1008.5466136224578</v>
      </c>
      <c r="L914" s="128">
        <v>26.0</v>
      </c>
      <c r="M914" s="128">
        <v>1015.4626020851504</v>
      </c>
      <c r="N914" s="44" t="s">
        <v>27</v>
      </c>
      <c r="O914" s="128">
        <v>1030.9566681211547</v>
      </c>
      <c r="P914" s="128">
        <v>28.0</v>
      </c>
      <c r="Q914" s="128">
        <v>1038.628983990108</v>
      </c>
      <c r="V914" s="44" t="s">
        <v>88</v>
      </c>
      <c r="W914" s="128">
        <v>945.3752573483963</v>
      </c>
      <c r="X914" s="128">
        <v>25.0</v>
      </c>
      <c r="Y914" s="128">
        <v>942.8977151640696</v>
      </c>
      <c r="Z914" s="44" t="s">
        <v>107</v>
      </c>
      <c r="AA914" s="128">
        <v>977.108562545336</v>
      </c>
      <c r="AB914" s="128">
        <v>21.0</v>
      </c>
      <c r="AC914" s="128">
        <v>972.7899903452013</v>
      </c>
      <c r="AD914" s="44" t="s">
        <v>92</v>
      </c>
      <c r="AE914" s="128">
        <v>1020.863482643632</v>
      </c>
      <c r="AF914" s="128">
        <v>7.0</v>
      </c>
      <c r="AG914" s="128">
        <v>1010.538673475862</v>
      </c>
      <c r="AH914" s="44" t="s">
        <v>38</v>
      </c>
      <c r="AI914" s="128">
        <v>1040.415158225535</v>
      </c>
      <c r="AJ914" s="128">
        <v>25.0</v>
      </c>
      <c r="AK914" s="128">
        <v>1037.5360817777662</v>
      </c>
      <c r="AP914" s="128">
        <v>16.0</v>
      </c>
      <c r="AQ914" s="128">
        <v>12.0</v>
      </c>
      <c r="AT914" s="44">
        <v>913.0</v>
      </c>
      <c r="AU914" s="44"/>
      <c r="AW914" s="93"/>
      <c r="AY914" s="93"/>
      <c r="AZ914" s="93"/>
      <c r="BA914" s="93"/>
      <c r="BB914" s="155"/>
      <c r="BC914" s="93"/>
      <c r="BE914" s="93"/>
      <c r="BG914" s="93"/>
      <c r="BH914" s="93"/>
      <c r="BI914" s="93"/>
      <c r="BJ914" s="155"/>
      <c r="BK914" s="93"/>
    </row>
    <row r="915">
      <c r="A915" s="166">
        <v>44579.972439062505</v>
      </c>
      <c r="B915" s="44" t="s">
        <v>100</v>
      </c>
      <c r="C915" s="128">
        <v>954.6739189926503</v>
      </c>
      <c r="D915" s="128">
        <v>15.0</v>
      </c>
      <c r="E915" s="128">
        <v>954.6839189926503</v>
      </c>
      <c r="F915" s="44" t="s">
        <v>61</v>
      </c>
      <c r="G915" s="128">
        <v>1005.380414244927</v>
      </c>
      <c r="H915" s="128">
        <v>20.0</v>
      </c>
      <c r="I915" s="128">
        <v>1005.390414244927</v>
      </c>
      <c r="J915" s="44" t="s">
        <v>27</v>
      </c>
      <c r="K915" s="128">
        <v>1038.628983990108</v>
      </c>
      <c r="L915" s="128">
        <v>21.0</v>
      </c>
      <c r="M915" s="128">
        <v>1038.638983990108</v>
      </c>
      <c r="N915" s="44"/>
      <c r="O915" s="128"/>
      <c r="P915" s="128"/>
      <c r="Q915" s="128"/>
      <c r="V915" s="44" t="s">
        <v>107</v>
      </c>
      <c r="W915" s="128">
        <v>972.7899903452013</v>
      </c>
      <c r="X915" s="128">
        <v>14.0</v>
      </c>
      <c r="Y915" s="128">
        <v>972.7899903452013</v>
      </c>
      <c r="Z915" s="44" t="s">
        <v>47</v>
      </c>
      <c r="AA915" s="128">
        <v>1001.0149973036737</v>
      </c>
      <c r="AB915" s="128">
        <v>20.0</v>
      </c>
      <c r="AC915" s="128">
        <v>1001.0149973036737</v>
      </c>
      <c r="AD915" s="44" t="s">
        <v>38</v>
      </c>
      <c r="AE915" s="128">
        <v>1037.5360817777662</v>
      </c>
      <c r="AF915" s="128">
        <v>20.0</v>
      </c>
      <c r="AG915" s="128">
        <v>1037.5360817777662</v>
      </c>
      <c r="AH915" s="44"/>
      <c r="AI915" s="128"/>
      <c r="AJ915" s="128"/>
      <c r="AK915" s="128"/>
      <c r="AP915" s="128">
        <v>14.0</v>
      </c>
      <c r="AQ915" s="128">
        <v>14.0</v>
      </c>
      <c r="AT915" s="44">
        <v>914.0</v>
      </c>
      <c r="AU915" s="44"/>
      <c r="AW915" s="93"/>
      <c r="AY915" s="93"/>
      <c r="AZ915" s="93"/>
      <c r="BA915" s="93"/>
      <c r="BB915" s="155"/>
      <c r="BC915" s="93"/>
      <c r="BE915" s="93"/>
      <c r="BG915" s="93"/>
      <c r="BH915" s="93"/>
      <c r="BI915" s="93"/>
      <c r="BJ915" s="155"/>
      <c r="BK915" s="93"/>
    </row>
    <row r="916">
      <c r="A916" s="166">
        <v>44580.00882481481</v>
      </c>
      <c r="B916" s="44" t="s">
        <v>100</v>
      </c>
      <c r="C916" s="128">
        <v>954.6839189926503</v>
      </c>
      <c r="D916" s="128">
        <v>11.0</v>
      </c>
      <c r="E916" s="128">
        <v>956.6697156411755</v>
      </c>
      <c r="F916" s="44" t="s">
        <v>47</v>
      </c>
      <c r="G916" s="128">
        <v>1001.0149973036737</v>
      </c>
      <c r="H916" s="128">
        <v>20.0</v>
      </c>
      <c r="I916" s="128">
        <v>1012.1102020191381</v>
      </c>
      <c r="J916" s="44" t="s">
        <v>27</v>
      </c>
      <c r="K916" s="128">
        <v>1038.638983990108</v>
      </c>
      <c r="L916" s="128">
        <v>34.0</v>
      </c>
      <c r="M916" s="128">
        <v>1064.5579826261185</v>
      </c>
      <c r="N916" s="44"/>
      <c r="O916" s="128"/>
      <c r="P916" s="128"/>
      <c r="Q916" s="128"/>
      <c r="V916" s="44" t="s">
        <v>107</v>
      </c>
      <c r="W916" s="128">
        <v>972.7899903452013</v>
      </c>
      <c r="X916" s="128">
        <v>18.0</v>
      </c>
      <c r="Y916" s="128">
        <v>962.8834125568067</v>
      </c>
      <c r="Z916" s="44" t="s">
        <v>61</v>
      </c>
      <c r="AA916" s="128">
        <v>1005.390414244927</v>
      </c>
      <c r="AB916" s="128">
        <v>21.0</v>
      </c>
      <c r="AC916" s="128">
        <v>998.4458718996352</v>
      </c>
      <c r="AD916" s="44" t="s">
        <v>92</v>
      </c>
      <c r="AE916" s="128">
        <v>1010.538673475862</v>
      </c>
      <c r="AF916" s="128">
        <v>7.0</v>
      </c>
      <c r="AG916" s="128">
        <v>988.3897936095484</v>
      </c>
      <c r="AH916" s="44"/>
      <c r="AI916" s="128"/>
      <c r="AJ916" s="128"/>
      <c r="AK916" s="128"/>
      <c r="AP916" s="128">
        <v>20.0</v>
      </c>
      <c r="AQ916" s="128">
        <v>8.0</v>
      </c>
      <c r="AT916" s="44">
        <v>915.0</v>
      </c>
      <c r="AU916" s="44"/>
      <c r="AW916" s="93"/>
      <c r="AY916" s="93"/>
      <c r="AZ916" s="93"/>
      <c r="BA916" s="93"/>
      <c r="BB916" s="155"/>
      <c r="BC916" s="93"/>
      <c r="BE916" s="93"/>
      <c r="BG916" s="93"/>
      <c r="BH916" s="93"/>
      <c r="BI916" s="93"/>
      <c r="BJ916" s="155"/>
      <c r="BK916" s="93"/>
    </row>
    <row r="917">
      <c r="A917" s="166">
        <v>44580.91719591436</v>
      </c>
      <c r="B917" s="44" t="s">
        <v>123</v>
      </c>
      <c r="C917" s="128">
        <v>921.4931191197024</v>
      </c>
      <c r="D917" s="128">
        <v>9.0</v>
      </c>
      <c r="E917" s="128">
        <v>912.1781181529674</v>
      </c>
      <c r="F917" s="44" t="s">
        <v>112</v>
      </c>
      <c r="G917" s="128">
        <v>1015.4626020851504</v>
      </c>
      <c r="H917" s="128">
        <v>19.0</v>
      </c>
      <c r="I917" s="128">
        <v>1010.9444181936695</v>
      </c>
      <c r="J917" s="44" t="s">
        <v>27</v>
      </c>
      <c r="K917" s="128">
        <v>1064.5579826261185</v>
      </c>
      <c r="L917" s="128">
        <v>18.0</v>
      </c>
      <c r="M917" s="128">
        <v>1059.3911674843343</v>
      </c>
      <c r="N917" s="44"/>
      <c r="O917" s="128"/>
      <c r="P917" s="128"/>
      <c r="Q917" s="128"/>
      <c r="V917" s="44" t="s">
        <v>61</v>
      </c>
      <c r="W917" s="128">
        <v>998.4458718996352</v>
      </c>
      <c r="X917" s="128">
        <v>22.0</v>
      </c>
      <c r="Y917" s="128">
        <v>1005.5086521073697</v>
      </c>
      <c r="Z917" s="44" t="s">
        <v>58</v>
      </c>
      <c r="AA917" s="128">
        <v>1000.5137769641777</v>
      </c>
      <c r="AB917" s="128">
        <v>20.0</v>
      </c>
      <c r="AC917" s="128">
        <v>1006.5103272269763</v>
      </c>
      <c r="AD917" s="44" t="s">
        <v>47</v>
      </c>
      <c r="AE917" s="128">
        <v>1012.1102020191381</v>
      </c>
      <c r="AF917" s="128">
        <v>20.0</v>
      </c>
      <c r="AG917" s="128">
        <v>1018.0508715486051</v>
      </c>
      <c r="AH917" s="44"/>
      <c r="AI917" s="128"/>
      <c r="AJ917" s="128"/>
      <c r="AK917" s="128"/>
      <c r="AP917" s="128">
        <v>12.0</v>
      </c>
      <c r="AQ917" s="128">
        <v>16.0</v>
      </c>
      <c r="AT917" s="44">
        <v>916.0</v>
      </c>
      <c r="AU917" s="44"/>
      <c r="AW917" s="93"/>
      <c r="AY917" s="93"/>
      <c r="AZ917" s="93"/>
      <c r="BA917" s="93"/>
      <c r="BB917" s="155"/>
      <c r="BC917" s="93"/>
      <c r="BE917" s="93"/>
      <c r="BG917" s="93"/>
      <c r="BH917" s="93"/>
      <c r="BI917" s="93"/>
      <c r="BJ917" s="155"/>
      <c r="BK917" s="93"/>
    </row>
    <row r="918">
      <c r="A918" s="166">
        <v>44580.95992603009</v>
      </c>
      <c r="B918" s="44" t="s">
        <v>123</v>
      </c>
      <c r="C918" s="128">
        <v>912.1781181529674</v>
      </c>
      <c r="D918" s="128">
        <v>18.0</v>
      </c>
      <c r="E918" s="128">
        <v>909.391229083927</v>
      </c>
      <c r="F918" s="44" t="s">
        <v>61</v>
      </c>
      <c r="G918" s="128">
        <v>1005.5086521073697</v>
      </c>
      <c r="H918" s="128">
        <v>16.0</v>
      </c>
      <c r="I918" s="128">
        <v>1002.0356878661868</v>
      </c>
      <c r="J918" s="44" t="s">
        <v>58</v>
      </c>
      <c r="K918" s="128">
        <v>1006.5103272269763</v>
      </c>
      <c r="L918" s="128">
        <v>15.0</v>
      </c>
      <c r="M918" s="128">
        <v>1002.827126387115</v>
      </c>
      <c r="N918" s="44" t="s">
        <v>23</v>
      </c>
      <c r="O918" s="128">
        <v>1198.4406548399947</v>
      </c>
      <c r="P918" s="128">
        <v>33.0</v>
      </c>
      <c r="Q918" s="128">
        <v>1198.3837089900794</v>
      </c>
      <c r="V918" s="44" t="s">
        <v>112</v>
      </c>
      <c r="W918" s="128">
        <v>1010.9444181936695</v>
      </c>
      <c r="X918" s="128">
        <v>18.0</v>
      </c>
      <c r="Y918" s="128">
        <v>1013.0566088123281</v>
      </c>
      <c r="Z918" s="44" t="s">
        <v>47</v>
      </c>
      <c r="AA918" s="128">
        <v>1018.0508715486051</v>
      </c>
      <c r="AB918" s="128">
        <v>12.0</v>
      </c>
      <c r="AC918" s="128">
        <v>1018.9012276265914</v>
      </c>
      <c r="AD918" s="44" t="s">
        <v>38</v>
      </c>
      <c r="AE918" s="128">
        <v>1037.5360817777662</v>
      </c>
      <c r="AF918" s="128">
        <v>23.0</v>
      </c>
      <c r="AG918" s="128">
        <v>1040.650184016427</v>
      </c>
      <c r="AH918" s="44" t="s">
        <v>27</v>
      </c>
      <c r="AI918" s="128">
        <v>1059.3911674843343</v>
      </c>
      <c r="AJ918" s="128">
        <v>27.0</v>
      </c>
      <c r="AK918" s="128">
        <v>1063.3145185490287</v>
      </c>
      <c r="AP918" s="128">
        <v>13.0</v>
      </c>
      <c r="AQ918" s="128">
        <v>15.0</v>
      </c>
      <c r="AT918" s="44">
        <v>917.0</v>
      </c>
      <c r="AU918" s="44"/>
      <c r="AW918" s="93"/>
      <c r="AY918" s="93"/>
      <c r="AZ918" s="93"/>
      <c r="BA918" s="93"/>
      <c r="BB918" s="155"/>
      <c r="BC918" s="93"/>
      <c r="BE918" s="93"/>
      <c r="BG918" s="93"/>
      <c r="BH918" s="93"/>
      <c r="BI918" s="93"/>
      <c r="BJ918" s="155"/>
      <c r="BK918" s="93"/>
    </row>
    <row r="919">
      <c r="A919" s="166">
        <v>44580.99320452547</v>
      </c>
      <c r="B919" s="44" t="s">
        <v>123</v>
      </c>
      <c r="C919" s="128">
        <v>909.391229083927</v>
      </c>
      <c r="D919" s="128">
        <v>14.0</v>
      </c>
      <c r="E919" s="128">
        <v>910.6071052632117</v>
      </c>
      <c r="F919" s="44" t="s">
        <v>107</v>
      </c>
      <c r="G919" s="128">
        <v>962.8834125568067</v>
      </c>
      <c r="H919" s="128">
        <v>26.0</v>
      </c>
      <c r="I919" s="128">
        <v>965.9604378748836</v>
      </c>
      <c r="J919" s="44" t="s">
        <v>112</v>
      </c>
      <c r="K919" s="128">
        <v>1013.0566088123281</v>
      </c>
      <c r="L919" s="128">
        <v>18.0</v>
      </c>
      <c r="M919" s="128">
        <v>1014.7126242690741</v>
      </c>
      <c r="N919" s="44" t="s">
        <v>47</v>
      </c>
      <c r="O919" s="128">
        <v>1018.9012276265914</v>
      </c>
      <c r="P919" s="128">
        <v>19.0</v>
      </c>
      <c r="Q919" s="128">
        <v>1020.7162029556048</v>
      </c>
      <c r="R919" s="44" t="s">
        <v>23</v>
      </c>
      <c r="S919" s="128">
        <v>1198.3837089900794</v>
      </c>
      <c r="T919" s="128">
        <v>22.0</v>
      </c>
      <c r="U919" s="128">
        <v>1200.6198167069585</v>
      </c>
      <c r="V919" s="44" t="s">
        <v>572</v>
      </c>
      <c r="W919" s="128">
        <v>1001.0621455550995</v>
      </c>
      <c r="X919" s="128">
        <v>6.0</v>
      </c>
      <c r="Y919" s="128">
        <v>996.9517398410024</v>
      </c>
      <c r="Z919" s="44" t="s">
        <v>61</v>
      </c>
      <c r="AA919" s="128">
        <v>1002.0356878661868</v>
      </c>
      <c r="AB919" s="128">
        <v>21.0</v>
      </c>
      <c r="AC919" s="128">
        <v>1000.4238871374915</v>
      </c>
      <c r="AD919" s="44" t="s">
        <v>58</v>
      </c>
      <c r="AE919" s="128">
        <v>1002.827126387115</v>
      </c>
      <c r="AF919" s="128">
        <v>17.0</v>
      </c>
      <c r="AG919" s="128">
        <v>1000.547534842754</v>
      </c>
      <c r="AH919" s="44" t="s">
        <v>38</v>
      </c>
      <c r="AI919" s="128">
        <v>1040.650184016427</v>
      </c>
      <c r="AJ919" s="128">
        <v>28.0</v>
      </c>
      <c r="AK919" s="128">
        <v>1040.1600564641249</v>
      </c>
      <c r="AL919" s="44" t="s">
        <v>27</v>
      </c>
      <c r="AM919" s="128">
        <v>1063.3145185490287</v>
      </c>
      <c r="AN919" s="128">
        <v>22.0</v>
      </c>
      <c r="AO919" s="128">
        <v>1061.8064440884839</v>
      </c>
      <c r="AP919" s="128">
        <v>15.0</v>
      </c>
      <c r="AQ919" s="128">
        <v>13.0</v>
      </c>
      <c r="AT919" s="44">
        <v>918.0</v>
      </c>
      <c r="AU919" s="44"/>
      <c r="AW919" s="93"/>
      <c r="AY919" s="93"/>
      <c r="AZ919" s="93"/>
      <c r="BA919" s="93"/>
      <c r="BB919" s="155"/>
      <c r="BC919" s="93"/>
      <c r="BE919" s="93"/>
      <c r="BG919" s="93"/>
      <c r="BH919" s="93"/>
      <c r="BI919" s="93"/>
      <c r="BJ919" s="155"/>
      <c r="BK919" s="93"/>
    </row>
    <row r="920">
      <c r="A920" s="166">
        <v>44581.02961846065</v>
      </c>
      <c r="B920" s="44" t="s">
        <v>123</v>
      </c>
      <c r="C920" s="128">
        <v>910.6071052632117</v>
      </c>
      <c r="D920" s="128">
        <v>11.0</v>
      </c>
      <c r="E920" s="128">
        <v>900.4289656751829</v>
      </c>
      <c r="F920" s="44" t="s">
        <v>107</v>
      </c>
      <c r="G920" s="128">
        <v>965.9604378748836</v>
      </c>
      <c r="H920" s="128">
        <v>19.0</v>
      </c>
      <c r="I920" s="128">
        <v>959.5671148501247</v>
      </c>
      <c r="J920" s="44" t="s">
        <v>112</v>
      </c>
      <c r="K920" s="128">
        <v>1014.7126242690741</v>
      </c>
      <c r="L920" s="128">
        <v>27.0</v>
      </c>
      <c r="M920" s="128">
        <v>1012.2840868818618</v>
      </c>
      <c r="N920" s="44"/>
      <c r="O920" s="128"/>
      <c r="P920" s="128"/>
      <c r="Q920" s="128"/>
      <c r="V920" s="44" t="s">
        <v>125</v>
      </c>
      <c r="W920" s="128">
        <v>895.9140835063915</v>
      </c>
      <c r="X920" s="128">
        <v>18.0</v>
      </c>
      <c r="Y920" s="128">
        <v>901.0844948021045</v>
      </c>
      <c r="Z920" s="44" t="s">
        <v>61</v>
      </c>
      <c r="AA920" s="128">
        <v>1000.4238871374915</v>
      </c>
      <c r="AB920" s="128">
        <v>19.0</v>
      </c>
      <c r="AC920" s="128">
        <v>1005.2545458338273</v>
      </c>
      <c r="AD920" s="44" t="s">
        <v>110</v>
      </c>
      <c r="AE920" s="128">
        <v>1011.0228160811365</v>
      </c>
      <c r="AF920" s="128">
        <v>27.0</v>
      </c>
      <c r="AG920" s="128">
        <v>1020.0217460890879</v>
      </c>
      <c r="AH920" s="44"/>
      <c r="AI920" s="128"/>
      <c r="AJ920" s="128"/>
      <c r="AK920" s="128"/>
      <c r="AP920" s="128">
        <v>11.0</v>
      </c>
      <c r="AQ920" s="128">
        <v>16.0</v>
      </c>
      <c r="AT920" s="44">
        <v>919.0</v>
      </c>
      <c r="AU920" s="44"/>
      <c r="AW920" s="93"/>
      <c r="AY920" s="93"/>
      <c r="AZ920" s="93"/>
      <c r="BA920" s="93"/>
      <c r="BB920" s="155"/>
      <c r="BC920" s="93"/>
      <c r="BE920" s="93"/>
      <c r="BG920" s="93"/>
      <c r="BH920" s="93"/>
      <c r="BI920" s="93"/>
      <c r="BJ920" s="155"/>
      <c r="BK920" s="93"/>
    </row>
    <row r="921">
      <c r="A921" s="166">
        <v>44581.84466032407</v>
      </c>
      <c r="B921" s="44" t="s">
        <v>123</v>
      </c>
      <c r="C921" s="128">
        <v>900.4289656751829</v>
      </c>
      <c r="D921" s="128">
        <v>18.0</v>
      </c>
      <c r="E921" s="128">
        <v>925.4289656751829</v>
      </c>
      <c r="F921" s="44"/>
      <c r="G921" s="128"/>
      <c r="H921" s="128"/>
      <c r="I921" s="128"/>
      <c r="J921" s="44"/>
      <c r="K921" s="128"/>
      <c r="L921" s="128"/>
      <c r="M921" s="128"/>
      <c r="N921" s="44"/>
      <c r="O921" s="128"/>
      <c r="P921" s="128"/>
      <c r="Q921" s="128"/>
      <c r="V921" s="44" t="s">
        <v>92</v>
      </c>
      <c r="W921" s="128">
        <v>988.3897936095484</v>
      </c>
      <c r="X921" s="128">
        <v>10.0</v>
      </c>
      <c r="Y921" s="128">
        <v>963.3897936095484</v>
      </c>
      <c r="Z921" s="44"/>
      <c r="AA921" s="128"/>
      <c r="AB921" s="128"/>
      <c r="AC921" s="128"/>
      <c r="AD921" s="44"/>
      <c r="AE921" s="128"/>
      <c r="AF921" s="128"/>
      <c r="AG921" s="128"/>
      <c r="AH921" s="44"/>
      <c r="AI921" s="128"/>
      <c r="AJ921" s="128"/>
      <c r="AK921" s="128"/>
      <c r="AP921" s="128">
        <v>18.0</v>
      </c>
      <c r="AQ921" s="128">
        <v>10.0</v>
      </c>
      <c r="AT921" s="44">
        <v>920.0</v>
      </c>
      <c r="AU921" s="44"/>
      <c r="AW921" s="93"/>
      <c r="AY921" s="93"/>
      <c r="AZ921" s="93"/>
      <c r="BA921" s="93"/>
      <c r="BB921" s="155"/>
      <c r="BC921" s="93"/>
      <c r="BE921" s="93"/>
      <c r="BG921" s="93"/>
      <c r="BH921" s="93"/>
      <c r="BI921" s="93"/>
      <c r="BJ921" s="155"/>
      <c r="BK921" s="93"/>
    </row>
    <row r="922">
      <c r="A922" s="166">
        <v>44581.94813060186</v>
      </c>
      <c r="B922" s="44" t="s">
        <v>88</v>
      </c>
      <c r="C922" s="128">
        <v>942.8977151640696</v>
      </c>
      <c r="D922" s="128">
        <v>11.0</v>
      </c>
      <c r="E922" s="128">
        <v>932.6044690679029</v>
      </c>
      <c r="F922" s="44" t="s">
        <v>38</v>
      </c>
      <c r="G922" s="128">
        <v>1040.1600564641249</v>
      </c>
      <c r="H922" s="128">
        <v>19.0</v>
      </c>
      <c r="I922" s="128">
        <v>1033.9607574358995</v>
      </c>
      <c r="J922" s="44" t="s">
        <v>27</v>
      </c>
      <c r="K922" s="128">
        <v>1061.8064440884839</v>
      </c>
      <c r="L922" s="128">
        <v>22.0</v>
      </c>
      <c r="M922" s="128">
        <v>1057.2989892128758</v>
      </c>
      <c r="N922" s="44"/>
      <c r="O922" s="128"/>
      <c r="P922" s="128"/>
      <c r="Q922" s="128"/>
      <c r="V922" s="44" t="s">
        <v>58</v>
      </c>
      <c r="W922" s="128">
        <v>1000.547534842754</v>
      </c>
      <c r="X922" s="128">
        <v>33.0</v>
      </c>
      <c r="Y922" s="128">
        <v>1014.9947974025276</v>
      </c>
      <c r="Z922" s="44" t="s">
        <v>112</v>
      </c>
      <c r="AA922" s="128">
        <v>1012.2840868818618</v>
      </c>
      <c r="AB922" s="128">
        <v>17.0</v>
      </c>
      <c r="AC922" s="128">
        <v>1017.3303089103372</v>
      </c>
      <c r="AD922" s="44" t="s">
        <v>110</v>
      </c>
      <c r="AE922" s="128">
        <v>1020.0217460890879</v>
      </c>
      <c r="AF922" s="128">
        <v>11.0</v>
      </c>
      <c r="AG922" s="128">
        <v>1021.5282615008389</v>
      </c>
      <c r="AH922" s="44"/>
      <c r="AI922" s="128"/>
      <c r="AJ922" s="128"/>
      <c r="AK922" s="128"/>
      <c r="AP922" s="128">
        <v>11.0</v>
      </c>
      <c r="AQ922" s="128">
        <v>17.0</v>
      </c>
      <c r="AT922" s="44">
        <v>921.0</v>
      </c>
      <c r="AU922" s="44"/>
      <c r="AW922" s="93"/>
      <c r="AY922" s="93"/>
      <c r="AZ922" s="93"/>
      <c r="BA922" s="93"/>
      <c r="BB922" s="155"/>
      <c r="BC922" s="93"/>
      <c r="BE922" s="93"/>
      <c r="BG922" s="93"/>
      <c r="BH922" s="93"/>
      <c r="BI922" s="93"/>
      <c r="BJ922" s="155"/>
      <c r="BK922" s="93"/>
    </row>
    <row r="923">
      <c r="A923" s="166">
        <v>44582.5291759838</v>
      </c>
      <c r="B923" s="44" t="s">
        <v>92</v>
      </c>
      <c r="C923" s="128">
        <v>963.3897936095484</v>
      </c>
      <c r="D923" s="128">
        <v>16.0</v>
      </c>
      <c r="E923" s="128">
        <v>981.3897936095484</v>
      </c>
      <c r="F923" s="44"/>
      <c r="G923" s="128"/>
      <c r="H923" s="128"/>
      <c r="I923" s="128"/>
      <c r="J923" s="44"/>
      <c r="K923" s="128"/>
      <c r="L923" s="128"/>
      <c r="M923" s="128"/>
      <c r="N923" s="44"/>
      <c r="O923" s="128"/>
      <c r="P923" s="128"/>
      <c r="Q923" s="128"/>
      <c r="V923" s="44" t="s">
        <v>123</v>
      </c>
      <c r="W923" s="128">
        <v>925.4289656751829</v>
      </c>
      <c r="X923" s="128">
        <v>12.0</v>
      </c>
      <c r="Y923" s="128">
        <v>907.4289656751829</v>
      </c>
      <c r="Z923" s="44"/>
      <c r="AA923" s="128"/>
      <c r="AB923" s="128"/>
      <c r="AC923" s="128"/>
      <c r="AD923" s="44"/>
      <c r="AE923" s="128"/>
      <c r="AF923" s="128"/>
      <c r="AG923" s="128"/>
      <c r="AH923" s="44"/>
      <c r="AI923" s="128"/>
      <c r="AJ923" s="128"/>
      <c r="AK923" s="128"/>
      <c r="AP923" s="128">
        <v>16.0</v>
      </c>
      <c r="AQ923" s="128">
        <v>12.0</v>
      </c>
      <c r="AT923" s="44">
        <v>922.0</v>
      </c>
      <c r="AU923" s="44"/>
      <c r="AW923" s="93"/>
      <c r="AY923" s="93"/>
      <c r="AZ923" s="93"/>
      <c r="BA923" s="93"/>
      <c r="BB923" s="155"/>
      <c r="BC923" s="93"/>
      <c r="BE923" s="93"/>
      <c r="BG923" s="93"/>
      <c r="BH923" s="93"/>
      <c r="BI923" s="93"/>
      <c r="BJ923" s="155"/>
      <c r="BK923" s="93"/>
    </row>
    <row r="924">
      <c r="A924" s="166">
        <v>44582.642128101856</v>
      </c>
      <c r="B924" s="44" t="s">
        <v>92</v>
      </c>
      <c r="C924" s="128">
        <v>981.3897936095484</v>
      </c>
      <c r="D924" s="128">
        <v>8.0</v>
      </c>
      <c r="E924" s="128">
        <v>947.3682495848274</v>
      </c>
      <c r="F924" s="44" t="s">
        <v>112</v>
      </c>
      <c r="G924" s="128">
        <v>1017.3303089103372</v>
      </c>
      <c r="H924" s="128">
        <v>19.0</v>
      </c>
      <c r="I924" s="128">
        <v>1004.3518529350582</v>
      </c>
      <c r="J924" s="44"/>
      <c r="K924" s="128"/>
      <c r="L924" s="128"/>
      <c r="M924" s="128"/>
      <c r="N924" s="44"/>
      <c r="O924" s="128"/>
      <c r="P924" s="128"/>
      <c r="Q924" s="128"/>
      <c r="V924" s="44" t="s">
        <v>123</v>
      </c>
      <c r="W924" s="128">
        <v>907.4289656751829</v>
      </c>
      <c r="X924" s="128">
        <v>19.0</v>
      </c>
      <c r="Y924" s="128">
        <v>926.9583158312288</v>
      </c>
      <c r="Z924" s="44" t="s">
        <v>31</v>
      </c>
      <c r="AA924" s="128">
        <v>1026.4278324051713</v>
      </c>
      <c r="AB924" s="128">
        <v>25.0</v>
      </c>
      <c r="AC924" s="128">
        <v>1053.8984822491254</v>
      </c>
      <c r="AD924" s="44"/>
      <c r="AE924" s="128"/>
      <c r="AF924" s="128"/>
      <c r="AG924" s="128"/>
      <c r="AH924" s="44"/>
      <c r="AI924" s="128"/>
      <c r="AJ924" s="128"/>
      <c r="AK924" s="128"/>
      <c r="AP924" s="128">
        <v>9.0</v>
      </c>
      <c r="AQ924" s="128">
        <v>19.0</v>
      </c>
      <c r="AT924" s="44">
        <v>923.0</v>
      </c>
      <c r="AU924" s="44"/>
      <c r="AW924" s="93"/>
      <c r="AY924" s="93"/>
      <c r="AZ924" s="93"/>
      <c r="BA924" s="93"/>
      <c r="BB924" s="155"/>
      <c r="BC924" s="93"/>
      <c r="BE924" s="93"/>
      <c r="BG924" s="93"/>
      <c r="BH924" s="93"/>
      <c r="BI924" s="93"/>
      <c r="BJ924" s="155"/>
      <c r="BK924" s="93"/>
    </row>
    <row r="925">
      <c r="A925" s="166">
        <v>44582.69672960648</v>
      </c>
      <c r="B925" s="44" t="s">
        <v>123</v>
      </c>
      <c r="C925" s="128">
        <v>926.9583158312288</v>
      </c>
      <c r="D925" s="128">
        <v>7.0</v>
      </c>
      <c r="E925" s="128">
        <v>897.9774261789714</v>
      </c>
      <c r="F925" s="44" t="s">
        <v>112</v>
      </c>
      <c r="G925" s="128">
        <v>1004.3518529350582</v>
      </c>
      <c r="H925" s="128">
        <v>16.0</v>
      </c>
      <c r="I925" s="128">
        <v>990.3327425873156</v>
      </c>
      <c r="J925" s="44"/>
      <c r="K925" s="128"/>
      <c r="L925" s="128"/>
      <c r="M925" s="128"/>
      <c r="N925" s="44"/>
      <c r="O925" s="128"/>
      <c r="P925" s="128"/>
      <c r="Q925" s="128"/>
      <c r="V925" s="44" t="s">
        <v>108</v>
      </c>
      <c r="W925" s="128">
        <v>901.4788458413408</v>
      </c>
      <c r="X925" s="128">
        <v>25.0</v>
      </c>
      <c r="Y925" s="128">
        <v>929.1626773883792</v>
      </c>
      <c r="Z925" s="44" t="s">
        <v>61</v>
      </c>
      <c r="AA925" s="128">
        <v>1005.2545458338273</v>
      </c>
      <c r="AB925" s="128">
        <v>20.0</v>
      </c>
      <c r="AC925" s="128">
        <v>1020.5707142867889</v>
      </c>
      <c r="AD925" s="44"/>
      <c r="AE925" s="128"/>
      <c r="AF925" s="128"/>
      <c r="AG925" s="128"/>
      <c r="AH925" s="44"/>
      <c r="AI925" s="128"/>
      <c r="AJ925" s="128"/>
      <c r="AK925" s="128"/>
      <c r="AP925" s="128">
        <v>8.0</v>
      </c>
      <c r="AQ925" s="128">
        <v>20.0</v>
      </c>
      <c r="AT925" s="44">
        <v>924.0</v>
      </c>
      <c r="AU925" s="44"/>
      <c r="AW925" s="93"/>
      <c r="AY925" s="93"/>
      <c r="AZ925" s="93"/>
      <c r="BA925" s="93"/>
      <c r="BB925" s="155"/>
      <c r="BC925" s="93"/>
      <c r="BE925" s="93"/>
      <c r="BG925" s="93"/>
      <c r="BH925" s="93"/>
      <c r="BI925" s="93"/>
      <c r="BJ925" s="155"/>
      <c r="BK925" s="93"/>
    </row>
    <row r="926">
      <c r="A926" s="166">
        <v>44582.739157476855</v>
      </c>
      <c r="B926" s="44" t="s">
        <v>123</v>
      </c>
      <c r="C926" s="128">
        <v>897.9774261789714</v>
      </c>
      <c r="D926" s="128">
        <v>7.0</v>
      </c>
      <c r="E926" s="128">
        <v>898.0245036864159</v>
      </c>
      <c r="F926" s="44" t="s">
        <v>31</v>
      </c>
      <c r="G926" s="128">
        <v>1053.8984822491254</v>
      </c>
      <c r="H926" s="128">
        <v>33.0</v>
      </c>
      <c r="I926" s="128">
        <v>1073.8514047416809</v>
      </c>
      <c r="J926" s="44"/>
      <c r="K926" s="128"/>
      <c r="L926" s="128"/>
      <c r="M926" s="128"/>
      <c r="N926" s="44"/>
      <c r="O926" s="128"/>
      <c r="P926" s="128"/>
      <c r="Q926" s="128"/>
      <c r="V926" s="44" t="s">
        <v>108</v>
      </c>
      <c r="W926" s="128">
        <v>929.1626773883792</v>
      </c>
      <c r="X926" s="128">
        <v>11.0</v>
      </c>
      <c r="Y926" s="128">
        <v>915.8078778647113</v>
      </c>
      <c r="Z926" s="44" t="s">
        <v>61</v>
      </c>
      <c r="AA926" s="128">
        <v>1020.5707142867889</v>
      </c>
      <c r="AB926" s="128">
        <v>20.0</v>
      </c>
      <c r="AC926" s="128">
        <v>1013.9255138104568</v>
      </c>
      <c r="AD926" s="44"/>
      <c r="AE926" s="128"/>
      <c r="AF926" s="128"/>
      <c r="AG926" s="128"/>
      <c r="AH926" s="44"/>
      <c r="AI926" s="128"/>
      <c r="AJ926" s="128"/>
      <c r="AK926" s="128"/>
      <c r="AP926" s="128">
        <v>16.0</v>
      </c>
      <c r="AQ926" s="128">
        <v>12.0</v>
      </c>
      <c r="AT926" s="44">
        <v>925.0</v>
      </c>
      <c r="AU926" s="44"/>
      <c r="AW926" s="93"/>
      <c r="AY926" s="93"/>
      <c r="AZ926" s="93"/>
      <c r="BA926" s="93"/>
      <c r="BB926" s="155"/>
      <c r="BC926" s="93"/>
      <c r="BE926" s="93"/>
      <c r="BG926" s="93"/>
      <c r="BH926" s="93"/>
      <c r="BI926" s="93"/>
      <c r="BJ926" s="155"/>
      <c r="BK926" s="93"/>
    </row>
    <row r="927">
      <c r="A927" s="166">
        <v>44582.93781171297</v>
      </c>
      <c r="B927" s="44" t="s">
        <v>123</v>
      </c>
      <c r="C927" s="128">
        <v>898.0245036864159</v>
      </c>
      <c r="D927" s="128">
        <v>11.0</v>
      </c>
      <c r="E927" s="128">
        <v>882.0788061469946</v>
      </c>
      <c r="F927" s="44" t="s">
        <v>47</v>
      </c>
      <c r="G927" s="128">
        <v>1020.7162029556048</v>
      </c>
      <c r="H927" s="128">
        <v>19.0</v>
      </c>
      <c r="I927" s="128">
        <v>1011.9901523830165</v>
      </c>
      <c r="J927" s="44" t="s">
        <v>27</v>
      </c>
      <c r="K927" s="128">
        <v>1057.2989892128758</v>
      </c>
      <c r="L927" s="128">
        <v>14.0</v>
      </c>
      <c r="M927" s="128">
        <v>1042.9707373248852</v>
      </c>
      <c r="N927" s="44"/>
      <c r="O927" s="128"/>
      <c r="P927" s="128"/>
      <c r="Q927" s="128"/>
      <c r="V927" s="44" t="s">
        <v>88</v>
      </c>
      <c r="W927" s="128">
        <v>932.6044690679029</v>
      </c>
      <c r="X927" s="128">
        <v>23.0</v>
      </c>
      <c r="Y927" s="128">
        <v>945.8597832572226</v>
      </c>
      <c r="Z927" s="44" t="s">
        <v>61</v>
      </c>
      <c r="AA927" s="128">
        <v>1013.9255138104568</v>
      </c>
      <c r="AB927" s="128">
        <v>20.0</v>
      </c>
      <c r="AC927" s="128">
        <v>1022.5632908875635</v>
      </c>
      <c r="AD927" s="44" t="s">
        <v>38</v>
      </c>
      <c r="AE927" s="128">
        <v>1033.9607574358995</v>
      </c>
      <c r="AF927" s="128">
        <v>28.0</v>
      </c>
      <c r="AG927" s="128">
        <v>1051.0676661694731</v>
      </c>
      <c r="AH927" s="44"/>
      <c r="AI927" s="128"/>
      <c r="AJ927" s="128"/>
      <c r="AK927" s="128"/>
      <c r="AP927" s="128">
        <v>6.0</v>
      </c>
      <c r="AQ927" s="128">
        <v>22.0</v>
      </c>
      <c r="AT927" s="44">
        <v>926.0</v>
      </c>
      <c r="AU927" s="44"/>
      <c r="AW927" s="93"/>
      <c r="AY927" s="93"/>
      <c r="AZ927" s="93"/>
      <c r="BA927" s="93"/>
      <c r="BB927" s="155"/>
      <c r="BC927" s="93"/>
      <c r="BE927" s="93"/>
      <c r="BG927" s="93"/>
      <c r="BH927" s="93"/>
      <c r="BI927" s="93"/>
      <c r="BJ927" s="155"/>
      <c r="BK927" s="93"/>
    </row>
    <row r="928">
      <c r="A928" s="166">
        <v>44582.98408349537</v>
      </c>
      <c r="B928" s="44" t="s">
        <v>123</v>
      </c>
      <c r="C928" s="128">
        <v>882.0788061469946</v>
      </c>
      <c r="D928" s="128">
        <v>11.0</v>
      </c>
      <c r="E928" s="128">
        <v>878.3757469746159</v>
      </c>
      <c r="F928" s="44" t="s">
        <v>125</v>
      </c>
      <c r="G928" s="128">
        <v>901.0844948021045</v>
      </c>
      <c r="H928" s="128">
        <v>9.0</v>
      </c>
      <c r="I928" s="128">
        <v>896.8839755572125</v>
      </c>
      <c r="J928" s="44" t="s">
        <v>27</v>
      </c>
      <c r="K928" s="128">
        <v>1042.9707373248852</v>
      </c>
      <c r="L928" s="128">
        <v>26.0</v>
      </c>
      <c r="M928" s="128">
        <v>1041.9515788580588</v>
      </c>
      <c r="N928" s="44" t="s">
        <v>23</v>
      </c>
      <c r="O928" s="128">
        <v>1200.6198167069585</v>
      </c>
      <c r="P928" s="128">
        <v>26.0</v>
      </c>
      <c r="Q928" s="128">
        <v>1199.5425535910556</v>
      </c>
      <c r="V928" s="44" t="s">
        <v>88</v>
      </c>
      <c r="W928" s="128">
        <v>945.8597832572226</v>
      </c>
      <c r="X928" s="128">
        <v>22.0</v>
      </c>
      <c r="Y928" s="128">
        <v>948.8713764225382</v>
      </c>
      <c r="Z928" s="44" t="s">
        <v>47</v>
      </c>
      <c r="AA928" s="128">
        <v>1011.9901523830165</v>
      </c>
      <c r="AB928" s="128">
        <v>16.0</v>
      </c>
      <c r="AC928" s="128">
        <v>1013.5808390175368</v>
      </c>
      <c r="AD928" s="44" t="s">
        <v>61</v>
      </c>
      <c r="AE928" s="128">
        <v>1022.5632908875635</v>
      </c>
      <c r="AF928" s="128">
        <v>19.0</v>
      </c>
      <c r="AG928" s="128">
        <v>1024.7606541668008</v>
      </c>
      <c r="AH928" s="44" t="s">
        <v>38</v>
      </c>
      <c r="AI928" s="128">
        <v>1051.0676661694731</v>
      </c>
      <c r="AJ928" s="128">
        <v>24.0</v>
      </c>
      <c r="AK928" s="128">
        <v>1054.2680230903998</v>
      </c>
      <c r="AP928" s="128">
        <v>13.0</v>
      </c>
      <c r="AQ928" s="128">
        <v>15.0</v>
      </c>
      <c r="AT928" s="44">
        <v>927.0</v>
      </c>
      <c r="AU928" s="44"/>
      <c r="AW928" s="93"/>
      <c r="AY928" s="93"/>
      <c r="AZ928" s="93"/>
      <c r="BA928" s="93"/>
      <c r="BB928" s="155"/>
      <c r="BC928" s="93"/>
      <c r="BE928" s="93"/>
      <c r="BG928" s="93"/>
      <c r="BH928" s="93"/>
      <c r="BI928" s="93"/>
      <c r="BJ928" s="155"/>
      <c r="BK928" s="93"/>
    </row>
    <row r="929">
      <c r="A929" s="166">
        <v>44583.028679131945</v>
      </c>
      <c r="B929" s="44" t="s">
        <v>125</v>
      </c>
      <c r="C929" s="128">
        <v>896.8839755572125</v>
      </c>
      <c r="D929" s="128">
        <v>12.0</v>
      </c>
      <c r="E929" s="128">
        <v>889.4786247887545</v>
      </c>
      <c r="F929" s="44" t="s">
        <v>107</v>
      </c>
      <c r="G929" s="128">
        <v>959.5671148501247</v>
      </c>
      <c r="H929" s="128">
        <v>23.0</v>
      </c>
      <c r="I929" s="128">
        <v>956.296443755895</v>
      </c>
      <c r="J929" s="44" t="s">
        <v>47</v>
      </c>
      <c r="K929" s="128">
        <v>1013.5808390175368</v>
      </c>
      <c r="L929" s="128">
        <v>9.0</v>
      </c>
      <c r="M929" s="128">
        <v>1004.23022916807</v>
      </c>
      <c r="N929" s="44" t="s">
        <v>23</v>
      </c>
      <c r="O929" s="128">
        <v>1199.5425535910556</v>
      </c>
      <c r="P929" s="128">
        <v>32.0</v>
      </c>
      <c r="Q929" s="128">
        <v>1199.5325535910556</v>
      </c>
      <c r="V929" s="44" t="s">
        <v>88</v>
      </c>
      <c r="W929" s="128">
        <v>948.8713764225382</v>
      </c>
      <c r="X929" s="128">
        <v>22.0</v>
      </c>
      <c r="Y929" s="128">
        <v>954.3007536888044</v>
      </c>
      <c r="Z929" s="44" t="s">
        <v>61</v>
      </c>
      <c r="AA929" s="128">
        <v>1024.7606541668008</v>
      </c>
      <c r="AB929" s="128">
        <v>26.0</v>
      </c>
      <c r="AC929" s="128">
        <v>1031.4678946684778</v>
      </c>
      <c r="AD929" s="44" t="s">
        <v>27</v>
      </c>
      <c r="AE929" s="128">
        <v>1041.9515788580588</v>
      </c>
      <c r="AF929" s="128">
        <v>22.0</v>
      </c>
      <c r="AG929" s="128">
        <v>1046.9401236978224</v>
      </c>
      <c r="AH929" s="44" t="s">
        <v>38</v>
      </c>
      <c r="AI929" s="128">
        <v>1054.2680230903998</v>
      </c>
      <c r="AJ929" s="128">
        <v>17.0</v>
      </c>
      <c r="AK929" s="128">
        <v>1057.1428604826929</v>
      </c>
      <c r="AP929" s="128">
        <v>12.0</v>
      </c>
      <c r="AQ929" s="128">
        <v>16.0</v>
      </c>
      <c r="AT929" s="44">
        <v>928.0</v>
      </c>
      <c r="AU929" s="44"/>
      <c r="AW929" s="93"/>
      <c r="AY929" s="93"/>
      <c r="AZ929" s="93"/>
      <c r="BA929" s="93"/>
      <c r="BB929" s="155"/>
      <c r="BC929" s="93"/>
      <c r="BE929" s="93"/>
      <c r="BG929" s="93"/>
      <c r="BH929" s="93"/>
      <c r="BI929" s="93"/>
      <c r="BJ929" s="155"/>
      <c r="BK929" s="93"/>
    </row>
    <row r="930">
      <c r="A930" s="166">
        <v>44583.07689939815</v>
      </c>
      <c r="B930" s="44" t="s">
        <v>125</v>
      </c>
      <c r="C930" s="128">
        <v>889.4786247887545</v>
      </c>
      <c r="D930" s="128">
        <v>8.0</v>
      </c>
      <c r="E930" s="128">
        <v>889.5263355719273</v>
      </c>
      <c r="F930" s="44" t="s">
        <v>88</v>
      </c>
      <c r="G930" s="128">
        <v>954.3007536888044</v>
      </c>
      <c r="H930" s="128">
        <v>20.0</v>
      </c>
      <c r="I930" s="128">
        <v>956.3585325910298</v>
      </c>
      <c r="J930" s="44" t="s">
        <v>61</v>
      </c>
      <c r="K930" s="128">
        <v>1031.4678946684778</v>
      </c>
      <c r="L930" s="128">
        <v>30.0</v>
      </c>
      <c r="M930" s="128">
        <v>1035.2345322532742</v>
      </c>
      <c r="N930" s="44" t="s">
        <v>23</v>
      </c>
      <c r="O930" s="128">
        <v>1199.5325535910556</v>
      </c>
      <c r="P930" s="128">
        <v>27.0</v>
      </c>
      <c r="Q930" s="128">
        <v>1202.660426320861</v>
      </c>
      <c r="V930" s="44" t="s">
        <v>107</v>
      </c>
      <c r="W930" s="128">
        <v>956.296443755895</v>
      </c>
      <c r="X930" s="128">
        <v>14.0</v>
      </c>
      <c r="Y930" s="128">
        <v>953.4369169328679</v>
      </c>
      <c r="Z930" s="44" t="s">
        <v>112</v>
      </c>
      <c r="AA930" s="128">
        <v>990.3327425873156</v>
      </c>
      <c r="AB930" s="128">
        <v>13.0</v>
      </c>
      <c r="AC930" s="128">
        <v>987.2143237597178</v>
      </c>
      <c r="AD930" s="44" t="s">
        <v>27</v>
      </c>
      <c r="AE930" s="128">
        <v>1046.9401236978224</v>
      </c>
      <c r="AF930" s="128">
        <v>26.0</v>
      </c>
      <c r="AG930" s="128">
        <v>1046.1834550902356</v>
      </c>
      <c r="AH930" s="44" t="s">
        <v>38</v>
      </c>
      <c r="AI930" s="128">
        <v>1057.1428604826929</v>
      </c>
      <c r="AJ930" s="128">
        <v>18.0</v>
      </c>
      <c r="AK930" s="128">
        <v>1054.8774747409045</v>
      </c>
      <c r="AP930" s="128">
        <v>15.0</v>
      </c>
      <c r="AQ930" s="128">
        <v>13.0</v>
      </c>
      <c r="AS930" s="44" t="s">
        <v>587</v>
      </c>
      <c r="AT930" s="44">
        <v>929.0</v>
      </c>
      <c r="AU930" s="44"/>
      <c r="AW930" s="93"/>
      <c r="AY930" s="93"/>
      <c r="AZ930" s="93"/>
      <c r="BA930" s="93"/>
      <c r="BB930" s="155"/>
      <c r="BC930" s="93"/>
      <c r="BE930" s="93"/>
      <c r="BG930" s="93"/>
      <c r="BH930" s="93"/>
      <c r="BI930" s="93"/>
      <c r="BJ930" s="155"/>
      <c r="BK930" s="93"/>
    </row>
    <row r="931">
      <c r="A931" s="166">
        <v>44583.97458793981</v>
      </c>
      <c r="B931" s="44" t="s">
        <v>107</v>
      </c>
      <c r="C931" s="128">
        <v>953.4369169328679</v>
      </c>
      <c r="D931" s="128">
        <v>16.0</v>
      </c>
      <c r="E931" s="128">
        <v>955.5878544882174</v>
      </c>
      <c r="F931" s="44" t="s">
        <v>112</v>
      </c>
      <c r="G931" s="128">
        <v>987.2143237597178</v>
      </c>
      <c r="H931" s="128">
        <v>20.0</v>
      </c>
      <c r="I931" s="128">
        <v>990.5419047264381</v>
      </c>
      <c r="J931" s="44" t="s">
        <v>47</v>
      </c>
      <c r="K931" s="128">
        <v>1004.23022916807</v>
      </c>
      <c r="L931" s="128">
        <v>22.0</v>
      </c>
      <c r="M931" s="128">
        <v>1008.1616429866397</v>
      </c>
      <c r="N931" s="44" t="s">
        <v>27</v>
      </c>
      <c r="O931" s="128">
        <v>1046.1834550902356</v>
      </c>
      <c r="P931" s="128">
        <v>17.0</v>
      </c>
      <c r="Q931" s="128">
        <v>1048.3351319825754</v>
      </c>
      <c r="R931" s="44" t="s">
        <v>31</v>
      </c>
      <c r="S931" s="128">
        <v>1073.8514047416809</v>
      </c>
      <c r="T931" s="128">
        <v>36.0</v>
      </c>
      <c r="U931" s="128">
        <v>1082.2897955087017</v>
      </c>
      <c r="V931" s="44" t="s">
        <v>88</v>
      </c>
      <c r="W931" s="128">
        <v>956.3585325910298</v>
      </c>
      <c r="X931" s="128">
        <v>15.0</v>
      </c>
      <c r="Y931" s="128">
        <v>952.1782953253</v>
      </c>
      <c r="Z931" s="44" t="s">
        <v>572</v>
      </c>
      <c r="AA931" s="128">
        <v>996.9517398410024</v>
      </c>
      <c r="AB931" s="128">
        <v>7.0</v>
      </c>
      <c r="AC931" s="128">
        <v>989.9762648125593</v>
      </c>
      <c r="AD931" s="44" t="s">
        <v>110</v>
      </c>
      <c r="AE931" s="128">
        <v>1021.5282615008389</v>
      </c>
      <c r="AF931" s="128">
        <v>15.0</v>
      </c>
      <c r="AG931" s="128">
        <v>1017.1625355779802</v>
      </c>
      <c r="AH931" s="44" t="s">
        <v>61</v>
      </c>
      <c r="AI931" s="128">
        <v>1035.2345322532742</v>
      </c>
      <c r="AJ931" s="128">
        <v>22.0</v>
      </c>
      <c r="AK931" s="128">
        <v>1033.176653843901</v>
      </c>
      <c r="AL931" s="44" t="s">
        <v>38</v>
      </c>
      <c r="AM931" s="128">
        <v>1054.8774747409045</v>
      </c>
      <c r="AN931" s="128">
        <v>21.0</v>
      </c>
      <c r="AO931" s="128">
        <v>1052.4567913673093</v>
      </c>
      <c r="AP931" s="128">
        <v>17.0</v>
      </c>
      <c r="AQ931" s="128">
        <v>11.0</v>
      </c>
      <c r="AT931" s="44">
        <v>930.0</v>
      </c>
      <c r="AU931" s="44"/>
      <c r="AW931" s="93"/>
      <c r="AY931" s="93"/>
      <c r="AZ931" s="93"/>
      <c r="BA931" s="93"/>
      <c r="BB931" s="155"/>
      <c r="BC931" s="93"/>
      <c r="BE931" s="93"/>
      <c r="BG931" s="93"/>
      <c r="BH931" s="93"/>
      <c r="BI931" s="93"/>
      <c r="BJ931" s="155"/>
      <c r="BK931" s="93"/>
    </row>
    <row r="932">
      <c r="A932" s="166">
        <v>44584.01607517361</v>
      </c>
      <c r="B932" s="44" t="s">
        <v>125</v>
      </c>
      <c r="C932" s="128">
        <v>889.5263355719273</v>
      </c>
      <c r="D932" s="128">
        <v>14.0</v>
      </c>
      <c r="E932" s="128">
        <v>884.372932253984</v>
      </c>
      <c r="F932" s="44" t="s">
        <v>107</v>
      </c>
      <c r="G932" s="128">
        <v>955.5878544882174</v>
      </c>
      <c r="H932" s="128">
        <v>8.0</v>
      </c>
      <c r="I932" s="128">
        <v>948.0687583878012</v>
      </c>
      <c r="J932" s="44" t="s">
        <v>47</v>
      </c>
      <c r="K932" s="128">
        <v>1008.1616429866397</v>
      </c>
      <c r="L932" s="128">
        <v>30.0</v>
      </c>
      <c r="M932" s="128">
        <v>1007.7865798989604</v>
      </c>
      <c r="N932" s="44" t="s">
        <v>110</v>
      </c>
      <c r="O932" s="128">
        <v>1017.1625355779802</v>
      </c>
      <c r="P932" s="128">
        <v>26.0</v>
      </c>
      <c r="Q932" s="128">
        <v>1015.4302549469967</v>
      </c>
      <c r="R932" s="44" t="s">
        <v>23</v>
      </c>
      <c r="S932" s="128">
        <v>1202.660426320861</v>
      </c>
      <c r="T932" s="128">
        <v>16.0</v>
      </c>
      <c r="U932" s="128">
        <v>1197.4402694578832</v>
      </c>
      <c r="V932" s="44" t="s">
        <v>88</v>
      </c>
      <c r="W932" s="128">
        <v>952.1782953253</v>
      </c>
      <c r="X932" s="128">
        <v>20.0</v>
      </c>
      <c r="Y932" s="128">
        <v>956.1317092927667</v>
      </c>
      <c r="Z932" s="44" t="s">
        <v>112</v>
      </c>
      <c r="AA932" s="128">
        <v>990.5419047264381</v>
      </c>
      <c r="AB932" s="128">
        <v>21.0</v>
      </c>
      <c r="AC932" s="128">
        <v>994.6644518737677</v>
      </c>
      <c r="AD932" s="44" t="s">
        <v>61</v>
      </c>
      <c r="AE932" s="128">
        <v>1033.176653843901</v>
      </c>
      <c r="AF932" s="128">
        <v>20.0</v>
      </c>
      <c r="AG932" s="128">
        <v>1036.841306398697</v>
      </c>
      <c r="AH932" s="44" t="s">
        <v>27</v>
      </c>
      <c r="AI932" s="128">
        <v>1048.3351319825754</v>
      </c>
      <c r="AJ932" s="128">
        <v>24.0</v>
      </c>
      <c r="AK932" s="128">
        <v>1053.3018791152858</v>
      </c>
      <c r="AL932" s="44" t="s">
        <v>38</v>
      </c>
      <c r="AM932" s="128">
        <v>1052.4567913673093</v>
      </c>
      <c r="AN932" s="128">
        <v>19.0</v>
      </c>
      <c r="AO932" s="128">
        <v>1055.7494305650066</v>
      </c>
      <c r="AP932" s="128">
        <v>12.0</v>
      </c>
      <c r="AQ932" s="128">
        <v>16.0</v>
      </c>
      <c r="AT932" s="44">
        <v>931.0</v>
      </c>
      <c r="AU932" s="44"/>
      <c r="AW932" s="93"/>
      <c r="AY932" s="93"/>
      <c r="AZ932" s="93"/>
      <c r="BA932" s="93"/>
      <c r="BB932" s="155"/>
      <c r="BC932" s="93"/>
      <c r="BE932" s="93"/>
      <c r="BG932" s="93"/>
      <c r="BH932" s="93"/>
      <c r="BI932" s="93"/>
      <c r="BJ932" s="155"/>
      <c r="BK932" s="93"/>
    </row>
    <row r="933">
      <c r="A933" s="166">
        <v>44584.06645784722</v>
      </c>
      <c r="B933" s="44" t="s">
        <v>112</v>
      </c>
      <c r="C933" s="128">
        <v>994.6644518737677</v>
      </c>
      <c r="D933" s="128">
        <v>18.0</v>
      </c>
      <c r="E933" s="128">
        <v>996.94115307905</v>
      </c>
      <c r="F933" s="44" t="s">
        <v>47</v>
      </c>
      <c r="G933" s="128">
        <v>1007.7865798989604</v>
      </c>
      <c r="H933" s="128">
        <v>19.0</v>
      </c>
      <c r="I933" s="128">
        <v>1010.2470238447253</v>
      </c>
      <c r="J933" s="44" t="s">
        <v>110</v>
      </c>
      <c r="K933" s="128">
        <v>1015.4302549469967</v>
      </c>
      <c r="L933" s="128">
        <v>17.0</v>
      </c>
      <c r="M933" s="128">
        <v>1017.4611819571903</v>
      </c>
      <c r="N933" s="44" t="s">
        <v>27</v>
      </c>
      <c r="O933" s="128">
        <v>1053.3018791152858</v>
      </c>
      <c r="P933" s="128">
        <v>23.0</v>
      </c>
      <c r="Q933" s="128">
        <v>1056.533806954045</v>
      </c>
      <c r="V933" s="44" t="s">
        <v>107</v>
      </c>
      <c r="W933" s="128">
        <v>948.0687583878012</v>
      </c>
      <c r="X933" s="128">
        <v>16.0</v>
      </c>
      <c r="Y933" s="128">
        <v>944.7641430064865</v>
      </c>
      <c r="Z933" s="44" t="s">
        <v>88</v>
      </c>
      <c r="AA933" s="128">
        <v>956.1317092927667</v>
      </c>
      <c r="AB933" s="128">
        <v>20.0</v>
      </c>
      <c r="AC933" s="128">
        <v>953.6357318354164</v>
      </c>
      <c r="AD933" s="44" t="s">
        <v>34</v>
      </c>
      <c r="AE933" s="128">
        <v>957.4093162433566</v>
      </c>
      <c r="AF933" s="128">
        <v>17.0</v>
      </c>
      <c r="AG933" s="128">
        <v>954.2845578896806</v>
      </c>
      <c r="AH933" s="44" t="s">
        <v>23</v>
      </c>
      <c r="AI933" s="128">
        <v>1197.4402694578832</v>
      </c>
      <c r="AJ933" s="128">
        <v>28.0</v>
      </c>
      <c r="AK933" s="128">
        <v>1196.3656206502242</v>
      </c>
      <c r="AP933" s="128">
        <v>15.0</v>
      </c>
      <c r="AQ933" s="128">
        <v>13.0</v>
      </c>
      <c r="AT933" s="44">
        <v>932.0</v>
      </c>
      <c r="AU933" s="44"/>
      <c r="AW933" s="93"/>
      <c r="AY933" s="93"/>
      <c r="AZ933" s="93"/>
      <c r="BA933" s="93"/>
      <c r="BB933" s="155"/>
      <c r="BC933" s="93"/>
      <c r="BE933" s="93"/>
      <c r="BG933" s="93"/>
      <c r="BH933" s="93"/>
      <c r="BI933" s="93"/>
      <c r="BJ933" s="155"/>
      <c r="BK933" s="93"/>
    </row>
    <row r="934">
      <c r="A934" s="166">
        <v>44584.098145138894</v>
      </c>
      <c r="B934" s="44" t="s">
        <v>125</v>
      </c>
      <c r="C934" s="128">
        <v>884.372932253984</v>
      </c>
      <c r="D934" s="128">
        <v>17.0</v>
      </c>
      <c r="E934" s="128">
        <v>888.4043610177283</v>
      </c>
      <c r="F934" s="44" t="s">
        <v>34</v>
      </c>
      <c r="G934" s="128">
        <v>954.2845578896806</v>
      </c>
      <c r="H934" s="128">
        <v>21.0</v>
      </c>
      <c r="I934" s="128">
        <v>959.4379921158372</v>
      </c>
      <c r="J934" s="44" t="s">
        <v>112</v>
      </c>
      <c r="K934" s="128">
        <v>996.94115307905</v>
      </c>
      <c r="L934" s="128">
        <v>15.0</v>
      </c>
      <c r="M934" s="128">
        <v>999.3705498705935</v>
      </c>
      <c r="N934" s="44" t="s">
        <v>23</v>
      </c>
      <c r="O934" s="128">
        <v>1196.3656206502242</v>
      </c>
      <c r="P934" s="128">
        <v>30.0</v>
      </c>
      <c r="Q934" s="128">
        <v>1204.7513608687798</v>
      </c>
      <c r="V934" s="44" t="s">
        <v>88</v>
      </c>
      <c r="W934" s="128">
        <v>953.6357318354164</v>
      </c>
      <c r="X934" s="128">
        <v>18.0</v>
      </c>
      <c r="Y934" s="128">
        <v>947.533424611954</v>
      </c>
      <c r="Z934" s="44" t="s">
        <v>47</v>
      </c>
      <c r="AA934" s="128">
        <v>1010.2470238447253</v>
      </c>
      <c r="AB934" s="128">
        <v>20.0</v>
      </c>
      <c r="AC934" s="128">
        <v>1004.69584051305</v>
      </c>
      <c r="AD934" s="44" t="s">
        <v>110</v>
      </c>
      <c r="AE934" s="128">
        <v>1017.4611819571903</v>
      </c>
      <c r="AF934" s="128">
        <v>17.0</v>
      </c>
      <c r="AG934" s="128">
        <v>1010.6337956007545</v>
      </c>
      <c r="AH934" s="44" t="s">
        <v>27</v>
      </c>
      <c r="AI934" s="128">
        <v>1056.533806954045</v>
      </c>
      <c r="AJ934" s="128">
        <v>30.0</v>
      </c>
      <c r="AK934" s="128">
        <v>1055.0146838656185</v>
      </c>
      <c r="AP934" s="128">
        <v>16.0</v>
      </c>
      <c r="AQ934" s="128">
        <v>12.0</v>
      </c>
      <c r="AT934" s="44">
        <v>933.0</v>
      </c>
      <c r="AU934" s="44"/>
      <c r="AW934" s="93"/>
      <c r="AY934" s="93"/>
      <c r="AZ934" s="93"/>
      <c r="BA934" s="93"/>
      <c r="BB934" s="155"/>
      <c r="BC934" s="93"/>
      <c r="BE934" s="93"/>
      <c r="BG934" s="93"/>
      <c r="BH934" s="93"/>
      <c r="BI934" s="93"/>
      <c r="BJ934" s="155"/>
      <c r="BK934" s="93"/>
    </row>
    <row r="935">
      <c r="A935" s="166">
        <v>44584.912784050925</v>
      </c>
      <c r="B935" s="44" t="s">
        <v>100</v>
      </c>
      <c r="C935" s="128">
        <v>956.6697156411755</v>
      </c>
      <c r="D935" s="128">
        <v>13.0</v>
      </c>
      <c r="E935" s="128">
        <v>952.9132279556749</v>
      </c>
      <c r="F935" s="44" t="s">
        <v>47</v>
      </c>
      <c r="G935" s="128">
        <v>1004.69584051305</v>
      </c>
      <c r="H935" s="128">
        <v>16.0</v>
      </c>
      <c r="I935" s="128">
        <v>1001.4541223011139</v>
      </c>
      <c r="J935" s="44" t="s">
        <v>110</v>
      </c>
      <c r="K935" s="128">
        <v>1010.6337956007545</v>
      </c>
      <c r="L935" s="128">
        <v>23.0</v>
      </c>
      <c r="M935" s="128">
        <v>1008.8398883710498</v>
      </c>
      <c r="N935" s="44" t="s">
        <v>61</v>
      </c>
      <c r="O935" s="128">
        <v>1036.841306398697</v>
      </c>
      <c r="P935" s="128">
        <v>26.0</v>
      </c>
      <c r="Q935" s="128">
        <v>1035.6334195258385</v>
      </c>
      <c r="V935" s="44" t="s">
        <v>107</v>
      </c>
      <c r="W935" s="128">
        <v>944.7641430064865</v>
      </c>
      <c r="X935" s="128">
        <v>16.0</v>
      </c>
      <c r="Y935" s="128">
        <v>946.5944302187194</v>
      </c>
      <c r="Z935" s="44" t="s">
        <v>92</v>
      </c>
      <c r="AA935" s="128">
        <v>947.3682495848274</v>
      </c>
      <c r="AB935" s="128">
        <v>18.0</v>
      </c>
      <c r="AC935" s="128">
        <v>949.6072517573225</v>
      </c>
      <c r="AD935" s="44" t="s">
        <v>27</v>
      </c>
      <c r="AE935" s="128">
        <v>1055.0146838656185</v>
      </c>
      <c r="AF935" s="128">
        <v>21.0</v>
      </c>
      <c r="AG935" s="128">
        <v>1057.667908330016</v>
      </c>
      <c r="AH935" s="44" t="s">
        <v>38</v>
      </c>
      <c r="AI935" s="128">
        <v>1055.7494305650066</v>
      </c>
      <c r="AJ935" s="128">
        <v>24.0</v>
      </c>
      <c r="AK935" s="128">
        <v>1059.0269167158813</v>
      </c>
      <c r="AP935" s="128">
        <v>13.0</v>
      </c>
      <c r="AQ935" s="128">
        <v>15.0</v>
      </c>
      <c r="AT935" s="44">
        <v>934.0</v>
      </c>
      <c r="AU935" s="44"/>
      <c r="AW935" s="93"/>
      <c r="AY935" s="93"/>
      <c r="AZ935" s="93"/>
      <c r="BA935" s="93"/>
      <c r="BB935" s="155"/>
      <c r="BC935" s="93"/>
      <c r="BE935" s="93"/>
      <c r="BG935" s="93"/>
      <c r="BH935" s="93"/>
      <c r="BI935" s="93"/>
      <c r="BJ935" s="155"/>
      <c r="BK935" s="93"/>
    </row>
    <row r="936">
      <c r="A936" s="166">
        <v>44584.949103923616</v>
      </c>
      <c r="B936" s="44" t="s">
        <v>92</v>
      </c>
      <c r="C936" s="128">
        <v>949.6072517573225</v>
      </c>
      <c r="D936" s="128">
        <v>13.0</v>
      </c>
      <c r="E936" s="128">
        <v>944.4198222019122</v>
      </c>
      <c r="F936" s="44" t="s">
        <v>100</v>
      </c>
      <c r="G936" s="128">
        <v>952.9132279556749</v>
      </c>
      <c r="H936" s="128">
        <v>10.0</v>
      </c>
      <c r="I936" s="128">
        <v>946.7624931382131</v>
      </c>
      <c r="J936" s="44" t="s">
        <v>47</v>
      </c>
      <c r="K936" s="128">
        <v>1001.4541223011139</v>
      </c>
      <c r="L936" s="128">
        <v>16.0</v>
      </c>
      <c r="M936" s="128">
        <v>997.0435194028832</v>
      </c>
      <c r="N936" s="44" t="s">
        <v>110</v>
      </c>
      <c r="O936" s="128">
        <v>1008.8398883710498</v>
      </c>
      <c r="P936" s="128">
        <v>21.0</v>
      </c>
      <c r="Q936" s="128">
        <v>1005.9939041329728</v>
      </c>
      <c r="R936" s="44" t="s">
        <v>38</v>
      </c>
      <c r="S936" s="128">
        <v>1059.0269167158813</v>
      </c>
      <c r="T936" s="128">
        <v>29.0</v>
      </c>
      <c r="U936" s="128">
        <v>1058.621668225061</v>
      </c>
      <c r="V936" s="44" t="s">
        <v>107</v>
      </c>
      <c r="W936" s="128">
        <v>946.5944302187194</v>
      </c>
      <c r="X936" s="128">
        <v>26.0</v>
      </c>
      <c r="Y936" s="128">
        <v>951.843875952765</v>
      </c>
      <c r="Z936" s="44" t="s">
        <v>88</v>
      </c>
      <c r="AA936" s="128">
        <v>947.533424611954</v>
      </c>
      <c r="AB936" s="128">
        <v>18.0</v>
      </c>
      <c r="AC936" s="128">
        <v>950.244728704009</v>
      </c>
      <c r="AD936" s="44" t="s">
        <v>112</v>
      </c>
      <c r="AE936" s="128">
        <v>999.3705498705935</v>
      </c>
      <c r="AF936" s="128">
        <v>19.0</v>
      </c>
      <c r="AG936" s="128">
        <v>1002.1809308831488</v>
      </c>
      <c r="AH936" s="44" t="s">
        <v>61</v>
      </c>
      <c r="AI936" s="128">
        <v>1035.6334195258385</v>
      </c>
      <c r="AJ936" s="128">
        <v>24.0</v>
      </c>
      <c r="AK936" s="128">
        <v>1039.9273711588148</v>
      </c>
      <c r="AL936" s="44" t="s">
        <v>27</v>
      </c>
      <c r="AM936" s="128">
        <v>1057.667908330016</v>
      </c>
      <c r="AN936" s="128">
        <v>23.0</v>
      </c>
      <c r="AO936" s="128">
        <v>1061.6028258583838</v>
      </c>
      <c r="AP936" s="128">
        <v>11.0</v>
      </c>
      <c r="AQ936" s="128">
        <v>17.0</v>
      </c>
      <c r="AT936" s="44">
        <v>935.0</v>
      </c>
      <c r="AU936" s="44"/>
      <c r="AW936" s="93"/>
      <c r="AY936" s="93"/>
      <c r="AZ936" s="93"/>
      <c r="BA936" s="93"/>
      <c r="BB936" s="155"/>
      <c r="BC936" s="93"/>
      <c r="BE936" s="93"/>
      <c r="BG936" s="93"/>
      <c r="BH936" s="93"/>
      <c r="BI936" s="93"/>
      <c r="BJ936" s="155"/>
      <c r="BK936" s="93"/>
    </row>
    <row r="937">
      <c r="A937" s="166">
        <v>44584.997380127315</v>
      </c>
      <c r="B937" s="44" t="s">
        <v>92</v>
      </c>
      <c r="C937" s="128">
        <v>944.4198222019122</v>
      </c>
      <c r="D937" s="128">
        <v>26.0</v>
      </c>
      <c r="E937" s="128">
        <v>950.119351439949</v>
      </c>
      <c r="F937" s="44" t="s">
        <v>100</v>
      </c>
      <c r="G937" s="128">
        <v>946.7624931382131</v>
      </c>
      <c r="H937" s="128">
        <v>15.0</v>
      </c>
      <c r="I937" s="128">
        <v>948.7829546774024</v>
      </c>
      <c r="J937" s="44" t="s">
        <v>34</v>
      </c>
      <c r="K937" s="128">
        <v>959.4379921158372</v>
      </c>
      <c r="L937" s="128">
        <v>27.0</v>
      </c>
      <c r="M937" s="128">
        <v>965.3948056035521</v>
      </c>
      <c r="N937" s="44" t="s">
        <v>61</v>
      </c>
      <c r="O937" s="128">
        <v>1039.9273711588148</v>
      </c>
      <c r="P937" s="128">
        <v>19.0</v>
      </c>
      <c r="Q937" s="128">
        <v>1042.9425413778192</v>
      </c>
      <c r="R937" s="44" t="s">
        <v>27</v>
      </c>
      <c r="S937" s="128">
        <v>1061.6028258583838</v>
      </c>
      <c r="T937" s="128">
        <v>20.0</v>
      </c>
      <c r="U937" s="128">
        <v>1064.9108513744384</v>
      </c>
      <c r="V937" s="44" t="s">
        <v>125</v>
      </c>
      <c r="W937" s="128">
        <v>888.4043610177283</v>
      </c>
      <c r="X937" s="128">
        <v>16.0</v>
      </c>
      <c r="Y937" s="128">
        <v>883.4245214054207</v>
      </c>
      <c r="Z937" s="44" t="s">
        <v>47</v>
      </c>
      <c r="AA937" s="128">
        <v>997.0435194028832</v>
      </c>
      <c r="AB937" s="128">
        <v>21.0</v>
      </c>
      <c r="AC937" s="128">
        <v>993.1701795094915</v>
      </c>
      <c r="AD937" s="44" t="s">
        <v>112</v>
      </c>
      <c r="AE937" s="128">
        <v>1002.1809308831488</v>
      </c>
      <c r="AF937" s="128">
        <v>20.0</v>
      </c>
      <c r="AG937" s="128">
        <v>997.9576260084243</v>
      </c>
      <c r="AH937" s="44" t="s">
        <v>110</v>
      </c>
      <c r="AI937" s="128">
        <v>1005.9939041329728</v>
      </c>
      <c r="AJ937" s="128">
        <v>16.0</v>
      </c>
      <c r="AK937" s="128">
        <v>1000.4254603175029</v>
      </c>
      <c r="AL937" s="44" t="s">
        <v>38</v>
      </c>
      <c r="AM937" s="128">
        <v>1058.621668225061</v>
      </c>
      <c r="AN937" s="128">
        <v>29.0</v>
      </c>
      <c r="AO937" s="128">
        <v>1057.2665964209548</v>
      </c>
      <c r="AP937" s="128">
        <v>16.0</v>
      </c>
      <c r="AQ937" s="128">
        <v>12.0</v>
      </c>
      <c r="AT937" s="44">
        <v>936.0</v>
      </c>
      <c r="AU937" s="44"/>
      <c r="AV937" s="44" t="s">
        <v>107</v>
      </c>
      <c r="AW937" s="145">
        <v>951.84</v>
      </c>
      <c r="AX937" s="44">
        <v>19.0</v>
      </c>
      <c r="AY937" s="145">
        <v>955.01</v>
      </c>
      <c r="AZ937" s="93"/>
      <c r="BA937" s="93"/>
      <c r="BB937" s="155"/>
      <c r="BC937" s="93"/>
      <c r="BD937" s="44" t="s">
        <v>88</v>
      </c>
      <c r="BE937" s="145">
        <v>950.24</v>
      </c>
      <c r="BF937" s="44">
        <v>16.0</v>
      </c>
      <c r="BG937" s="145">
        <v>945.01</v>
      </c>
      <c r="BH937" s="93"/>
      <c r="BI937" s="93"/>
      <c r="BJ937" s="155"/>
      <c r="BK937" s="93"/>
    </row>
    <row r="938">
      <c r="A938" s="166">
        <v>44585.05080560185</v>
      </c>
      <c r="B938" s="44" t="s">
        <v>92</v>
      </c>
      <c r="C938" s="128">
        <v>950.119351439949</v>
      </c>
      <c r="D938" s="128">
        <v>20.0</v>
      </c>
      <c r="E938" s="128">
        <v>950.129351439949</v>
      </c>
      <c r="F938" s="44" t="s">
        <v>34</v>
      </c>
      <c r="G938" s="128">
        <v>965.3948056035521</v>
      </c>
      <c r="H938" s="128">
        <v>26.0</v>
      </c>
      <c r="I938" s="128">
        <v>965.4048056035521</v>
      </c>
      <c r="J938" s="44" t="s">
        <v>47</v>
      </c>
      <c r="K938" s="128">
        <v>993.1701795094915</v>
      </c>
      <c r="L938" s="128">
        <v>16.0</v>
      </c>
      <c r="M938" s="128">
        <v>993.1801795094915</v>
      </c>
      <c r="N938" s="44" t="s">
        <v>61</v>
      </c>
      <c r="O938" s="128">
        <v>1042.9425413778192</v>
      </c>
      <c r="P938" s="128">
        <v>16.0</v>
      </c>
      <c r="Q938" s="128">
        <v>1042.9525413778192</v>
      </c>
      <c r="V938" s="44" t="s">
        <v>125</v>
      </c>
      <c r="W938" s="128">
        <v>883.4245214054207</v>
      </c>
      <c r="X938" s="128">
        <v>4.0</v>
      </c>
      <c r="Y938" s="128">
        <v>883.4245214054207</v>
      </c>
      <c r="Z938" s="44" t="s">
        <v>88</v>
      </c>
      <c r="AA938" s="128">
        <v>945.01</v>
      </c>
      <c r="AB938" s="128">
        <v>12.0</v>
      </c>
      <c r="AC938" s="128">
        <v>945.01</v>
      </c>
      <c r="AD938" s="44" t="s">
        <v>38</v>
      </c>
      <c r="AE938" s="128">
        <v>1057.2665964209548</v>
      </c>
      <c r="AF938" s="128">
        <v>27.0</v>
      </c>
      <c r="AG938" s="128">
        <v>1057.2665964209548</v>
      </c>
      <c r="AH938" s="44" t="s">
        <v>27</v>
      </c>
      <c r="AI938" s="128">
        <v>1064.9108513744384</v>
      </c>
      <c r="AJ938" s="128">
        <v>28.0</v>
      </c>
      <c r="AK938" s="128">
        <v>1064.9108513744384</v>
      </c>
      <c r="AP938" s="128">
        <v>14.0</v>
      </c>
      <c r="AQ938" s="128">
        <v>14.0</v>
      </c>
      <c r="AT938" s="44">
        <v>937.0</v>
      </c>
      <c r="AU938" s="44"/>
      <c r="AW938" s="93"/>
      <c r="AY938" s="93"/>
      <c r="AZ938" s="93"/>
      <c r="BA938" s="93"/>
      <c r="BB938" s="155"/>
      <c r="BC938" s="93"/>
      <c r="BE938" s="93"/>
      <c r="BG938" s="93"/>
      <c r="BH938" s="93"/>
      <c r="BI938" s="93"/>
      <c r="BJ938" s="155"/>
      <c r="BK938" s="93"/>
    </row>
    <row r="939">
      <c r="A939" s="166">
        <v>44585.771065810186</v>
      </c>
      <c r="B939" s="44" t="s">
        <v>92</v>
      </c>
      <c r="C939" s="128">
        <v>950.129351439949</v>
      </c>
      <c r="D939" s="128">
        <v>17.0</v>
      </c>
      <c r="E939" s="128">
        <v>942.3831536781257</v>
      </c>
      <c r="F939" s="44" t="s">
        <v>112</v>
      </c>
      <c r="G939" s="128">
        <v>997.9576260084243</v>
      </c>
      <c r="H939" s="128">
        <v>13.0</v>
      </c>
      <c r="I939" s="128">
        <v>986.7038237702476</v>
      </c>
      <c r="J939" s="44"/>
      <c r="K939" s="128"/>
      <c r="L939" s="128"/>
      <c r="M939" s="128"/>
      <c r="N939" s="44"/>
      <c r="O939" s="128"/>
      <c r="P939" s="128"/>
      <c r="Q939" s="128"/>
      <c r="V939" s="44" t="s">
        <v>123</v>
      </c>
      <c r="W939" s="128">
        <v>878.3757469746159</v>
      </c>
      <c r="X939" s="128">
        <v>11.0</v>
      </c>
      <c r="Y939" s="128">
        <v>882.0862532179935</v>
      </c>
      <c r="Z939" s="44" t="s">
        <v>31</v>
      </c>
      <c r="AA939" s="128">
        <v>1082.2897955087017</v>
      </c>
      <c r="AB939" s="128">
        <v>28.0</v>
      </c>
      <c r="AC939" s="128">
        <v>1097.579289265324</v>
      </c>
      <c r="AD939" s="44"/>
      <c r="AE939" s="128"/>
      <c r="AF939" s="128"/>
      <c r="AG939" s="128"/>
      <c r="AH939" s="44"/>
      <c r="AI939" s="128"/>
      <c r="AJ939" s="128"/>
      <c r="AK939" s="128"/>
      <c r="AP939" s="128">
        <v>12.0</v>
      </c>
      <c r="AQ939" s="128">
        <v>16.0</v>
      </c>
      <c r="AS939" s="44" t="s">
        <v>268</v>
      </c>
      <c r="AT939" s="44">
        <v>938.0</v>
      </c>
      <c r="AU939" s="44"/>
      <c r="AW939" s="93"/>
      <c r="AY939" s="93"/>
      <c r="AZ939" s="93"/>
      <c r="BA939" s="93"/>
      <c r="BB939" s="155"/>
      <c r="BC939" s="93"/>
      <c r="BE939" s="93"/>
      <c r="BG939" s="93"/>
      <c r="BH939" s="93"/>
      <c r="BI939" s="93"/>
      <c r="BJ939" s="155"/>
      <c r="BK939" s="93"/>
    </row>
    <row r="940">
      <c r="A940" s="166">
        <v>44585.93021716435</v>
      </c>
      <c r="B940" s="44" t="s">
        <v>92</v>
      </c>
      <c r="C940" s="128">
        <v>942.3831536781257</v>
      </c>
      <c r="D940" s="128">
        <v>8.0</v>
      </c>
      <c r="E940" s="128">
        <v>942.9892085573958</v>
      </c>
      <c r="F940" s="44" t="s">
        <v>112</v>
      </c>
      <c r="G940" s="128">
        <v>986.7038237702476</v>
      </c>
      <c r="H940" s="128">
        <v>21.0</v>
      </c>
      <c r="I940" s="128">
        <v>990.7779314411081</v>
      </c>
      <c r="J940" s="44" t="s">
        <v>27</v>
      </c>
      <c r="K940" s="128">
        <v>1064.9108513744384</v>
      </c>
      <c r="L940" s="128">
        <v>26.0</v>
      </c>
      <c r="M940" s="128">
        <v>1070.2306888243077</v>
      </c>
      <c r="N940" s="44"/>
      <c r="O940" s="128"/>
      <c r="P940" s="128"/>
      <c r="Q940" s="128"/>
      <c r="V940" s="44" t="s">
        <v>100</v>
      </c>
      <c r="W940" s="128">
        <v>948.7829546774024</v>
      </c>
      <c r="X940" s="128">
        <v>13.0</v>
      </c>
      <c r="Y940" s="128">
        <v>944.5490584056109</v>
      </c>
      <c r="Z940" s="44" t="s">
        <v>47</v>
      </c>
      <c r="AA940" s="128">
        <v>993.1801795094915</v>
      </c>
      <c r="AB940" s="128">
        <v>14.0</v>
      </c>
      <c r="AC940" s="128">
        <v>989.1004441143415</v>
      </c>
      <c r="AD940" s="44" t="s">
        <v>38</v>
      </c>
      <c r="AE940" s="128">
        <v>1057.2665964209548</v>
      </c>
      <c r="AF940" s="128">
        <v>23.0</v>
      </c>
      <c r="AG940" s="128">
        <v>1055.580228087896</v>
      </c>
      <c r="AH940" s="44"/>
      <c r="AI940" s="128"/>
      <c r="AJ940" s="128"/>
      <c r="AK940" s="128"/>
      <c r="AP940" s="128">
        <v>15.0</v>
      </c>
      <c r="AQ940" s="128">
        <v>13.0</v>
      </c>
      <c r="AS940" s="44" t="s">
        <v>588</v>
      </c>
      <c r="AT940" s="44">
        <v>939.0</v>
      </c>
      <c r="AU940" s="44"/>
      <c r="AW940" s="93"/>
      <c r="AY940" s="93"/>
      <c r="AZ940" s="93"/>
      <c r="BA940" s="93"/>
      <c r="BB940" s="155"/>
      <c r="BC940" s="93"/>
      <c r="BE940" s="93"/>
      <c r="BG940" s="93"/>
      <c r="BH940" s="93"/>
      <c r="BI940" s="93"/>
      <c r="BJ940" s="155"/>
      <c r="BK940" s="93"/>
    </row>
    <row r="941">
      <c r="A941" s="166">
        <v>44585.98591185185</v>
      </c>
      <c r="B941" s="44" t="s">
        <v>125</v>
      </c>
      <c r="C941" s="128">
        <v>883.4245214054207</v>
      </c>
      <c r="D941" s="128">
        <v>11.0</v>
      </c>
      <c r="E941" s="128">
        <v>885.7054233461545</v>
      </c>
      <c r="F941" s="44" t="s">
        <v>92</v>
      </c>
      <c r="G941" s="128">
        <v>942.9892085573958</v>
      </c>
      <c r="H941" s="128">
        <v>14.0</v>
      </c>
      <c r="I941" s="128">
        <v>946.5252126924519</v>
      </c>
      <c r="J941" s="44" t="s">
        <v>100</v>
      </c>
      <c r="K941" s="128">
        <v>944.5490584056109</v>
      </c>
      <c r="L941" s="128">
        <v>13.0</v>
      </c>
      <c r="M941" s="128">
        <v>947.4021841954068</v>
      </c>
      <c r="N941" s="44" t="s">
        <v>27</v>
      </c>
      <c r="O941" s="128">
        <v>1070.2306888243077</v>
      </c>
      <c r="P941" s="128">
        <v>31.0</v>
      </c>
      <c r="Q941" s="128">
        <v>1084.2960125353504</v>
      </c>
      <c r="R941" s="44" t="s">
        <v>23</v>
      </c>
      <c r="S941" s="128">
        <v>1204.7513608687798</v>
      </c>
      <c r="T941" s="128">
        <v>36.0</v>
      </c>
      <c r="U941" s="128">
        <v>1222.0160052921515</v>
      </c>
      <c r="V941" s="44" t="s">
        <v>34</v>
      </c>
      <c r="W941" s="128">
        <v>965.4048056035521</v>
      </c>
      <c r="X941" s="128">
        <v>23.0</v>
      </c>
      <c r="Y941" s="128">
        <v>960.1944515756145</v>
      </c>
      <c r="Z941" s="44" t="s">
        <v>47</v>
      </c>
      <c r="AA941" s="128">
        <v>989.1004441143415</v>
      </c>
      <c r="AB941" s="128">
        <v>16.0</v>
      </c>
      <c r="AC941" s="128">
        <v>979.0518859695078</v>
      </c>
      <c r="AD941" s="44" t="s">
        <v>112</v>
      </c>
      <c r="AE941" s="128">
        <v>990.7779314411081</v>
      </c>
      <c r="AF941" s="128">
        <v>21.0</v>
      </c>
      <c r="AG941" s="128">
        <v>984.0518364047051</v>
      </c>
      <c r="AH941" s="44" t="s">
        <v>61</v>
      </c>
      <c r="AI941" s="128">
        <v>1042.9525413778192</v>
      </c>
      <c r="AJ941" s="128">
        <v>18.0</v>
      </c>
      <c r="AK941" s="128">
        <v>1033.966250268875</v>
      </c>
      <c r="AL941" s="44" t="s">
        <v>38</v>
      </c>
      <c r="AM941" s="128">
        <v>1055.580228087896</v>
      </c>
      <c r="AN941" s="128">
        <v>18.0</v>
      </c>
      <c r="AO941" s="128">
        <v>1046.5515264060145</v>
      </c>
      <c r="AP941" s="128">
        <v>19.0</v>
      </c>
      <c r="AQ941" s="128">
        <v>9.0</v>
      </c>
      <c r="AT941" s="44">
        <v>940.0</v>
      </c>
      <c r="AU941" s="44"/>
      <c r="AW941" s="93"/>
      <c r="AY941" s="93"/>
      <c r="AZ941" s="93"/>
      <c r="BA941" s="93"/>
      <c r="BB941" s="155"/>
      <c r="BC941" s="93"/>
      <c r="BE941" s="93"/>
      <c r="BG941" s="93"/>
      <c r="BH941" s="93"/>
      <c r="BI941" s="93"/>
      <c r="BJ941" s="155"/>
      <c r="BK941" s="93"/>
    </row>
    <row r="942">
      <c r="A942" s="166">
        <v>44586.0172545949</v>
      </c>
      <c r="B942" s="44" t="s">
        <v>125</v>
      </c>
      <c r="C942" s="128">
        <v>885.7054233461545</v>
      </c>
      <c r="D942" s="128">
        <v>11.0</v>
      </c>
      <c r="E942" s="128">
        <v>880.9928017114698</v>
      </c>
      <c r="F942" s="44" t="s">
        <v>112</v>
      </c>
      <c r="G942" s="128">
        <v>984.0518364047051</v>
      </c>
      <c r="H942" s="128">
        <v>17.0</v>
      </c>
      <c r="I942" s="128">
        <v>980.652638554954</v>
      </c>
      <c r="J942" s="44" t="s">
        <v>27</v>
      </c>
      <c r="K942" s="128">
        <v>1084.2960125353504</v>
      </c>
      <c r="L942" s="128">
        <v>23.0</v>
      </c>
      <c r="M942" s="128">
        <v>1082.4078320197862</v>
      </c>
      <c r="N942" s="44"/>
      <c r="O942" s="128"/>
      <c r="P942" s="128"/>
      <c r="Q942" s="128"/>
      <c r="V942" s="44" t="s">
        <v>88</v>
      </c>
      <c r="W942" s="128">
        <v>945.01</v>
      </c>
      <c r="X942" s="128">
        <v>18.0</v>
      </c>
      <c r="Y942" s="128">
        <v>947.735982292081</v>
      </c>
      <c r="Z942" s="44" t="s">
        <v>47</v>
      </c>
      <c r="AA942" s="128">
        <v>979.0518859695078</v>
      </c>
      <c r="AB942" s="128">
        <v>23.0</v>
      </c>
      <c r="AC942" s="128">
        <v>983.0447561647702</v>
      </c>
      <c r="AD942" s="44" t="s">
        <v>38</v>
      </c>
      <c r="AE942" s="128">
        <v>1046.5515264060145</v>
      </c>
      <c r="AF942" s="128">
        <v>21.0</v>
      </c>
      <c r="AG942" s="128">
        <v>1049.8326739186712</v>
      </c>
      <c r="AH942" s="44"/>
      <c r="AI942" s="128"/>
      <c r="AJ942" s="128"/>
      <c r="AK942" s="128"/>
      <c r="AP942" s="128">
        <v>13.0</v>
      </c>
      <c r="AQ942" s="128">
        <v>15.0</v>
      </c>
      <c r="AT942" s="44">
        <v>941.0</v>
      </c>
      <c r="AU942" s="44"/>
      <c r="AW942" s="93"/>
      <c r="AY942" s="93"/>
      <c r="AZ942" s="93"/>
      <c r="BA942" s="93"/>
      <c r="BB942" s="155"/>
      <c r="BC942" s="93"/>
      <c r="BE942" s="93"/>
      <c r="BG942" s="93"/>
      <c r="BH942" s="93"/>
      <c r="BI942" s="93"/>
      <c r="BJ942" s="155"/>
      <c r="BK942" s="93"/>
    </row>
    <row r="943">
      <c r="A943" s="166">
        <v>44586.6512195949</v>
      </c>
      <c r="B943" s="44" t="s">
        <v>123</v>
      </c>
      <c r="C943" s="128">
        <v>882.0862532179935</v>
      </c>
      <c r="D943" s="128">
        <v>5.0</v>
      </c>
      <c r="E943" s="128">
        <v>852.8502341359795</v>
      </c>
      <c r="F943" s="44" t="s">
        <v>112</v>
      </c>
      <c r="G943" s="128">
        <v>980.652638554954</v>
      </c>
      <c r="H943" s="128">
        <v>21.0</v>
      </c>
      <c r="I943" s="128">
        <v>973.8886576369681</v>
      </c>
      <c r="J943" s="44"/>
      <c r="K943" s="128"/>
      <c r="L943" s="128"/>
      <c r="M943" s="128"/>
      <c r="N943" s="44"/>
      <c r="O943" s="128"/>
      <c r="P943" s="128"/>
      <c r="Q943" s="128"/>
      <c r="V943" s="44" t="s">
        <v>92</v>
      </c>
      <c r="W943" s="128">
        <v>946.5252126924519</v>
      </c>
      <c r="X943" s="128">
        <v>32.0</v>
      </c>
      <c r="Y943" s="128">
        <v>980.2852148947857</v>
      </c>
      <c r="Z943" s="44" t="s">
        <v>100</v>
      </c>
      <c r="AA943" s="128">
        <v>947.4021841954068</v>
      </c>
      <c r="AB943" s="128">
        <v>11.0</v>
      </c>
      <c r="AC943" s="128">
        <v>949.642181993073</v>
      </c>
      <c r="AD943" s="44"/>
      <c r="AE943" s="128"/>
      <c r="AF943" s="128"/>
      <c r="AG943" s="128"/>
      <c r="AH943" s="44"/>
      <c r="AI943" s="128"/>
      <c r="AJ943" s="128"/>
      <c r="AK943" s="128"/>
      <c r="AP943" s="128">
        <v>9.0</v>
      </c>
      <c r="AQ943" s="128">
        <v>19.0</v>
      </c>
      <c r="AT943" s="44">
        <v>942.0</v>
      </c>
      <c r="AU943" s="44"/>
      <c r="AW943" s="93"/>
      <c r="AY943" s="93"/>
      <c r="AZ943" s="93"/>
      <c r="BA943" s="93"/>
      <c r="BB943" s="155"/>
      <c r="BC943" s="93"/>
      <c r="BE943" s="93"/>
      <c r="BG943" s="93"/>
      <c r="BH943" s="93"/>
      <c r="BI943" s="93"/>
      <c r="BJ943" s="155"/>
      <c r="BK943" s="93"/>
    </row>
    <row r="944">
      <c r="A944" s="166">
        <v>44586.9631978588</v>
      </c>
      <c r="B944" s="44" t="s">
        <v>112</v>
      </c>
      <c r="C944" s="128">
        <v>973.8886576369681</v>
      </c>
      <c r="D944" s="128">
        <v>15.0</v>
      </c>
      <c r="E944" s="128">
        <v>970.5501695902728</v>
      </c>
      <c r="F944" s="44" t="s">
        <v>92</v>
      </c>
      <c r="G944" s="128">
        <v>980.2852148947857</v>
      </c>
      <c r="H944" s="128">
        <v>16.0</v>
      </c>
      <c r="I944" s="128">
        <v>977.1412434841352</v>
      </c>
      <c r="J944" s="44" t="s">
        <v>110</v>
      </c>
      <c r="K944" s="128">
        <v>1000.4254603175029</v>
      </c>
      <c r="L944" s="128">
        <v>24.0</v>
      </c>
      <c r="M944" s="128">
        <v>998.9092133076701</v>
      </c>
      <c r="N944" s="44" t="s">
        <v>38</v>
      </c>
      <c r="O944" s="128">
        <v>1049.8326739186712</v>
      </c>
      <c r="P944" s="128">
        <v>22.0</v>
      </c>
      <c r="Q944" s="128">
        <v>1047.8313803858498</v>
      </c>
      <c r="V944" s="44" t="s">
        <v>100</v>
      </c>
      <c r="W944" s="128">
        <v>949.642181993073</v>
      </c>
      <c r="X944" s="128">
        <v>15.0</v>
      </c>
      <c r="Y944" s="128">
        <v>951.3508530061629</v>
      </c>
      <c r="Z944" s="44" t="s">
        <v>47</v>
      </c>
      <c r="AA944" s="128">
        <v>983.0447561647702</v>
      </c>
      <c r="AB944" s="128">
        <v>25.0</v>
      </c>
      <c r="AC944" s="128">
        <v>986.758061865339</v>
      </c>
      <c r="AD944" s="44" t="s">
        <v>121</v>
      </c>
      <c r="AE944" s="128">
        <v>988.5761142063564</v>
      </c>
      <c r="AF944" s="128">
        <v>8.0</v>
      </c>
      <c r="AG944" s="128">
        <v>988.736601966847</v>
      </c>
      <c r="AH944" s="44" t="s">
        <v>27</v>
      </c>
      <c r="AI944" s="128">
        <v>1082.4078320197862</v>
      </c>
      <c r="AJ944" s="128">
        <v>29.0</v>
      </c>
      <c r="AK944" s="128">
        <v>1086.825367545637</v>
      </c>
      <c r="AP944" s="128">
        <v>13.0</v>
      </c>
      <c r="AQ944" s="128">
        <v>15.0</v>
      </c>
      <c r="AT944" s="44">
        <v>943.0</v>
      </c>
      <c r="AU944" s="44"/>
      <c r="AW944" s="93"/>
      <c r="AY944" s="93"/>
      <c r="AZ944" s="93"/>
      <c r="BA944" s="93"/>
      <c r="BB944" s="155"/>
      <c r="BC944" s="93"/>
      <c r="BE944" s="93"/>
      <c r="BG944" s="93"/>
      <c r="BH944" s="93"/>
      <c r="BI944" s="93"/>
      <c r="BJ944" s="155"/>
      <c r="BK944" s="93"/>
    </row>
    <row r="945">
      <c r="A945" s="166">
        <v>44587.00004506945</v>
      </c>
      <c r="B945" s="44" t="s">
        <v>100</v>
      </c>
      <c r="C945" s="128">
        <v>951.3508530061629</v>
      </c>
      <c r="D945" s="128">
        <v>14.0</v>
      </c>
      <c r="E945" s="128">
        <v>952.7337633085508</v>
      </c>
      <c r="F945" s="44" t="s">
        <v>112</v>
      </c>
      <c r="G945" s="128">
        <v>970.5501695902728</v>
      </c>
      <c r="H945" s="128">
        <v>14.0</v>
      </c>
      <c r="I945" s="128">
        <v>971.8847824728259</v>
      </c>
      <c r="J945" s="44" t="s">
        <v>92</v>
      </c>
      <c r="K945" s="128">
        <v>977.1412434841352</v>
      </c>
      <c r="L945" s="128">
        <v>23.0</v>
      </c>
      <c r="M945" s="128">
        <v>980.3358157065051</v>
      </c>
      <c r="N945" s="44" t="s">
        <v>27</v>
      </c>
      <c r="O945" s="128">
        <v>1086.825367545637</v>
      </c>
      <c r="P945" s="128">
        <v>28.0</v>
      </c>
      <c r="Q945" s="128">
        <v>1090.913272138326</v>
      </c>
      <c r="V945" s="44" t="s">
        <v>34</v>
      </c>
      <c r="W945" s="128">
        <v>960.1944515756145</v>
      </c>
      <c r="X945" s="128">
        <v>15.0</v>
      </c>
      <c r="Y945" s="128">
        <v>957.0865786730155</v>
      </c>
      <c r="Z945" s="44" t="s">
        <v>47</v>
      </c>
      <c r="AA945" s="128">
        <v>986.758061865339</v>
      </c>
      <c r="AB945" s="128">
        <v>24.0</v>
      </c>
      <c r="AC945" s="128">
        <v>985.4692307301143</v>
      </c>
      <c r="AD945" s="44" t="s">
        <v>110</v>
      </c>
      <c r="AE945" s="128">
        <v>998.9092133076701</v>
      </c>
      <c r="AF945" s="128">
        <v>15.0</v>
      </c>
      <c r="AG945" s="128">
        <v>995.7236029349771</v>
      </c>
      <c r="AH945" s="44" t="s">
        <v>38</v>
      </c>
      <c r="AI945" s="128">
        <v>1047.8313803858498</v>
      </c>
      <c r="AJ945" s="128">
        <v>19.0</v>
      </c>
      <c r="AK945" s="128">
        <v>1045.4136947963664</v>
      </c>
      <c r="AP945" s="128">
        <v>15.0</v>
      </c>
      <c r="AQ945" s="128">
        <v>13.0</v>
      </c>
      <c r="AT945" s="44">
        <v>944.0</v>
      </c>
      <c r="AU945" s="44"/>
      <c r="AW945" s="93"/>
      <c r="AY945" s="93"/>
      <c r="AZ945" s="93"/>
      <c r="BA945" s="93"/>
      <c r="BB945" s="155"/>
      <c r="BC945" s="93"/>
      <c r="BE945" s="93"/>
      <c r="BG945" s="93"/>
      <c r="BH945" s="93"/>
      <c r="BI945" s="93"/>
      <c r="BJ945" s="155"/>
      <c r="BK945" s="93"/>
    </row>
    <row r="946">
      <c r="A946" s="166">
        <v>44587.02538415509</v>
      </c>
      <c r="B946" s="44" t="s">
        <v>112</v>
      </c>
      <c r="C946" s="128">
        <v>971.8847824728259</v>
      </c>
      <c r="D946" s="128">
        <v>19.0</v>
      </c>
      <c r="E946" s="128">
        <v>981.3769364377679</v>
      </c>
      <c r="F946" s="44" t="s">
        <v>92</v>
      </c>
      <c r="G946" s="128">
        <v>980.3358157065051</v>
      </c>
      <c r="H946" s="128">
        <v>23.0</v>
      </c>
      <c r="I946" s="128">
        <v>993.9426600083511</v>
      </c>
      <c r="J946" s="44" t="s">
        <v>27</v>
      </c>
      <c r="K946" s="128">
        <v>1090.913272138326</v>
      </c>
      <c r="L946" s="128">
        <v>25.0</v>
      </c>
      <c r="M946" s="128">
        <v>1105.814273871538</v>
      </c>
      <c r="N946" s="44"/>
      <c r="O946" s="128"/>
      <c r="P946" s="128"/>
      <c r="Q946" s="128"/>
      <c r="V946" s="44" t="s">
        <v>47</v>
      </c>
      <c r="W946" s="128">
        <v>985.4692307301143</v>
      </c>
      <c r="X946" s="128">
        <v>16.0</v>
      </c>
      <c r="Y946" s="128">
        <v>973.6556016681063</v>
      </c>
      <c r="Z946" s="44" t="s">
        <v>110</v>
      </c>
      <c r="AA946" s="128">
        <v>995.7236029349771</v>
      </c>
      <c r="AB946" s="128">
        <v>16.0</v>
      </c>
      <c r="AC946" s="128">
        <v>983.8307163844122</v>
      </c>
      <c r="AD946" s="44" t="s">
        <v>38</v>
      </c>
      <c r="AE946" s="128">
        <v>1045.4136947963664</v>
      </c>
      <c r="AF946" s="128">
        <v>14.0</v>
      </c>
      <c r="AG946" s="128">
        <v>1031.120210408939</v>
      </c>
      <c r="AH946" s="44"/>
      <c r="AI946" s="128"/>
      <c r="AJ946" s="128"/>
      <c r="AK946" s="128"/>
      <c r="AP946" s="128">
        <v>19.0</v>
      </c>
      <c r="AQ946" s="128">
        <v>9.0</v>
      </c>
      <c r="AT946" s="44">
        <v>945.0</v>
      </c>
      <c r="AU946" s="44"/>
      <c r="AW946" s="93"/>
      <c r="AY946" s="93"/>
      <c r="AZ946" s="93"/>
      <c r="BA946" s="93"/>
      <c r="BB946" s="155"/>
      <c r="BC946" s="93"/>
      <c r="BE946" s="93"/>
      <c r="BG946" s="93"/>
      <c r="BH946" s="93"/>
      <c r="BI946" s="93"/>
      <c r="BJ946" s="155"/>
      <c r="BK946" s="93"/>
    </row>
    <row r="947">
      <c r="A947" s="166">
        <v>44587.067169421294</v>
      </c>
      <c r="B947" s="44" t="s">
        <v>112</v>
      </c>
      <c r="C947" s="128">
        <v>981.3769364377679</v>
      </c>
      <c r="D947" s="128">
        <v>16.0</v>
      </c>
      <c r="E947" s="128">
        <v>975.729257661353</v>
      </c>
      <c r="F947" s="44" t="s">
        <v>110</v>
      </c>
      <c r="G947" s="128">
        <v>983.8307163844122</v>
      </c>
      <c r="H947" s="128">
        <v>12.0</v>
      </c>
      <c r="I947" s="128">
        <v>976.1733977193477</v>
      </c>
      <c r="J947" s="44" t="s">
        <v>92</v>
      </c>
      <c r="K947" s="128">
        <v>993.9426600083511</v>
      </c>
      <c r="L947" s="128">
        <v>18.0</v>
      </c>
      <c r="M947" s="128">
        <v>989.2476574498306</v>
      </c>
      <c r="N947" s="44"/>
      <c r="O947" s="128"/>
      <c r="P947" s="128"/>
      <c r="Q947" s="128"/>
      <c r="V947" s="44" t="s">
        <v>88</v>
      </c>
      <c r="W947" s="128">
        <v>947.735982292081</v>
      </c>
      <c r="X947" s="128">
        <v>23.0</v>
      </c>
      <c r="Y947" s="128">
        <v>954.7770387768285</v>
      </c>
      <c r="Z947" s="44" t="s">
        <v>100</v>
      </c>
      <c r="AA947" s="128">
        <v>952.7337633085508</v>
      </c>
      <c r="AB947" s="128">
        <v>16.0</v>
      </c>
      <c r="AC947" s="128">
        <v>956.2399228774151</v>
      </c>
      <c r="AD947" s="44" t="s">
        <v>31</v>
      </c>
      <c r="AE947" s="128">
        <v>1097.579289265324</v>
      </c>
      <c r="AF947" s="128">
        <v>25.0</v>
      </c>
      <c r="AG947" s="128">
        <v>1105.032073211712</v>
      </c>
      <c r="AH947" s="44"/>
      <c r="AI947" s="128"/>
      <c r="AJ947" s="128"/>
      <c r="AK947" s="128"/>
      <c r="AP947" s="128">
        <v>10.0</v>
      </c>
      <c r="AQ947" s="128">
        <v>17.0</v>
      </c>
      <c r="AT947" s="44">
        <v>946.0</v>
      </c>
      <c r="AU947" s="44"/>
      <c r="AW947" s="93"/>
      <c r="AY947" s="93"/>
      <c r="AZ947" s="93"/>
      <c r="BA947" s="93"/>
      <c r="BB947" s="155"/>
      <c r="BC947" s="93"/>
      <c r="BE947" s="93"/>
      <c r="BG947" s="93"/>
      <c r="BH947" s="93"/>
      <c r="BI947" s="93"/>
      <c r="BJ947" s="155"/>
      <c r="BK947" s="93"/>
    </row>
    <row r="948">
      <c r="A948" s="166">
        <v>44587.890159120376</v>
      </c>
      <c r="B948" s="44" t="s">
        <v>108</v>
      </c>
      <c r="C948" s="128">
        <v>915.8078778647113</v>
      </c>
      <c r="D948" s="128">
        <v>16.0</v>
      </c>
      <c r="E948" s="128">
        <v>921.8014560909718</v>
      </c>
      <c r="F948" s="44" t="s">
        <v>47</v>
      </c>
      <c r="G948" s="128">
        <v>973.6556016681063</v>
      </c>
      <c r="H948" s="128">
        <v>24.0</v>
      </c>
      <c r="I948" s="128">
        <v>984.6620234418458</v>
      </c>
      <c r="J948" s="44"/>
      <c r="K948" s="128"/>
      <c r="L948" s="128"/>
      <c r="M948" s="128"/>
      <c r="N948" s="44"/>
      <c r="O948" s="128"/>
      <c r="P948" s="128"/>
      <c r="Q948" s="128"/>
      <c r="V948" s="44" t="s">
        <v>123</v>
      </c>
      <c r="W948" s="128">
        <v>852.8502341359795</v>
      </c>
      <c r="X948" s="128">
        <v>10.0</v>
      </c>
      <c r="Y948" s="128">
        <v>840.5063728225325</v>
      </c>
      <c r="Z948" s="44" t="s">
        <v>92</v>
      </c>
      <c r="AA948" s="128">
        <v>989.2476574498306</v>
      </c>
      <c r="AB948" s="128">
        <v>23.0</v>
      </c>
      <c r="AC948" s="128">
        <v>984.5915187632776</v>
      </c>
      <c r="AD948" s="44"/>
      <c r="AE948" s="128"/>
      <c r="AF948" s="128"/>
      <c r="AG948" s="128"/>
      <c r="AH948" s="44"/>
      <c r="AI948" s="128"/>
      <c r="AJ948" s="128"/>
      <c r="AK948" s="128"/>
      <c r="AP948" s="128">
        <v>17.0</v>
      </c>
      <c r="AQ948" s="128">
        <v>11.0</v>
      </c>
      <c r="AT948" s="44">
        <v>947.0</v>
      </c>
      <c r="AU948" s="44"/>
      <c r="AW948" s="93"/>
      <c r="AY948" s="93"/>
      <c r="AZ948" s="93"/>
      <c r="BA948" s="93"/>
      <c r="BB948" s="155"/>
      <c r="BC948" s="93"/>
      <c r="BE948" s="93"/>
      <c r="BG948" s="93"/>
      <c r="BH948" s="93"/>
      <c r="BI948" s="93"/>
      <c r="BJ948" s="155"/>
      <c r="BK948" s="93"/>
    </row>
    <row r="949">
      <c r="A949" s="166">
        <v>44587.93758128472</v>
      </c>
      <c r="B949" s="44" t="s">
        <v>108</v>
      </c>
      <c r="C949" s="128">
        <v>921.8014560909718</v>
      </c>
      <c r="D949" s="128">
        <v>15.0</v>
      </c>
      <c r="E949" s="128">
        <v>912.6850391437019</v>
      </c>
      <c r="F949" s="44" t="s">
        <v>88</v>
      </c>
      <c r="G949" s="128">
        <v>954.7770387768285</v>
      </c>
      <c r="H949" s="128">
        <v>13.0</v>
      </c>
      <c r="I949" s="128">
        <v>944.1363937511164</v>
      </c>
      <c r="J949" s="44" t="s">
        <v>112</v>
      </c>
      <c r="K949" s="128">
        <v>975.729257661353</v>
      </c>
      <c r="L949" s="128">
        <v>27.0</v>
      </c>
      <c r="M949" s="128">
        <v>973.4863196343349</v>
      </c>
      <c r="N949" s="44"/>
      <c r="O949" s="128"/>
      <c r="P949" s="128"/>
      <c r="Q949" s="128"/>
      <c r="V949" s="44" t="s">
        <v>123</v>
      </c>
      <c r="W949" s="128">
        <v>840.5063728225325</v>
      </c>
      <c r="X949" s="128">
        <v>17.0</v>
      </c>
      <c r="Y949" s="128">
        <v>846.7773894665042</v>
      </c>
      <c r="Z949" s="44" t="s">
        <v>92</v>
      </c>
      <c r="AA949" s="128">
        <v>984.5915187632776</v>
      </c>
      <c r="AB949" s="128">
        <v>21.0</v>
      </c>
      <c r="AC949" s="128">
        <v>991.5396035029025</v>
      </c>
      <c r="AD949" s="44" t="s">
        <v>47</v>
      </c>
      <c r="AE949" s="128">
        <v>984.6620234418458</v>
      </c>
      <c r="AF949" s="128">
        <v>24.0</v>
      </c>
      <c r="AG949" s="128">
        <v>993.4429220582491</v>
      </c>
      <c r="AH949" s="44"/>
      <c r="AI949" s="128"/>
      <c r="AJ949" s="128"/>
      <c r="AK949" s="128"/>
      <c r="AP949" s="128">
        <v>11.0</v>
      </c>
      <c r="AQ949" s="128">
        <v>17.0</v>
      </c>
      <c r="AT949" s="44">
        <v>948.0</v>
      </c>
      <c r="AU949" s="44"/>
      <c r="AW949" s="93"/>
      <c r="AY949" s="93"/>
      <c r="AZ949" s="93"/>
      <c r="BA949" s="93"/>
      <c r="BB949" s="155"/>
      <c r="BC949" s="93"/>
      <c r="BE949" s="93"/>
      <c r="BG949" s="93"/>
      <c r="BH949" s="93"/>
      <c r="BI949" s="93"/>
      <c r="BJ949" s="155"/>
      <c r="BK949" s="93"/>
    </row>
    <row r="950">
      <c r="A950" s="166">
        <v>44587.994535011574</v>
      </c>
      <c r="B950" s="44" t="s">
        <v>125</v>
      </c>
      <c r="C950" s="128">
        <v>880.9928017114698</v>
      </c>
      <c r="D950" s="128">
        <v>5.0</v>
      </c>
      <c r="E950" s="128">
        <v>871.064146390219</v>
      </c>
      <c r="F950" s="44" t="s">
        <v>108</v>
      </c>
      <c r="G950" s="128">
        <v>912.6850391437019</v>
      </c>
      <c r="H950" s="128">
        <v>19.0</v>
      </c>
      <c r="I950" s="128">
        <v>908.3439674214773</v>
      </c>
      <c r="J950" s="44" t="s">
        <v>112</v>
      </c>
      <c r="K950" s="128">
        <v>973.4863196343349</v>
      </c>
      <c r="L950" s="128">
        <v>25.0</v>
      </c>
      <c r="M950" s="128">
        <v>971.2854427663003</v>
      </c>
      <c r="N950" s="44" t="s">
        <v>92</v>
      </c>
      <c r="O950" s="128">
        <v>991.5396035029025</v>
      </c>
      <c r="P950" s="128">
        <v>22.0</v>
      </c>
      <c r="Q950" s="128">
        <v>988.0102074144127</v>
      </c>
      <c r="V950" s="44" t="s">
        <v>123</v>
      </c>
      <c r="W950" s="128">
        <v>846.7773894665042</v>
      </c>
      <c r="X950" s="128">
        <v>11.0</v>
      </c>
      <c r="Y950" s="128">
        <v>847.7430716024328</v>
      </c>
      <c r="Z950" s="44" t="s">
        <v>88</v>
      </c>
      <c r="AA950" s="128">
        <v>944.1363937511164</v>
      </c>
      <c r="AB950" s="128">
        <v>25.0</v>
      </c>
      <c r="AC950" s="128">
        <v>949.9618606602963</v>
      </c>
      <c r="AD950" s="44" t="s">
        <v>110</v>
      </c>
      <c r="AE950" s="128">
        <v>976.1733977193477</v>
      </c>
      <c r="AF950" s="128">
        <v>22.0</v>
      </c>
      <c r="AG950" s="128">
        <v>980.5334414362694</v>
      </c>
      <c r="AH950" s="44" t="s">
        <v>47</v>
      </c>
      <c r="AI950" s="128">
        <v>993.4429220582491</v>
      </c>
      <c r="AJ950" s="128">
        <v>33.0</v>
      </c>
      <c r="AK950" s="128">
        <v>1002.2917292962188</v>
      </c>
      <c r="AP950" s="128">
        <v>10.0</v>
      </c>
      <c r="AQ950" s="128">
        <v>18.0</v>
      </c>
      <c r="AT950" s="44">
        <v>949.0</v>
      </c>
      <c r="AU950" s="44"/>
      <c r="AW950" s="93"/>
      <c r="AY950" s="93"/>
      <c r="AZ950" s="93"/>
      <c r="BA950" s="93"/>
      <c r="BB950" s="155"/>
      <c r="BC950" s="93"/>
      <c r="BE950" s="93"/>
      <c r="BG950" s="93"/>
      <c r="BH950" s="93"/>
      <c r="BI950" s="93"/>
      <c r="BJ950" s="155"/>
      <c r="BK950" s="93"/>
    </row>
    <row r="951">
      <c r="A951" s="166">
        <v>44588.024649768515</v>
      </c>
      <c r="B951" s="44" t="s">
        <v>125</v>
      </c>
      <c r="C951" s="128">
        <v>871.064146390219</v>
      </c>
      <c r="D951" s="128">
        <v>16.0</v>
      </c>
      <c r="E951" s="128">
        <v>873.5641919622643</v>
      </c>
      <c r="F951" s="44" t="s">
        <v>108</v>
      </c>
      <c r="G951" s="128">
        <v>908.3439674214773</v>
      </c>
      <c r="H951" s="128">
        <v>17.0</v>
      </c>
      <c r="I951" s="128">
        <v>910.8970866158951</v>
      </c>
      <c r="J951" s="44" t="s">
        <v>47</v>
      </c>
      <c r="K951" s="128">
        <v>1002.2917292962188</v>
      </c>
      <c r="L951" s="128">
        <v>27.0</v>
      </c>
      <c r="M951" s="128">
        <v>1007.2385645297555</v>
      </c>
      <c r="N951" s="44"/>
      <c r="O951" s="128"/>
      <c r="P951" s="128"/>
      <c r="Q951" s="128"/>
      <c r="V951" s="44" t="s">
        <v>123</v>
      </c>
      <c r="W951" s="128">
        <v>847.7430716024328</v>
      </c>
      <c r="X951" s="128">
        <v>8.0</v>
      </c>
      <c r="Y951" s="128">
        <v>841.7539163187207</v>
      </c>
      <c r="Z951" s="44" t="s">
        <v>88</v>
      </c>
      <c r="AA951" s="128">
        <v>949.9618606602963</v>
      </c>
      <c r="AB951" s="128">
        <v>22.0</v>
      </c>
      <c r="AC951" s="128">
        <v>947.3018476088127</v>
      </c>
      <c r="AD951" s="44" t="s">
        <v>112</v>
      </c>
      <c r="AE951" s="128">
        <v>971.2854427663003</v>
      </c>
      <c r="AF951" s="128">
        <v>27.0</v>
      </c>
      <c r="AG951" s="128">
        <v>969.9346111014959</v>
      </c>
      <c r="AH951" s="44"/>
      <c r="AI951" s="128"/>
      <c r="AJ951" s="128"/>
      <c r="AK951" s="128"/>
      <c r="AP951" s="128">
        <v>15.0</v>
      </c>
      <c r="AQ951" s="128">
        <v>13.0</v>
      </c>
      <c r="AT951" s="44">
        <v>950.0</v>
      </c>
      <c r="AU951" s="44"/>
      <c r="AW951" s="93"/>
      <c r="AY951" s="93"/>
      <c r="AZ951" s="93"/>
      <c r="BA951" s="93"/>
      <c r="BB951" s="155"/>
      <c r="BC951" s="93"/>
      <c r="BE951" s="93"/>
      <c r="BG951" s="93"/>
      <c r="BH951" s="93"/>
      <c r="BI951" s="93"/>
      <c r="BJ951" s="155"/>
      <c r="BK951" s="93"/>
    </row>
    <row r="952">
      <c r="A952" s="166">
        <v>44588.96265487268</v>
      </c>
      <c r="B952" s="44" t="s">
        <v>125</v>
      </c>
      <c r="C952" s="128">
        <v>873.5641919622643</v>
      </c>
      <c r="D952" s="128">
        <v>8.0</v>
      </c>
      <c r="E952" s="128">
        <v>864.1510456522083</v>
      </c>
      <c r="F952" s="44" t="s">
        <v>47</v>
      </c>
      <c r="G952" s="128">
        <v>1007.2385645297555</v>
      </c>
      <c r="H952" s="128">
        <v>17.0</v>
      </c>
      <c r="I952" s="128">
        <v>1001.4829730483312</v>
      </c>
      <c r="J952" s="44" t="s">
        <v>38</v>
      </c>
      <c r="K952" s="128">
        <v>1031.120210408939</v>
      </c>
      <c r="L952" s="128">
        <v>23.0</v>
      </c>
      <c r="M952" s="128">
        <v>1028.2889482004193</v>
      </c>
      <c r="N952" s="44"/>
      <c r="O952" s="128"/>
      <c r="P952" s="128"/>
      <c r="Q952" s="128"/>
      <c r="V952" s="44" t="s">
        <v>112</v>
      </c>
      <c r="W952" s="128">
        <v>969.9346111014959</v>
      </c>
      <c r="X952" s="128">
        <v>21.0</v>
      </c>
      <c r="Y952" s="128">
        <v>976.4905162254902</v>
      </c>
      <c r="Z952" s="44" t="s">
        <v>110</v>
      </c>
      <c r="AA952" s="128">
        <v>980.5334414362694</v>
      </c>
      <c r="AB952" s="128">
        <v>25.0</v>
      </c>
      <c r="AC952" s="128">
        <v>989.0261157640592</v>
      </c>
      <c r="AD952" s="44" t="s">
        <v>92</v>
      </c>
      <c r="AE952" s="128">
        <v>988.0102074144127</v>
      </c>
      <c r="AF952" s="128">
        <v>14.0</v>
      </c>
      <c r="AG952" s="128">
        <v>990.9616279626285</v>
      </c>
      <c r="AH952" s="44"/>
      <c r="AI952" s="128"/>
      <c r="AJ952" s="128"/>
      <c r="AK952" s="128"/>
      <c r="AP952" s="128">
        <v>12.0</v>
      </c>
      <c r="AQ952" s="128">
        <v>16.0</v>
      </c>
      <c r="AT952" s="44">
        <v>951.0</v>
      </c>
      <c r="AU952" s="44"/>
      <c r="AW952" s="93"/>
      <c r="AY952" s="93"/>
      <c r="AZ952" s="93"/>
      <c r="BA952" s="93"/>
      <c r="BB952" s="155"/>
      <c r="BC952" s="93"/>
      <c r="BE952" s="93"/>
      <c r="BG952" s="93"/>
      <c r="BH952" s="93"/>
      <c r="BI952" s="93"/>
      <c r="BJ952" s="155"/>
      <c r="BK952" s="93"/>
    </row>
    <row r="953">
      <c r="A953" s="166">
        <v>44588.995111041666</v>
      </c>
      <c r="B953" s="44" t="s">
        <v>125</v>
      </c>
      <c r="C953" s="128">
        <v>864.1510456522083</v>
      </c>
      <c r="D953" s="128">
        <v>13.0</v>
      </c>
      <c r="E953" s="128">
        <v>858.0075663141139</v>
      </c>
      <c r="F953" s="44" t="s">
        <v>34</v>
      </c>
      <c r="G953" s="128">
        <v>957.0865786730155</v>
      </c>
      <c r="H953" s="128">
        <v>19.0</v>
      </c>
      <c r="I953" s="128">
        <v>952.8231122195658</v>
      </c>
      <c r="J953" s="44" t="s">
        <v>38</v>
      </c>
      <c r="K953" s="128">
        <v>1028.2889482004193</v>
      </c>
      <c r="L953" s="128">
        <v>17.0</v>
      </c>
      <c r="M953" s="128">
        <v>1022.9275389157199</v>
      </c>
      <c r="N953" s="44" t="s">
        <v>27</v>
      </c>
      <c r="O953" s="128">
        <v>1105.814273871538</v>
      </c>
      <c r="P953" s="128">
        <v>20.0</v>
      </c>
      <c r="Q953" s="128">
        <v>1101.5826289477816</v>
      </c>
      <c r="V953" s="44" t="s">
        <v>112</v>
      </c>
      <c r="W953" s="128">
        <v>976.4905162254902</v>
      </c>
      <c r="X953" s="128">
        <v>21.0</v>
      </c>
      <c r="Y953" s="128">
        <v>982.4825490751634</v>
      </c>
      <c r="Z953" s="44" t="s">
        <v>110</v>
      </c>
      <c r="AA953" s="128">
        <v>989.0261157640592</v>
      </c>
      <c r="AB953" s="128">
        <v>16.0</v>
      </c>
      <c r="AC953" s="128">
        <v>992.880703924088</v>
      </c>
      <c r="AD953" s="44" t="s">
        <v>92</v>
      </c>
      <c r="AE953" s="128">
        <v>990.9616279626285</v>
      </c>
      <c r="AF953" s="128">
        <v>19.0</v>
      </c>
      <c r="AG953" s="128">
        <v>996.0583879119034</v>
      </c>
      <c r="AH953" s="44" t="s">
        <v>47</v>
      </c>
      <c r="AI953" s="128">
        <v>1001.4829730483312</v>
      </c>
      <c r="AJ953" s="128">
        <v>19.0</v>
      </c>
      <c r="AK953" s="128">
        <v>1006.5395920893543</v>
      </c>
      <c r="AP953" s="128">
        <v>12.0</v>
      </c>
      <c r="AQ953" s="128">
        <v>16.0</v>
      </c>
      <c r="AT953" s="44">
        <v>952.0</v>
      </c>
      <c r="AU953" s="44"/>
      <c r="AW953" s="93"/>
      <c r="AY953" s="93"/>
      <c r="AZ953" s="93"/>
      <c r="BA953" s="93"/>
      <c r="BB953" s="155"/>
      <c r="BC953" s="93"/>
      <c r="BE953" s="93"/>
      <c r="BG953" s="93"/>
      <c r="BH953" s="93"/>
      <c r="BI953" s="93"/>
      <c r="BJ953" s="155"/>
      <c r="BK953" s="93"/>
    </row>
    <row r="954">
      <c r="A954" s="166">
        <v>44589.041438796296</v>
      </c>
      <c r="B954" s="44" t="s">
        <v>125</v>
      </c>
      <c r="C954" s="128">
        <v>858.0075663141139</v>
      </c>
      <c r="D954" s="128">
        <v>22.0</v>
      </c>
      <c r="E954" s="128">
        <v>860.0022630091349</v>
      </c>
      <c r="F954" s="44" t="s">
        <v>110</v>
      </c>
      <c r="G954" s="128">
        <v>992.880703924088</v>
      </c>
      <c r="H954" s="128">
        <v>19.0</v>
      </c>
      <c r="I954" s="128">
        <v>993.6065046084562</v>
      </c>
      <c r="J954" s="44" t="s">
        <v>47</v>
      </c>
      <c r="K954" s="128">
        <v>1006.5395920893543</v>
      </c>
      <c r="L954" s="128">
        <v>27.0</v>
      </c>
      <c r="M954" s="128">
        <v>1008.8952411304109</v>
      </c>
      <c r="N954" s="44" t="s">
        <v>27</v>
      </c>
      <c r="O954" s="128">
        <v>1101.5826289477816</v>
      </c>
      <c r="P954" s="128">
        <v>40.0</v>
      </c>
      <c r="Q954" s="128">
        <v>1106.5064825273357</v>
      </c>
      <c r="V954" s="44" t="s">
        <v>88</v>
      </c>
      <c r="W954" s="128">
        <v>947.3018476088127</v>
      </c>
      <c r="X954" s="128">
        <v>31.0</v>
      </c>
      <c r="Y954" s="128">
        <v>945.1559501627435</v>
      </c>
      <c r="Z954" s="44" t="s">
        <v>112</v>
      </c>
      <c r="AA954" s="128">
        <v>982.4825490751634</v>
      </c>
      <c r="AB954" s="128">
        <v>36.0</v>
      </c>
      <c r="AC954" s="128">
        <v>981.2374324322342</v>
      </c>
      <c r="AD954" s="44" t="s">
        <v>92</v>
      </c>
      <c r="AE954" s="128">
        <v>996.0583879119034</v>
      </c>
      <c r="AF954" s="128">
        <v>24.0</v>
      </c>
      <c r="AG954" s="128">
        <v>992.2690269138504</v>
      </c>
      <c r="AH954" s="44" t="s">
        <v>38</v>
      </c>
      <c r="AI954" s="128">
        <v>1022.9275389157199</v>
      </c>
      <c r="AJ954" s="128">
        <v>29.0</v>
      </c>
      <c r="AK954" s="128">
        <v>1020.1079140027713</v>
      </c>
      <c r="AP954" s="128">
        <v>22.0</v>
      </c>
      <c r="AQ954" s="128">
        <v>20.0</v>
      </c>
      <c r="AT954" s="44">
        <v>953.0</v>
      </c>
      <c r="AU954" s="44"/>
      <c r="AW954" s="93"/>
      <c r="AY954" s="93"/>
      <c r="AZ954" s="93"/>
      <c r="BA954" s="93"/>
      <c r="BB954" s="155"/>
      <c r="BC954" s="93"/>
      <c r="BE954" s="93"/>
      <c r="BG954" s="93"/>
      <c r="BH954" s="93"/>
      <c r="BI954" s="93"/>
      <c r="BJ954" s="155"/>
      <c r="BK954" s="93"/>
    </row>
    <row r="955">
      <c r="A955" s="166">
        <v>44590.96225939815</v>
      </c>
      <c r="B955" s="44" t="s">
        <v>125</v>
      </c>
      <c r="C955" s="128">
        <v>860.0022630091349</v>
      </c>
      <c r="D955" s="128">
        <v>13.0</v>
      </c>
      <c r="E955" s="128">
        <v>860.0122630091349</v>
      </c>
      <c r="F955" s="44" t="s">
        <v>47</v>
      </c>
      <c r="G955" s="128">
        <v>1008.8952411304109</v>
      </c>
      <c r="H955" s="128">
        <v>29.0</v>
      </c>
      <c r="I955" s="128">
        <v>1011.8367003208924</v>
      </c>
      <c r="J955" s="44" t="s">
        <v>27</v>
      </c>
      <c r="K955" s="128">
        <v>1106.5064825273357</v>
      </c>
      <c r="L955" s="128">
        <v>43.0</v>
      </c>
      <c r="M955" s="128">
        <v>1112.7742946759784</v>
      </c>
      <c r="N955" s="44"/>
      <c r="O955" s="128"/>
      <c r="P955" s="128"/>
      <c r="Q955" s="128"/>
      <c r="V955" s="44" t="s">
        <v>107</v>
      </c>
      <c r="W955" s="128">
        <v>951.843875952765</v>
      </c>
      <c r="X955" s="128">
        <v>28.0</v>
      </c>
      <c r="Y955" s="128">
        <v>948.8093852673343</v>
      </c>
      <c r="Z955" s="44" t="s">
        <v>112</v>
      </c>
      <c r="AA955" s="128">
        <v>981.2374324322342</v>
      </c>
      <c r="AB955" s="128">
        <v>30.0</v>
      </c>
      <c r="AC955" s="128">
        <v>978.5699184489526</v>
      </c>
      <c r="AD955" s="44" t="s">
        <v>38</v>
      </c>
      <c r="AE955" s="128">
        <v>1020.1079140027713</v>
      </c>
      <c r="AF955" s="128">
        <v>28.0</v>
      </c>
      <c r="AG955" s="128">
        <v>1016.8099186714835</v>
      </c>
      <c r="AH955" s="44"/>
      <c r="AI955" s="128"/>
      <c r="AJ955" s="128"/>
      <c r="AK955" s="128"/>
      <c r="AP955" s="128">
        <v>22.0</v>
      </c>
      <c r="AQ955" s="128">
        <v>20.0</v>
      </c>
      <c r="AS955" s="44" t="s">
        <v>362</v>
      </c>
      <c r="AT955" s="44">
        <v>954.0</v>
      </c>
      <c r="AU955" s="44"/>
      <c r="AW955" s="93"/>
      <c r="AY955" s="93"/>
      <c r="AZ955" s="93"/>
      <c r="BA955" s="93"/>
      <c r="BB955" s="155"/>
      <c r="BC955" s="93"/>
      <c r="BE955" s="93"/>
      <c r="BG955" s="93"/>
      <c r="BH955" s="93"/>
      <c r="BI955" s="93"/>
      <c r="BJ955" s="155"/>
      <c r="BK955" s="93"/>
    </row>
    <row r="956">
      <c r="A956" s="166">
        <v>44591.00991366898</v>
      </c>
      <c r="B956" s="44" t="s">
        <v>125</v>
      </c>
      <c r="C956" s="128">
        <v>860.0122630091349</v>
      </c>
      <c r="D956" s="128">
        <v>12.0</v>
      </c>
      <c r="E956" s="128">
        <v>861.110889619626</v>
      </c>
      <c r="F956" s="44" t="s">
        <v>112</v>
      </c>
      <c r="G956" s="128">
        <v>978.5699184489526</v>
      </c>
      <c r="H956" s="128">
        <v>32.0</v>
      </c>
      <c r="I956" s="128">
        <v>983.3928045253137</v>
      </c>
      <c r="J956" s="44" t="s">
        <v>47</v>
      </c>
      <c r="K956" s="128">
        <v>1011.8367003208924</v>
      </c>
      <c r="L956" s="128">
        <v>17.0</v>
      </c>
      <c r="M956" s="128">
        <v>1013.4636481712287</v>
      </c>
      <c r="N956" s="44" t="s">
        <v>38</v>
      </c>
      <c r="O956" s="128">
        <v>1016.8099186714835</v>
      </c>
      <c r="P956" s="128">
        <v>21.0</v>
      </c>
      <c r="Q956" s="128">
        <v>1019.2614581342951</v>
      </c>
      <c r="V956" s="44" t="s">
        <v>123</v>
      </c>
      <c r="W956" s="128">
        <v>841.7539163187207</v>
      </c>
      <c r="X956" s="128">
        <v>10.0</v>
      </c>
      <c r="Y956" s="128">
        <v>837.7584901168947</v>
      </c>
      <c r="Z956" s="44" t="s">
        <v>88</v>
      </c>
      <c r="AA956" s="128">
        <v>945.1559501627435</v>
      </c>
      <c r="AB956" s="128">
        <v>19.0</v>
      </c>
      <c r="AC956" s="128">
        <v>942.6205817013285</v>
      </c>
      <c r="AD956" s="44" t="s">
        <v>34</v>
      </c>
      <c r="AE956" s="128">
        <v>952.8231122195658</v>
      </c>
      <c r="AF956" s="128">
        <v>24.0</v>
      </c>
      <c r="AG956" s="128">
        <v>951.3070642000995</v>
      </c>
      <c r="AH956" s="44" t="s">
        <v>27</v>
      </c>
      <c r="AI956" s="128">
        <v>1112.7742946759784</v>
      </c>
      <c r="AJ956" s="128">
        <v>23.0</v>
      </c>
      <c r="AK956" s="128">
        <v>1110.8211373586857</v>
      </c>
      <c r="AP956" s="128">
        <v>15.0</v>
      </c>
      <c r="AQ956" s="128">
        <v>13.0</v>
      </c>
      <c r="AT956" s="44">
        <v>955.0</v>
      </c>
      <c r="AU956" s="44"/>
      <c r="AW956" s="93"/>
      <c r="AY956" s="93"/>
      <c r="AZ956" s="93"/>
      <c r="BA956" s="93"/>
      <c r="BB956" s="155"/>
      <c r="BC956" s="93"/>
      <c r="BE956" s="93"/>
      <c r="BG956" s="93"/>
      <c r="BH956" s="93"/>
      <c r="BI956" s="93"/>
      <c r="BJ956" s="155"/>
      <c r="BK956" s="93"/>
    </row>
    <row r="957">
      <c r="A957" s="166">
        <v>44591.04835604166</v>
      </c>
      <c r="B957" s="44" t="s">
        <v>108</v>
      </c>
      <c r="C957" s="128">
        <v>910.8970866158951</v>
      </c>
      <c r="D957" s="128">
        <v>12.0</v>
      </c>
      <c r="E957" s="128">
        <v>913.2103643695549</v>
      </c>
      <c r="F957" s="44" t="s">
        <v>112</v>
      </c>
      <c r="G957" s="128">
        <v>983.3928045253137</v>
      </c>
      <c r="H957" s="128">
        <v>26.0</v>
      </c>
      <c r="I957" s="128">
        <v>992.1739133765141</v>
      </c>
      <c r="J957" s="44" t="s">
        <v>27</v>
      </c>
      <c r="K957" s="128">
        <v>1110.8211373586857</v>
      </c>
      <c r="L957" s="128">
        <v>23.0</v>
      </c>
      <c r="M957" s="128">
        <v>1117.7267507538256</v>
      </c>
      <c r="N957" s="44"/>
      <c r="O957" s="128"/>
      <c r="P957" s="128"/>
      <c r="Q957" s="128"/>
      <c r="V957" s="44" t="s">
        <v>88</v>
      </c>
      <c r="W957" s="128">
        <v>942.6205817013285</v>
      </c>
      <c r="X957" s="128">
        <v>16.0</v>
      </c>
      <c r="Y957" s="128">
        <v>935.7070438166033</v>
      </c>
      <c r="Z957" s="44" t="s">
        <v>47</v>
      </c>
      <c r="AA957" s="128">
        <v>1013.4636481712287</v>
      </c>
      <c r="AB957" s="128">
        <v>17.0</v>
      </c>
      <c r="AC957" s="128">
        <v>1006.6808646568819</v>
      </c>
      <c r="AD957" s="44" t="s">
        <v>38</v>
      </c>
      <c r="AE957" s="128">
        <v>1019.2614581342951</v>
      </c>
      <c r="AF957" s="128">
        <v>22.0</v>
      </c>
      <c r="AG957" s="128">
        <v>1014.9577795333671</v>
      </c>
      <c r="AH957" s="44"/>
      <c r="AI957" s="128"/>
      <c r="AJ957" s="128"/>
      <c r="AK957" s="128"/>
      <c r="AP957" s="128">
        <v>17.0</v>
      </c>
      <c r="AQ957" s="128">
        <v>11.0</v>
      </c>
      <c r="AS957" s="44" t="s">
        <v>360</v>
      </c>
      <c r="AT957" s="44">
        <v>956.0</v>
      </c>
      <c r="AU957" s="44"/>
      <c r="AW957" s="93"/>
      <c r="AY957" s="93"/>
      <c r="AZ957" s="93"/>
      <c r="BA957" s="93"/>
      <c r="BB957" s="155"/>
      <c r="BC957" s="93"/>
      <c r="BE957" s="93"/>
      <c r="BG957" s="93"/>
      <c r="BH957" s="93"/>
      <c r="BI957" s="93"/>
      <c r="BJ957" s="155"/>
      <c r="BK957" s="93"/>
    </row>
    <row r="958">
      <c r="A958" s="166">
        <v>44591.090806099535</v>
      </c>
      <c r="B958" s="44" t="s">
        <v>108</v>
      </c>
      <c r="C958" s="128">
        <v>913.2103643695549</v>
      </c>
      <c r="D958" s="128">
        <v>8.0</v>
      </c>
      <c r="E958" s="128">
        <v>907.8323342789357</v>
      </c>
      <c r="F958" s="44" t="s">
        <v>112</v>
      </c>
      <c r="G958" s="128">
        <v>992.1739133765141</v>
      </c>
      <c r="H958" s="128">
        <v>22.0</v>
      </c>
      <c r="I958" s="128">
        <v>990.4413739755372</v>
      </c>
      <c r="J958" s="44" t="s">
        <v>38</v>
      </c>
      <c r="K958" s="128">
        <v>1014.9577795333671</v>
      </c>
      <c r="L958" s="128">
        <v>18.0</v>
      </c>
      <c r="M958" s="128">
        <v>1012.0683490249631</v>
      </c>
      <c r="N958" s="44"/>
      <c r="O958" s="128"/>
      <c r="P958" s="128"/>
      <c r="Q958" s="128"/>
      <c r="V958" s="44" t="s">
        <v>125</v>
      </c>
      <c r="W958" s="128">
        <v>861.110889619626</v>
      </c>
      <c r="X958" s="128">
        <v>7.0</v>
      </c>
      <c r="Y958" s="128">
        <v>861.3199848081789</v>
      </c>
      <c r="Z958" s="44" t="s">
        <v>88</v>
      </c>
      <c r="AA958" s="128">
        <v>935.7070438166033</v>
      </c>
      <c r="AB958" s="128">
        <v>23.0</v>
      </c>
      <c r="AC958" s="128">
        <v>939.962138865513</v>
      </c>
      <c r="AD958" s="44" t="s">
        <v>27</v>
      </c>
      <c r="AE958" s="128">
        <v>1117.7267507538256</v>
      </c>
      <c r="AF958" s="128">
        <v>29.0</v>
      </c>
      <c r="AG958" s="128">
        <v>1123.262560516363</v>
      </c>
      <c r="AH958" s="44"/>
      <c r="AI958" s="128"/>
      <c r="AJ958" s="128"/>
      <c r="AK958" s="128"/>
      <c r="AP958" s="128">
        <v>13.0</v>
      </c>
      <c r="AQ958" s="128">
        <v>15.0</v>
      </c>
      <c r="AS958" s="44" t="s">
        <v>244</v>
      </c>
      <c r="AT958" s="44">
        <v>957.0</v>
      </c>
      <c r="AU958" s="44"/>
      <c r="AW958" s="93"/>
      <c r="AY958" s="93"/>
      <c r="AZ958" s="93"/>
      <c r="BA958" s="93"/>
      <c r="BB958" s="155"/>
      <c r="BC958" s="93"/>
      <c r="BE958" s="93"/>
      <c r="BG958" s="93"/>
      <c r="BH958" s="93"/>
      <c r="BI958" s="93"/>
      <c r="BJ958" s="155"/>
      <c r="BK958" s="93"/>
    </row>
    <row r="959">
      <c r="A959" s="166">
        <v>44591.987713194445</v>
      </c>
      <c r="B959" s="44" t="s">
        <v>108</v>
      </c>
      <c r="C959" s="128">
        <v>907.8323342789357</v>
      </c>
      <c r="D959" s="128">
        <v>15.0</v>
      </c>
      <c r="E959" s="128">
        <v>905.0013622959625</v>
      </c>
      <c r="F959" s="44" t="s">
        <v>88</v>
      </c>
      <c r="G959" s="128">
        <v>939.962138865513</v>
      </c>
      <c r="H959" s="128">
        <v>15.0</v>
      </c>
      <c r="I959" s="128">
        <v>937.0350195873601</v>
      </c>
      <c r="J959" s="44" t="s">
        <v>31</v>
      </c>
      <c r="K959" s="128">
        <v>1105.032073211712</v>
      </c>
      <c r="L959" s="128">
        <v>24.0</v>
      </c>
      <c r="M959" s="128">
        <v>1103.7474994657937</v>
      </c>
      <c r="N959" s="44" t="s">
        <v>27</v>
      </c>
      <c r="O959" s="128">
        <v>1123.262560516363</v>
      </c>
      <c r="P959" s="128">
        <v>16.0</v>
      </c>
      <c r="Q959" s="128">
        <v>1120.3052255234074</v>
      </c>
      <c r="V959" s="44" t="s">
        <v>123</v>
      </c>
      <c r="W959" s="128">
        <v>837.7584901168947</v>
      </c>
      <c r="X959" s="128">
        <v>8.0</v>
      </c>
      <c r="Y959" s="128">
        <v>838.4184041198843</v>
      </c>
      <c r="Z959" s="44" t="s">
        <v>112</v>
      </c>
      <c r="AA959" s="128">
        <v>990.4413739755372</v>
      </c>
      <c r="AB959" s="128">
        <v>21.0</v>
      </c>
      <c r="AC959" s="128">
        <v>993.280629107622</v>
      </c>
      <c r="AD959" s="44" t="s">
        <v>61</v>
      </c>
      <c r="AE959" s="128">
        <v>1033.966250268875</v>
      </c>
      <c r="AF959" s="128">
        <v>19.0</v>
      </c>
      <c r="AG959" s="128">
        <v>1036.317280793053</v>
      </c>
      <c r="AH959" s="44" t="s">
        <v>23</v>
      </c>
      <c r="AI959" s="128">
        <v>1222.0160052921515</v>
      </c>
      <c r="AJ959" s="128">
        <v>28.0</v>
      </c>
      <c r="AK959" s="128">
        <v>1226.1658056328993</v>
      </c>
      <c r="AP959" s="128">
        <v>13.0</v>
      </c>
      <c r="AQ959" s="128">
        <v>14.0</v>
      </c>
      <c r="AT959" s="44">
        <v>958.0</v>
      </c>
      <c r="AU959" s="44"/>
      <c r="AW959" s="93"/>
      <c r="AY959" s="93"/>
      <c r="AZ959" s="93"/>
      <c r="BA959" s="93"/>
      <c r="BB959" s="155"/>
      <c r="BC959" s="93"/>
      <c r="BE959" s="93"/>
      <c r="BG959" s="93"/>
      <c r="BH959" s="93"/>
      <c r="BI959" s="93"/>
      <c r="BJ959" s="155"/>
      <c r="BK959" s="93"/>
    </row>
    <row r="960">
      <c r="A960" s="166">
        <v>44592.021149374996</v>
      </c>
      <c r="B960" s="44" t="s">
        <v>108</v>
      </c>
      <c r="C960" s="128">
        <v>905.0013622959625</v>
      </c>
      <c r="D960" s="128">
        <v>12.0</v>
      </c>
      <c r="E960" s="128">
        <v>907.0880310982873</v>
      </c>
      <c r="F960" s="44" t="s">
        <v>88</v>
      </c>
      <c r="G960" s="128">
        <v>937.0350195873601</v>
      </c>
      <c r="H960" s="128">
        <v>22.0</v>
      </c>
      <c r="I960" s="128">
        <v>944.1028806904781</v>
      </c>
      <c r="J960" s="44" t="s">
        <v>112</v>
      </c>
      <c r="K960" s="128">
        <v>993.280629107622</v>
      </c>
      <c r="L960" s="128">
        <v>28.0</v>
      </c>
      <c r="M960" s="128">
        <v>1003.1260992021793</v>
      </c>
      <c r="N960" s="44"/>
      <c r="O960" s="128"/>
      <c r="P960" s="128"/>
      <c r="Q960" s="128"/>
      <c r="V960" s="44" t="s">
        <v>123</v>
      </c>
      <c r="W960" s="128">
        <v>838.4184041198843</v>
      </c>
      <c r="X960" s="128">
        <v>21.0</v>
      </c>
      <c r="Y960" s="128">
        <v>834.6368983276296</v>
      </c>
      <c r="Z960" s="44" t="s">
        <v>125</v>
      </c>
      <c r="AA960" s="128">
        <v>861.3199848081789</v>
      </c>
      <c r="AB960" s="128">
        <v>16.0</v>
      </c>
      <c r="AC960" s="128">
        <v>854.6438134690654</v>
      </c>
      <c r="AD960" s="44" t="s">
        <v>27</v>
      </c>
      <c r="AE960" s="128">
        <v>1120.3052255234074</v>
      </c>
      <c r="AF960" s="128">
        <v>15.0</v>
      </c>
      <c r="AG960" s="128">
        <v>1111.7629026547754</v>
      </c>
      <c r="AH960" s="44"/>
      <c r="AI960" s="128"/>
      <c r="AJ960" s="128"/>
      <c r="AK960" s="128"/>
      <c r="AP960" s="128">
        <v>16.0</v>
      </c>
      <c r="AQ960" s="128">
        <v>12.0</v>
      </c>
      <c r="AT960" s="44">
        <v>959.0</v>
      </c>
      <c r="AU960" s="44"/>
      <c r="AW960" s="93"/>
      <c r="AY960" s="93"/>
      <c r="AZ960" s="93"/>
      <c r="BA960" s="93"/>
      <c r="BB960" s="155"/>
      <c r="BC960" s="93"/>
      <c r="BE960" s="93"/>
      <c r="BG960" s="93"/>
      <c r="BH960" s="93"/>
      <c r="BI960" s="93"/>
      <c r="BJ960" s="155"/>
      <c r="BK960" s="93"/>
    </row>
    <row r="961">
      <c r="A961" s="166">
        <v>44592.96238334491</v>
      </c>
      <c r="B961" s="44" t="s">
        <v>34</v>
      </c>
      <c r="C961" s="128">
        <v>951.3070642000995</v>
      </c>
      <c r="D961" s="128">
        <v>27.0</v>
      </c>
      <c r="E961" s="128">
        <v>958.6230501002174</v>
      </c>
      <c r="F961" s="44" t="s">
        <v>100</v>
      </c>
      <c r="G961" s="128">
        <v>956.2399228774151</v>
      </c>
      <c r="H961" s="128">
        <v>22.0</v>
      </c>
      <c r="I961" s="128">
        <v>961.44244016226</v>
      </c>
      <c r="J961" s="44" t="s">
        <v>92</v>
      </c>
      <c r="K961" s="128">
        <v>992.2690269138504</v>
      </c>
      <c r="L961" s="128">
        <v>22.0</v>
      </c>
      <c r="M961" s="128">
        <v>997.282925603796</v>
      </c>
      <c r="N961" s="44" t="s">
        <v>112</v>
      </c>
      <c r="O961" s="128">
        <v>1003.1260992021793</v>
      </c>
      <c r="P961" s="128">
        <v>16.0</v>
      </c>
      <c r="Q961" s="128">
        <v>1005.593697327271</v>
      </c>
      <c r="V961" s="44" t="s">
        <v>123</v>
      </c>
      <c r="W961" s="128">
        <v>834.6368983276296</v>
      </c>
      <c r="X961" s="128">
        <v>8.0</v>
      </c>
      <c r="Y961" s="128">
        <v>826.0879606321724</v>
      </c>
      <c r="Z961" s="44" t="s">
        <v>88</v>
      </c>
      <c r="AA961" s="128">
        <v>944.1028806904781</v>
      </c>
      <c r="AB961" s="128">
        <v>15.0</v>
      </c>
      <c r="AC961" s="128">
        <v>937.6302892733937</v>
      </c>
      <c r="AD961" s="44" t="s">
        <v>38</v>
      </c>
      <c r="AE961" s="128">
        <v>1012.0683490249631</v>
      </c>
      <c r="AF961" s="128">
        <v>23.0</v>
      </c>
      <c r="AG961" s="128">
        <v>1008.6288077535645</v>
      </c>
      <c r="AH961" s="44" t="s">
        <v>27</v>
      </c>
      <c r="AI961" s="128">
        <v>1111.7629026547754</v>
      </c>
      <c r="AJ961" s="128">
        <v>28.0</v>
      </c>
      <c r="AK961" s="128">
        <v>1110.2239730387157</v>
      </c>
      <c r="AP961" s="128">
        <v>16.0</v>
      </c>
      <c r="AQ961" s="128">
        <v>12.0</v>
      </c>
      <c r="AT961" s="44">
        <v>960.0</v>
      </c>
      <c r="AU961" s="44"/>
      <c r="AW961" s="93"/>
      <c r="AY961" s="93"/>
      <c r="AZ961" s="93"/>
      <c r="BA961" s="93"/>
      <c r="BB961" s="155"/>
      <c r="BC961" s="93"/>
      <c r="BE961" s="93"/>
      <c r="BG961" s="93"/>
      <c r="BH961" s="93"/>
      <c r="BI961" s="93"/>
      <c r="BJ961" s="155"/>
      <c r="BK961" s="93"/>
    </row>
    <row r="962">
      <c r="A962" s="166">
        <v>44593.00167576389</v>
      </c>
      <c r="B962" s="44" t="s">
        <v>108</v>
      </c>
      <c r="C962" s="128">
        <v>907.0880310982873</v>
      </c>
      <c r="D962" s="128">
        <v>26.0</v>
      </c>
      <c r="E962" s="128">
        <v>919.9977783943582</v>
      </c>
      <c r="F962" s="44" t="s">
        <v>88</v>
      </c>
      <c r="G962" s="128">
        <v>937.6302892733937</v>
      </c>
      <c r="H962" s="128">
        <v>23.0</v>
      </c>
      <c r="I962" s="128">
        <v>947.5487159968858</v>
      </c>
      <c r="J962" s="44" t="s">
        <v>34</v>
      </c>
      <c r="K962" s="128">
        <v>958.6230501002174</v>
      </c>
      <c r="L962" s="128">
        <v>30.0</v>
      </c>
      <c r="M962" s="128">
        <v>974.0874454970403</v>
      </c>
      <c r="N962" s="44" t="s">
        <v>92</v>
      </c>
      <c r="O962" s="128">
        <v>997.282925603796</v>
      </c>
      <c r="P962" s="128">
        <v>14.0</v>
      </c>
      <c r="Q962" s="128">
        <v>998.99035618741</v>
      </c>
      <c r="V962" s="44" t="s">
        <v>123</v>
      </c>
      <c r="W962" s="128">
        <v>826.0879606321724</v>
      </c>
      <c r="X962" s="128">
        <v>8.0</v>
      </c>
      <c r="Y962" s="128">
        <v>809.5548318936408</v>
      </c>
      <c r="Z962" s="44" t="s">
        <v>125</v>
      </c>
      <c r="AA962" s="128">
        <v>854.6438134690654</v>
      </c>
      <c r="AB962" s="128">
        <v>15.0</v>
      </c>
      <c r="AC962" s="128">
        <v>843.4316399567861</v>
      </c>
      <c r="AD962" s="44" t="s">
        <v>38</v>
      </c>
      <c r="AE962" s="128">
        <v>1008.6288077535645</v>
      </c>
      <c r="AF962" s="128">
        <v>24.0</v>
      </c>
      <c r="AG962" s="128">
        <v>1003.1045110041039</v>
      </c>
      <c r="AH962" s="44" t="s">
        <v>27</v>
      </c>
      <c r="AI962" s="128">
        <v>1110.2239730387157</v>
      </c>
      <c r="AJ962" s="128">
        <v>23.0</v>
      </c>
      <c r="AK962" s="128">
        <v>1103.4935720389874</v>
      </c>
      <c r="AP962" s="128">
        <v>20.0</v>
      </c>
      <c r="AQ962" s="128">
        <v>8.0</v>
      </c>
      <c r="AT962" s="44">
        <v>961.0</v>
      </c>
      <c r="AU962" s="44"/>
      <c r="AW962" s="93"/>
      <c r="AY962" s="93"/>
      <c r="AZ962" s="93"/>
      <c r="BA962" s="93"/>
      <c r="BB962" s="155"/>
      <c r="BC962" s="93"/>
      <c r="BE962" s="93"/>
      <c r="BG962" s="93"/>
      <c r="BH962" s="93"/>
      <c r="BI962" s="93"/>
      <c r="BJ962" s="155"/>
      <c r="BK962" s="93"/>
    </row>
    <row r="963">
      <c r="A963" s="166">
        <v>44593.751768692135</v>
      </c>
      <c r="B963" s="44" t="s">
        <v>108</v>
      </c>
      <c r="C963" s="128">
        <v>919.9977783943582</v>
      </c>
      <c r="D963" s="128">
        <v>19.0</v>
      </c>
      <c r="E963" s="128">
        <v>913.6850090850703</v>
      </c>
      <c r="F963" s="44" t="s">
        <v>582</v>
      </c>
      <c r="G963" s="128">
        <v>957.243167393625</v>
      </c>
      <c r="H963" s="128">
        <v>8.0</v>
      </c>
      <c r="I963" s="128">
        <v>939.555936702913</v>
      </c>
      <c r="J963" s="44"/>
      <c r="K963" s="128"/>
      <c r="L963" s="128"/>
      <c r="M963" s="128"/>
      <c r="N963" s="44"/>
      <c r="O963" s="128"/>
      <c r="P963" s="128"/>
      <c r="Q963" s="128"/>
      <c r="V963" s="44" t="s">
        <v>123</v>
      </c>
      <c r="W963" s="128">
        <v>809.5548318936408</v>
      </c>
      <c r="X963" s="128">
        <v>14.0</v>
      </c>
      <c r="Y963" s="128">
        <v>818.2786403501034</v>
      </c>
      <c r="Z963" s="44" t="s">
        <v>112</v>
      </c>
      <c r="AA963" s="128">
        <v>1005.593697327271</v>
      </c>
      <c r="AB963" s="128">
        <v>24.0</v>
      </c>
      <c r="AC963" s="128">
        <v>1020.8698888708084</v>
      </c>
      <c r="AD963" s="44"/>
      <c r="AE963" s="128"/>
      <c r="AF963" s="128"/>
      <c r="AG963" s="128"/>
      <c r="AH963" s="44"/>
      <c r="AI963" s="128"/>
      <c r="AJ963" s="128"/>
      <c r="AK963" s="128"/>
      <c r="AP963" s="128">
        <v>11.0</v>
      </c>
      <c r="AQ963" s="128">
        <v>17.0</v>
      </c>
      <c r="AT963" s="44">
        <v>962.0</v>
      </c>
      <c r="AU963" s="44"/>
      <c r="AW963" s="93"/>
      <c r="AY963" s="93"/>
      <c r="AZ963" s="93"/>
      <c r="BA963" s="93"/>
      <c r="BB963" s="155"/>
      <c r="BC963" s="93"/>
      <c r="BE963" s="93"/>
      <c r="BG963" s="93"/>
      <c r="BH963" s="93"/>
      <c r="BI963" s="93"/>
      <c r="BJ963" s="155"/>
      <c r="BK963" s="93"/>
    </row>
    <row r="964">
      <c r="A964" s="166">
        <v>44593.94588837963</v>
      </c>
      <c r="B964" s="44" t="s">
        <v>88</v>
      </c>
      <c r="C964" s="128">
        <v>947.5487159968858</v>
      </c>
      <c r="D964" s="128">
        <v>21.0</v>
      </c>
      <c r="E964" s="128">
        <v>943.6701039374328</v>
      </c>
      <c r="F964" s="44" t="s">
        <v>100</v>
      </c>
      <c r="G964" s="128">
        <v>961.44244016226</v>
      </c>
      <c r="H964" s="128">
        <v>11.0</v>
      </c>
      <c r="I964" s="128">
        <v>951.6461749842928</v>
      </c>
      <c r="J964" s="44" t="s">
        <v>27</v>
      </c>
      <c r="K964" s="128">
        <v>1103.4935720389874</v>
      </c>
      <c r="L964" s="128">
        <v>16.0</v>
      </c>
      <c r="M964" s="128">
        <v>1096.1684492764075</v>
      </c>
      <c r="N964" s="44"/>
      <c r="O964" s="128"/>
      <c r="P964" s="128"/>
      <c r="Q964" s="128"/>
      <c r="V964" s="44" t="s">
        <v>110</v>
      </c>
      <c r="W964" s="128">
        <v>993.6065046084562</v>
      </c>
      <c r="X964" s="128">
        <v>17.0</v>
      </c>
      <c r="Y964" s="128">
        <v>999.28341489792</v>
      </c>
      <c r="Z964" s="44" t="s">
        <v>38</v>
      </c>
      <c r="AA964" s="128">
        <v>1003.1045110041039</v>
      </c>
      <c r="AB964" s="128">
        <v>18.0</v>
      </c>
      <c r="AC964" s="128">
        <v>1009.3162978269627</v>
      </c>
      <c r="AD964" s="44" t="s">
        <v>47</v>
      </c>
      <c r="AE964" s="128">
        <v>1006.6808646568819</v>
      </c>
      <c r="AF964" s="128">
        <v>23.0</v>
      </c>
      <c r="AG964" s="128">
        <v>1015.7921675445593</v>
      </c>
      <c r="AH964" s="44"/>
      <c r="AI964" s="128"/>
      <c r="AJ964" s="128"/>
      <c r="AK964" s="128"/>
      <c r="AP964" s="128">
        <v>12.0</v>
      </c>
      <c r="AQ964" s="128">
        <v>16.0</v>
      </c>
      <c r="AS964" s="44" t="s">
        <v>232</v>
      </c>
      <c r="AT964" s="44">
        <v>963.0</v>
      </c>
      <c r="AU964" s="44"/>
      <c r="AW964" s="93"/>
      <c r="AY964" s="93"/>
      <c r="AZ964" s="93"/>
      <c r="BA964" s="93"/>
      <c r="BB964" s="155"/>
      <c r="BC964" s="93"/>
      <c r="BE964" s="93"/>
      <c r="BG964" s="93"/>
      <c r="BH964" s="93"/>
      <c r="BI964" s="93"/>
      <c r="BJ964" s="155"/>
      <c r="BK964" s="93"/>
    </row>
    <row r="965">
      <c r="A965" s="166">
        <v>44593.990956168986</v>
      </c>
      <c r="B965" s="44" t="s">
        <v>88</v>
      </c>
      <c r="C965" s="128">
        <v>943.6701039374328</v>
      </c>
      <c r="D965" s="128">
        <v>22.0</v>
      </c>
      <c r="E965" s="128">
        <v>940.6607819985467</v>
      </c>
      <c r="F965" s="44" t="s">
        <v>100</v>
      </c>
      <c r="G965" s="128">
        <v>951.6461749842928</v>
      </c>
      <c r="H965" s="128">
        <v>12.0</v>
      </c>
      <c r="I965" s="128">
        <v>945.2681806669431</v>
      </c>
      <c r="J965" s="44" t="s">
        <v>34</v>
      </c>
      <c r="K965" s="128">
        <v>974.0874454970403</v>
      </c>
      <c r="L965" s="128">
        <v>25.0</v>
      </c>
      <c r="M965" s="128">
        <v>971.9534634890739</v>
      </c>
      <c r="N965" s="44" t="s">
        <v>110</v>
      </c>
      <c r="O965" s="128">
        <v>999.28341489792</v>
      </c>
      <c r="P965" s="128">
        <v>20.0</v>
      </c>
      <c r="Q965" s="128">
        <v>995.3998256631123</v>
      </c>
      <c r="R965" s="44" t="s">
        <v>47</v>
      </c>
      <c r="S965" s="128">
        <v>1015.7921675445593</v>
      </c>
      <c r="T965" s="128">
        <v>18.0</v>
      </c>
      <c r="U965" s="128">
        <v>1011.1970550435693</v>
      </c>
      <c r="V965" s="44" t="s">
        <v>125</v>
      </c>
      <c r="W965" s="128">
        <v>843.4316399567861</v>
      </c>
      <c r="X965" s="128">
        <v>12.0</v>
      </c>
      <c r="Y965" s="128">
        <v>845.0620892493512</v>
      </c>
      <c r="Z965" s="44" t="s">
        <v>108</v>
      </c>
      <c r="AA965" s="128">
        <v>913.6850090850703</v>
      </c>
      <c r="AB965" s="128">
        <v>13.0</v>
      </c>
      <c r="AC965" s="128">
        <v>915.146556067445</v>
      </c>
      <c r="AD965" s="44" t="s">
        <v>38</v>
      </c>
      <c r="AE965" s="128">
        <v>1009.3162978269627</v>
      </c>
      <c r="AF965" s="128">
        <v>34.0</v>
      </c>
      <c r="AG965" s="128">
        <v>1017.3500168026021</v>
      </c>
      <c r="AH965" s="44" t="s">
        <v>112</v>
      </c>
      <c r="AI965" s="128">
        <v>1020.8698888708084</v>
      </c>
      <c r="AJ965" s="128">
        <v>20.0</v>
      </c>
      <c r="AK965" s="128">
        <v>1024.2046597740018</v>
      </c>
      <c r="AL965" s="44" t="s">
        <v>27</v>
      </c>
      <c r="AM965" s="128">
        <v>1096.1684492764075</v>
      </c>
      <c r="AN965" s="128">
        <v>27.0</v>
      </c>
      <c r="AO965" s="128">
        <v>1101.707963122635</v>
      </c>
      <c r="AP965" s="128">
        <v>12.0</v>
      </c>
      <c r="AQ965" s="128">
        <v>16.0</v>
      </c>
      <c r="AS965" s="44" t="s">
        <v>589</v>
      </c>
      <c r="AT965" s="44">
        <v>964.0</v>
      </c>
      <c r="AU965" s="44"/>
      <c r="AW965" s="93"/>
      <c r="AY965" s="93"/>
      <c r="AZ965" s="93"/>
      <c r="BA965" s="93"/>
      <c r="BB965" s="155"/>
      <c r="BC965" s="93"/>
      <c r="BE965" s="93"/>
      <c r="BG965" s="93"/>
      <c r="BH965" s="93"/>
      <c r="BI965" s="93"/>
      <c r="BJ965" s="155"/>
      <c r="BK965" s="93"/>
    </row>
    <row r="966">
      <c r="A966" s="166">
        <v>44594.02573125</v>
      </c>
      <c r="B966" s="44" t="s">
        <v>88</v>
      </c>
      <c r="C966" s="128">
        <v>940.6607819985467</v>
      </c>
      <c r="D966" s="128">
        <v>17.0</v>
      </c>
      <c r="E966" s="128">
        <v>935.5756321353801</v>
      </c>
      <c r="F966" s="44" t="s">
        <v>100</v>
      </c>
      <c r="G966" s="128">
        <v>945.2681806669431</v>
      </c>
      <c r="H966" s="128">
        <v>16.0</v>
      </c>
      <c r="I966" s="128">
        <v>939.7427002290846</v>
      </c>
      <c r="J966" s="44" t="s">
        <v>34</v>
      </c>
      <c r="K966" s="128">
        <v>971.9534634890739</v>
      </c>
      <c r="L966" s="128">
        <v>20.0</v>
      </c>
      <c r="M966" s="128">
        <v>967.9714738142817</v>
      </c>
      <c r="N966" s="44" t="s">
        <v>112</v>
      </c>
      <c r="O966" s="128">
        <v>1024.2046597740018</v>
      </c>
      <c r="P966" s="128">
        <v>17.0</v>
      </c>
      <c r="Q966" s="128">
        <v>1018.7972797498192</v>
      </c>
      <c r="V966" s="44" t="s">
        <v>125</v>
      </c>
      <c r="W966" s="128">
        <v>845.0620892493512</v>
      </c>
      <c r="X966" s="128">
        <v>13.0</v>
      </c>
      <c r="Y966" s="128">
        <v>846.8443664773362</v>
      </c>
      <c r="Z966" s="44" t="s">
        <v>108</v>
      </c>
      <c r="AA966" s="128">
        <v>915.146556067445</v>
      </c>
      <c r="AB966" s="128">
        <v>11.0</v>
      </c>
      <c r="AC966" s="128">
        <v>915.4286969356752</v>
      </c>
      <c r="AD966" s="44" t="s">
        <v>38</v>
      </c>
      <c r="AE966" s="128">
        <v>1017.3500168026021</v>
      </c>
      <c r="AF966" s="128">
        <v>33.0</v>
      </c>
      <c r="AG966" s="128">
        <v>1026.20592224363</v>
      </c>
      <c r="AH966" s="44" t="s">
        <v>27</v>
      </c>
      <c r="AI966" s="128">
        <v>1101.707963122635</v>
      </c>
      <c r="AJ966" s="128">
        <v>34.0</v>
      </c>
      <c r="AK966" s="128">
        <v>1110.7876395853916</v>
      </c>
      <c r="AP966" s="128">
        <v>10.0</v>
      </c>
      <c r="AQ966" s="128">
        <v>18.0</v>
      </c>
      <c r="AS966" s="44" t="s">
        <v>360</v>
      </c>
      <c r="AT966" s="44">
        <v>965.0</v>
      </c>
      <c r="AU966" s="44"/>
      <c r="AW966" s="93"/>
      <c r="AY966" s="93"/>
      <c r="AZ966" s="93"/>
      <c r="BA966" s="93"/>
      <c r="BB966" s="155"/>
      <c r="BC966" s="93"/>
      <c r="BE966" s="93"/>
      <c r="BG966" s="93"/>
      <c r="BH966" s="93"/>
      <c r="BI966" s="93"/>
      <c r="BJ966" s="155"/>
      <c r="BK966" s="93"/>
    </row>
    <row r="967">
      <c r="A967" s="166">
        <v>44594.67472703704</v>
      </c>
      <c r="B967" s="44" t="s">
        <v>123</v>
      </c>
      <c r="C967" s="128">
        <v>818.2786403501034</v>
      </c>
      <c r="D967" s="128">
        <v>12.0</v>
      </c>
      <c r="E967" s="128">
        <v>810.0162752376301</v>
      </c>
      <c r="F967" s="44" t="s">
        <v>38</v>
      </c>
      <c r="G967" s="128">
        <v>1026.20592224363</v>
      </c>
      <c r="H967" s="128">
        <v>19.0</v>
      </c>
      <c r="I967" s="128">
        <v>1020.4682873561034</v>
      </c>
      <c r="J967" s="44"/>
      <c r="K967" s="128"/>
      <c r="L967" s="128"/>
      <c r="M967" s="128"/>
      <c r="N967" s="44"/>
      <c r="O967" s="128"/>
      <c r="P967" s="128"/>
      <c r="Q967" s="128"/>
      <c r="V967" s="44" t="s">
        <v>100</v>
      </c>
      <c r="W967" s="128">
        <v>939.7427002290846</v>
      </c>
      <c r="X967" s="128">
        <v>19.0</v>
      </c>
      <c r="Y967" s="128">
        <v>947.2622298102569</v>
      </c>
      <c r="Z967" s="44" t="s">
        <v>112</v>
      </c>
      <c r="AA967" s="128">
        <v>1018.7972797498192</v>
      </c>
      <c r="AB967" s="128">
        <v>18.0</v>
      </c>
      <c r="AC967" s="128">
        <v>1025.277750168647</v>
      </c>
      <c r="AD967" s="44"/>
      <c r="AE967" s="128"/>
      <c r="AF967" s="128"/>
      <c r="AG967" s="128"/>
      <c r="AH967" s="44"/>
      <c r="AI967" s="128"/>
      <c r="AJ967" s="128"/>
      <c r="AK967" s="128"/>
      <c r="AP967" s="128">
        <v>12.0</v>
      </c>
      <c r="AQ967" s="128">
        <v>16.0</v>
      </c>
      <c r="AS967" s="44" t="s">
        <v>268</v>
      </c>
      <c r="AT967" s="44">
        <v>966.0</v>
      </c>
      <c r="AU967" s="44"/>
      <c r="AW967" s="93"/>
      <c r="AY967" s="93"/>
      <c r="AZ967" s="93"/>
      <c r="BA967" s="93"/>
      <c r="BB967" s="155"/>
      <c r="BC967" s="93"/>
      <c r="BE967" s="93"/>
      <c r="BG967" s="93"/>
      <c r="BH967" s="93"/>
      <c r="BI967" s="93"/>
      <c r="BJ967" s="155"/>
      <c r="BK967" s="93"/>
    </row>
    <row r="968">
      <c r="A968" s="166">
        <v>44594.936383252316</v>
      </c>
      <c r="B968" s="44" t="s">
        <v>90</v>
      </c>
      <c r="C968" s="128">
        <v>1000.0</v>
      </c>
      <c r="D968" s="128">
        <v>9.0</v>
      </c>
      <c r="E968" s="128">
        <v>989.8382851803258</v>
      </c>
      <c r="F968" s="44" t="s">
        <v>47</v>
      </c>
      <c r="G968" s="128">
        <v>1011.1970550435693</v>
      </c>
      <c r="H968" s="128">
        <v>24.0</v>
      </c>
      <c r="I968" s="128">
        <v>1008.9114680109576</v>
      </c>
      <c r="J968" s="44" t="s">
        <v>112</v>
      </c>
      <c r="K968" s="128">
        <v>1025.277750168647</v>
      </c>
      <c r="L968" s="128">
        <v>16.0</v>
      </c>
      <c r="M968" s="128">
        <v>1018.7250520209328</v>
      </c>
      <c r="N968" s="44"/>
      <c r="O968" s="128"/>
      <c r="P968" s="128"/>
      <c r="Q968" s="128"/>
      <c r="V968" s="44" t="s">
        <v>100</v>
      </c>
      <c r="W968" s="128">
        <v>947.2622298102569</v>
      </c>
      <c r="X968" s="128">
        <v>17.0</v>
      </c>
      <c r="Y968" s="128">
        <v>952.6523726780198</v>
      </c>
      <c r="Z968" s="44" t="s">
        <v>110</v>
      </c>
      <c r="AA968" s="128">
        <v>995.3998256631123</v>
      </c>
      <c r="AB968" s="128">
        <v>23.0</v>
      </c>
      <c r="AC968" s="128">
        <v>1003.6766315563175</v>
      </c>
      <c r="AD968" s="44" t="s">
        <v>27</v>
      </c>
      <c r="AE968" s="128">
        <v>1110.7876395853916</v>
      </c>
      <c r="AF968" s="128">
        <v>18.0</v>
      </c>
      <c r="AG968" s="128">
        <v>1116.1206908244237</v>
      </c>
      <c r="AH968" s="44"/>
      <c r="AI968" s="128"/>
      <c r="AJ968" s="128"/>
      <c r="AK968" s="128"/>
      <c r="AP968" s="128">
        <v>11.0</v>
      </c>
      <c r="AQ968" s="128">
        <v>17.0</v>
      </c>
      <c r="AS968" s="44" t="s">
        <v>229</v>
      </c>
      <c r="AT968" s="44">
        <v>967.0</v>
      </c>
      <c r="AU968" s="44"/>
      <c r="AW968" s="93"/>
      <c r="AY968" s="93"/>
      <c r="AZ968" s="93"/>
      <c r="BA968" s="93"/>
      <c r="BB968" s="155"/>
      <c r="BC968" s="93"/>
      <c r="BE968" s="93"/>
      <c r="BG968" s="93"/>
      <c r="BH968" s="93"/>
      <c r="BI968" s="93"/>
      <c r="BJ968" s="155"/>
      <c r="BK968" s="93"/>
    </row>
    <row r="969">
      <c r="A969" s="166">
        <v>44594.976396087965</v>
      </c>
      <c r="B969" s="44" t="s">
        <v>125</v>
      </c>
      <c r="C969" s="128">
        <v>846.8443664773362</v>
      </c>
      <c r="D969" s="128">
        <v>13.0</v>
      </c>
      <c r="E969" s="128">
        <v>839.6066314088337</v>
      </c>
      <c r="F969" s="44" t="s">
        <v>110</v>
      </c>
      <c r="G969" s="128">
        <v>1003.6766315563175</v>
      </c>
      <c r="H969" s="128">
        <v>19.0</v>
      </c>
      <c r="I969" s="128">
        <v>998.0063122387332</v>
      </c>
      <c r="J969" s="44" t="s">
        <v>47</v>
      </c>
      <c r="K969" s="128">
        <v>1008.9114680109576</v>
      </c>
      <c r="L969" s="128">
        <v>19.0</v>
      </c>
      <c r="M969" s="128">
        <v>1003.2220421275314</v>
      </c>
      <c r="N969" s="44" t="s">
        <v>27</v>
      </c>
      <c r="O969" s="128">
        <v>1116.1206908244237</v>
      </c>
      <c r="P969" s="128">
        <v>27.0</v>
      </c>
      <c r="Q969" s="128">
        <v>1113.7181710939367</v>
      </c>
      <c r="V969" s="44" t="s">
        <v>100</v>
      </c>
      <c r="W969" s="128">
        <v>952.6523726780198</v>
      </c>
      <c r="X969" s="128">
        <v>14.0</v>
      </c>
      <c r="Y969" s="128">
        <v>955.4470505443103</v>
      </c>
      <c r="Z969" s="44" t="s">
        <v>34</v>
      </c>
      <c r="AA969" s="128">
        <v>967.9714738142817</v>
      </c>
      <c r="AB969" s="128">
        <v>24.0</v>
      </c>
      <c r="AC969" s="128">
        <v>975.0579115839938</v>
      </c>
      <c r="AD969" s="44" t="s">
        <v>112</v>
      </c>
      <c r="AE969" s="128">
        <v>1018.7250520209328</v>
      </c>
      <c r="AF969" s="128">
        <v>20.0</v>
      </c>
      <c r="AG969" s="128">
        <v>1023.8498027680489</v>
      </c>
      <c r="AH969" s="44" t="s">
        <v>38</v>
      </c>
      <c r="AI969" s="128">
        <v>1020.4682873561034</v>
      </c>
      <c r="AJ969" s="128">
        <v>22.0</v>
      </c>
      <c r="AK969" s="128">
        <v>1026.4624209729848</v>
      </c>
      <c r="AP969" s="128">
        <v>12.0</v>
      </c>
      <c r="AQ969" s="128">
        <v>16.0</v>
      </c>
      <c r="AS969" s="44" t="s">
        <v>266</v>
      </c>
      <c r="AT969" s="44">
        <v>968.0</v>
      </c>
      <c r="AU969" s="44"/>
      <c r="AW969" s="93"/>
      <c r="AY969" s="93"/>
      <c r="AZ969" s="93"/>
      <c r="BA969" s="93"/>
      <c r="BB969" s="155"/>
      <c r="BC969" s="93"/>
      <c r="BE969" s="93"/>
      <c r="BG969" s="93"/>
      <c r="BH969" s="93"/>
      <c r="BI969" s="93"/>
      <c r="BJ969" s="155"/>
      <c r="BK969" s="93"/>
    </row>
    <row r="970">
      <c r="A970" s="166">
        <v>44595.008391979165</v>
      </c>
      <c r="B970" s="44" t="s">
        <v>125</v>
      </c>
      <c r="C970" s="128">
        <v>839.6066314088337</v>
      </c>
      <c r="D970" s="128">
        <v>12.0</v>
      </c>
      <c r="E970" s="128">
        <v>832.8893790231514</v>
      </c>
      <c r="F970" s="44" t="s">
        <v>34</v>
      </c>
      <c r="G970" s="128">
        <v>975.0579115839938</v>
      </c>
      <c r="H970" s="128">
        <v>14.0</v>
      </c>
      <c r="I970" s="128">
        <v>968.2918150752205</v>
      </c>
      <c r="J970" s="44" t="s">
        <v>38</v>
      </c>
      <c r="K970" s="128">
        <v>1026.4624209729848</v>
      </c>
      <c r="L970" s="128">
        <v>15.0</v>
      </c>
      <c r="M970" s="128">
        <v>1019.9386927150153</v>
      </c>
      <c r="N970" s="44" t="s">
        <v>27</v>
      </c>
      <c r="O970" s="128">
        <v>1113.7181710939367</v>
      </c>
      <c r="P970" s="128">
        <v>31.0</v>
      </c>
      <c r="Q970" s="128">
        <v>1113.7081710939367</v>
      </c>
      <c r="V970" s="44" t="s">
        <v>88</v>
      </c>
      <c r="W970" s="128">
        <v>935.5756321353801</v>
      </c>
      <c r="X970" s="128">
        <v>19.0</v>
      </c>
      <c r="Y970" s="128">
        <v>941.0211788043689</v>
      </c>
      <c r="Z970" s="44" t="s">
        <v>110</v>
      </c>
      <c r="AA970" s="128">
        <v>998.0063122387332</v>
      </c>
      <c r="AB970" s="128">
        <v>21.0</v>
      </c>
      <c r="AC970" s="128">
        <v>1004.0015014703176</v>
      </c>
      <c r="AD970" s="44" t="s">
        <v>47</v>
      </c>
      <c r="AE970" s="128">
        <v>1003.2220421275314</v>
      </c>
      <c r="AF970" s="128">
        <v>15.0</v>
      </c>
      <c r="AG970" s="128">
        <v>1006.6994224069136</v>
      </c>
      <c r="AH970" s="44" t="s">
        <v>112</v>
      </c>
      <c r="AI970" s="128">
        <v>1023.8498027680489</v>
      </c>
      <c r="AJ970" s="128">
        <v>19.0</v>
      </c>
      <c r="AK970" s="128">
        <v>1028.9316865880935</v>
      </c>
      <c r="AP970" s="128">
        <v>12.0</v>
      </c>
      <c r="AQ970" s="128">
        <v>16.0</v>
      </c>
      <c r="AS970" s="44" t="s">
        <v>235</v>
      </c>
      <c r="AT970" s="44">
        <v>969.0</v>
      </c>
      <c r="AU970" s="44"/>
      <c r="AW970" s="93"/>
      <c r="AY970" s="93"/>
      <c r="AZ970" s="93"/>
      <c r="BA970" s="93"/>
      <c r="BB970" s="155"/>
      <c r="BC970" s="93"/>
      <c r="BE970" s="93"/>
      <c r="BG970" s="93"/>
      <c r="BH970" s="93"/>
      <c r="BI970" s="93"/>
      <c r="BJ970" s="155"/>
      <c r="BK970" s="93"/>
    </row>
    <row r="971">
      <c r="A971" s="166">
        <v>44595.93925555555</v>
      </c>
      <c r="B971" s="44" t="s">
        <v>107</v>
      </c>
      <c r="C971" s="128">
        <v>948.8093852673343</v>
      </c>
      <c r="D971" s="128">
        <v>19.0</v>
      </c>
      <c r="E971" s="128">
        <v>944.3566028667253</v>
      </c>
      <c r="F971" s="44" t="s">
        <v>100</v>
      </c>
      <c r="G971" s="128">
        <v>955.4470505443103</v>
      </c>
      <c r="H971" s="128">
        <v>10.0</v>
      </c>
      <c r="I971" s="128">
        <v>946.2084022065019</v>
      </c>
      <c r="J971" s="44" t="s">
        <v>112</v>
      </c>
      <c r="K971" s="128">
        <v>1028.9316865880935</v>
      </c>
      <c r="L971" s="128">
        <v>18.0</v>
      </c>
      <c r="M971" s="128">
        <v>1023.6231173265109</v>
      </c>
      <c r="N971" s="44"/>
      <c r="O971" s="128"/>
      <c r="P971" s="128"/>
      <c r="Q971" s="128"/>
      <c r="V971" s="44" t="s">
        <v>88</v>
      </c>
      <c r="W971" s="128">
        <v>941.0211788043689</v>
      </c>
      <c r="X971" s="128">
        <v>25.0</v>
      </c>
      <c r="Y971" s="128">
        <v>950.5825600509165</v>
      </c>
      <c r="Z971" s="44" t="s">
        <v>92</v>
      </c>
      <c r="AA971" s="128">
        <v>998.99035618741</v>
      </c>
      <c r="AB971" s="128">
        <v>15.0</v>
      </c>
      <c r="AC971" s="128">
        <v>1002.9350208624666</v>
      </c>
      <c r="AD971" s="44" t="s">
        <v>47</v>
      </c>
      <c r="AE971" s="128">
        <v>1006.6994224069136</v>
      </c>
      <c r="AF971" s="128">
        <v>18.0</v>
      </c>
      <c r="AG971" s="128">
        <v>1012.1933764853095</v>
      </c>
      <c r="AH971" s="44"/>
      <c r="AI971" s="128"/>
      <c r="AJ971" s="128"/>
      <c r="AK971" s="128"/>
      <c r="AP971" s="128">
        <v>12.0</v>
      </c>
      <c r="AQ971" s="128">
        <v>16.0</v>
      </c>
      <c r="AS971" s="44" t="s">
        <v>232</v>
      </c>
      <c r="AT971" s="44">
        <v>970.0</v>
      </c>
      <c r="AU971" s="44"/>
      <c r="AW971" s="93"/>
      <c r="AY971" s="93"/>
      <c r="AZ971" s="93"/>
      <c r="BA971" s="93"/>
      <c r="BB971" s="155"/>
      <c r="BC971" s="93"/>
      <c r="BE971" s="93"/>
      <c r="BG971" s="93"/>
      <c r="BH971" s="93"/>
      <c r="BI971" s="93"/>
      <c r="BJ971" s="155"/>
      <c r="BK971" s="93"/>
    </row>
    <row r="972">
      <c r="A972" s="166">
        <v>44595.985451747685</v>
      </c>
      <c r="B972" s="44" t="s">
        <v>108</v>
      </c>
      <c r="C972" s="128">
        <v>915.4286969356752</v>
      </c>
      <c r="D972" s="128">
        <v>14.0</v>
      </c>
      <c r="E972" s="128">
        <v>916.3574321751529</v>
      </c>
      <c r="F972" s="44" t="s">
        <v>88</v>
      </c>
      <c r="G972" s="128">
        <v>950.5825600509165</v>
      </c>
      <c r="H972" s="128">
        <v>21.0</v>
      </c>
      <c r="I972" s="128">
        <v>952.5858985364474</v>
      </c>
      <c r="J972" s="44" t="s">
        <v>92</v>
      </c>
      <c r="K972" s="128">
        <v>1002.9350208624666</v>
      </c>
      <c r="L972" s="128">
        <v>22.0</v>
      </c>
      <c r="M972" s="128">
        <v>1005.0038955818055</v>
      </c>
      <c r="N972" s="44" t="s">
        <v>112</v>
      </c>
      <c r="O972" s="128">
        <v>1023.6231173265109</v>
      </c>
      <c r="P972" s="128">
        <v>14.0</v>
      </c>
      <c r="Q972" s="128">
        <v>1024.3298837211294</v>
      </c>
      <c r="R972" s="44" t="s">
        <v>23</v>
      </c>
      <c r="S972" s="128">
        <v>1226.1658056328993</v>
      </c>
      <c r="T972" s="128">
        <v>36.0</v>
      </c>
      <c r="U972" s="128">
        <v>1230.4580907939333</v>
      </c>
      <c r="V972" s="44" t="s">
        <v>34</v>
      </c>
      <c r="W972" s="128">
        <v>968.2918150752205</v>
      </c>
      <c r="X972" s="128">
        <v>16.0</v>
      </c>
      <c r="Y972" s="128">
        <v>965.2392164474139</v>
      </c>
      <c r="Z972" s="44" t="s">
        <v>110</v>
      </c>
      <c r="AA972" s="128">
        <v>1004.0015014703176</v>
      </c>
      <c r="AB972" s="128">
        <v>21.0</v>
      </c>
      <c r="AC972" s="128">
        <v>1001.7151042607888</v>
      </c>
      <c r="AD972" s="44" t="s">
        <v>47</v>
      </c>
      <c r="AE972" s="128">
        <v>1012.1933764853095</v>
      </c>
      <c r="AF972" s="128">
        <v>34.0</v>
      </c>
      <c r="AG972" s="128">
        <v>1012.0610384771793</v>
      </c>
      <c r="AH972" s="44" t="s">
        <v>38</v>
      </c>
      <c r="AI972" s="128">
        <v>1019.9386927150153</v>
      </c>
      <c r="AJ972" s="128">
        <v>15.0</v>
      </c>
      <c r="AK972" s="128">
        <v>1016.6286769103735</v>
      </c>
      <c r="AL972" s="44" t="s">
        <v>27</v>
      </c>
      <c r="AM972" s="128">
        <v>1113.7081710939367</v>
      </c>
      <c r="AN972" s="128">
        <v>28.0</v>
      </c>
      <c r="AO972" s="128">
        <v>1112.489520744044</v>
      </c>
      <c r="AP972" s="128">
        <v>15.0</v>
      </c>
      <c r="AQ972" s="128">
        <v>13.0</v>
      </c>
      <c r="AS972" s="44" t="s">
        <v>590</v>
      </c>
      <c r="AT972" s="44">
        <v>971.0</v>
      </c>
      <c r="AU972" s="44"/>
      <c r="AV972" s="44" t="s">
        <v>100</v>
      </c>
      <c r="AW972" s="45">
        <v>946.2084022065019</v>
      </c>
      <c r="AX972" s="44">
        <v>23.0</v>
      </c>
      <c r="AY972" s="145">
        <v>948.55</v>
      </c>
      <c r="AZ972" s="93"/>
      <c r="BA972" s="93"/>
      <c r="BB972" s="155"/>
      <c r="BC972" s="93"/>
      <c r="BD972" s="44" t="s">
        <v>107</v>
      </c>
      <c r="BE972" s="45">
        <v>944.3566028667253</v>
      </c>
      <c r="BF972" s="44">
        <v>14.0</v>
      </c>
      <c r="BG972" s="145">
        <v>941.0</v>
      </c>
      <c r="BH972" s="93"/>
      <c r="BI972" s="93"/>
      <c r="BJ972" s="155"/>
      <c r="BK972" s="93"/>
    </row>
    <row r="973">
      <c r="A973" s="166">
        <v>44596.027119074075</v>
      </c>
      <c r="B973" s="44" t="s">
        <v>108</v>
      </c>
      <c r="C973" s="128">
        <v>916.3574321751529</v>
      </c>
      <c r="D973" s="128">
        <v>14.0</v>
      </c>
      <c r="E973" s="128">
        <v>917.9291604193251</v>
      </c>
      <c r="F973" s="44" t="s">
        <v>88</v>
      </c>
      <c r="G973" s="128">
        <v>952.5858985364474</v>
      </c>
      <c r="H973" s="128">
        <v>14.0</v>
      </c>
      <c r="I973" s="128">
        <v>953.9632015287496</v>
      </c>
      <c r="J973" s="44" t="s">
        <v>34</v>
      </c>
      <c r="K973" s="128">
        <v>965.2392164474139</v>
      </c>
      <c r="L973" s="128">
        <v>26.0</v>
      </c>
      <c r="M973" s="128">
        <v>970.5587419018991</v>
      </c>
      <c r="N973" s="44" t="s">
        <v>112</v>
      </c>
      <c r="O973" s="128">
        <v>1024.3298837211294</v>
      </c>
      <c r="P973" s="128">
        <v>25.0</v>
      </c>
      <c r="Q973" s="128">
        <v>1029.1126920391107</v>
      </c>
      <c r="R973" s="44" t="s">
        <v>23</v>
      </c>
      <c r="S973" s="128">
        <v>1230.4580907939333</v>
      </c>
      <c r="T973" s="128">
        <v>32.0</v>
      </c>
      <c r="U973" s="128">
        <v>1237.4067257849924</v>
      </c>
      <c r="V973" s="44" t="s">
        <v>107</v>
      </c>
      <c r="W973" s="128">
        <v>941.0</v>
      </c>
      <c r="X973" s="128">
        <v>17.0</v>
      </c>
      <c r="Y973" s="128">
        <v>936.873562594</v>
      </c>
      <c r="Z973" s="44" t="s">
        <v>110</v>
      </c>
      <c r="AA973" s="128">
        <v>1001.7151042607888</v>
      </c>
      <c r="AB973" s="128">
        <v>19.0</v>
      </c>
      <c r="AC973" s="128">
        <v>998.0524486761725</v>
      </c>
      <c r="AD973" s="44" t="s">
        <v>47</v>
      </c>
      <c r="AE973" s="128">
        <v>1012.0610384771793</v>
      </c>
      <c r="AF973" s="128">
        <v>15.0</v>
      </c>
      <c r="AG973" s="128">
        <v>1007.0396262846016</v>
      </c>
      <c r="AH973" s="44" t="s">
        <v>38</v>
      </c>
      <c r="AI973" s="128">
        <v>1016.6286769103735</v>
      </c>
      <c r="AJ973" s="128">
        <v>17.0</v>
      </c>
      <c r="AK973" s="128">
        <v>1012.263500495087</v>
      </c>
      <c r="AL973" s="44" t="s">
        <v>27</v>
      </c>
      <c r="AM973" s="128">
        <v>1112.489520744044</v>
      </c>
      <c r="AN973" s="128">
        <v>22.0</v>
      </c>
      <c r="AO973" s="128">
        <v>1109.6652023425247</v>
      </c>
      <c r="AP973" s="128">
        <v>17.0</v>
      </c>
      <c r="AQ973" s="128">
        <v>11.0</v>
      </c>
      <c r="AS973" s="44" t="s">
        <v>295</v>
      </c>
      <c r="AT973" s="44">
        <v>972.0</v>
      </c>
      <c r="AU973" s="44"/>
      <c r="AW973" s="93"/>
      <c r="AY973" s="93"/>
      <c r="AZ973" s="93"/>
      <c r="BA973" s="93"/>
      <c r="BB973" s="155"/>
      <c r="BC973" s="93"/>
      <c r="BE973" s="93"/>
      <c r="BG973" s="93"/>
      <c r="BH973" s="93"/>
      <c r="BI973" s="93"/>
      <c r="BJ973" s="155"/>
      <c r="BK973" s="93"/>
    </row>
    <row r="974">
      <c r="A974" s="166">
        <v>44596.686995208336</v>
      </c>
      <c r="B974" s="44" t="s">
        <v>108</v>
      </c>
      <c r="C974" s="128">
        <v>917.9291604193251</v>
      </c>
      <c r="D974" s="128">
        <v>12.0</v>
      </c>
      <c r="E974" s="128">
        <v>905.0490187737744</v>
      </c>
      <c r="F974" s="44" t="s">
        <v>112</v>
      </c>
      <c r="G974" s="128">
        <v>1029.1126920391107</v>
      </c>
      <c r="H974" s="128">
        <v>17.0</v>
      </c>
      <c r="I974" s="128">
        <v>1019.9928336846614</v>
      </c>
      <c r="J974" s="44"/>
      <c r="K974" s="128"/>
      <c r="L974" s="128"/>
      <c r="M974" s="128"/>
      <c r="N974" s="44"/>
      <c r="O974" s="128"/>
      <c r="P974" s="128"/>
      <c r="Q974" s="128"/>
      <c r="V974" s="44" t="s">
        <v>123</v>
      </c>
      <c r="W974" s="128">
        <v>810.0162752376301</v>
      </c>
      <c r="X974" s="128">
        <v>13.0</v>
      </c>
      <c r="Y974" s="128">
        <v>816.8218066433195</v>
      </c>
      <c r="Z974" s="44" t="s">
        <v>31</v>
      </c>
      <c r="AA974" s="128">
        <v>1103.7474994657937</v>
      </c>
      <c r="AB974" s="128">
        <v>26.0</v>
      </c>
      <c r="AC974" s="128">
        <v>1118.9419680601043</v>
      </c>
      <c r="AD974" s="44"/>
      <c r="AE974" s="128"/>
      <c r="AF974" s="128"/>
      <c r="AG974" s="128"/>
      <c r="AH974" s="44"/>
      <c r="AI974" s="128"/>
      <c r="AJ974" s="128"/>
      <c r="AK974" s="128"/>
      <c r="AP974" s="128">
        <v>12.0</v>
      </c>
      <c r="AQ974" s="128">
        <v>16.0</v>
      </c>
      <c r="AT974" s="44">
        <v>973.0</v>
      </c>
      <c r="AU974" s="44"/>
      <c r="AW974" s="93"/>
      <c r="AY974" s="93"/>
      <c r="AZ974" s="93"/>
      <c r="BA974" s="93"/>
      <c r="BB974" s="155"/>
      <c r="BC974" s="93"/>
      <c r="BE974" s="93"/>
      <c r="BG974" s="93"/>
      <c r="BH974" s="93"/>
      <c r="BI974" s="93"/>
      <c r="BJ974" s="155"/>
      <c r="BK974" s="93"/>
    </row>
    <row r="975">
      <c r="A975" s="166">
        <v>44596.84162859953</v>
      </c>
      <c r="B975" s="44" t="s">
        <v>108</v>
      </c>
      <c r="C975" s="128">
        <v>905.0490187737744</v>
      </c>
      <c r="D975" s="128">
        <v>15.0</v>
      </c>
      <c r="E975" s="128">
        <v>889.5293189014893</v>
      </c>
      <c r="F975" s="44" t="s">
        <v>112</v>
      </c>
      <c r="G975" s="128">
        <v>1019.9928336846614</v>
      </c>
      <c r="H975" s="128">
        <v>11.0</v>
      </c>
      <c r="I975" s="128">
        <v>996.5125335569464</v>
      </c>
      <c r="J975" s="44"/>
      <c r="K975" s="128"/>
      <c r="L975" s="128"/>
      <c r="M975" s="128"/>
      <c r="N975" s="44"/>
      <c r="O975" s="128"/>
      <c r="P975" s="128"/>
      <c r="Q975" s="128"/>
      <c r="V975" s="44" t="s">
        <v>123</v>
      </c>
      <c r="W975" s="128">
        <v>816.8218066433195</v>
      </c>
      <c r="X975" s="128">
        <v>5.0</v>
      </c>
      <c r="Y975" s="128">
        <v>816.8318066433195</v>
      </c>
      <c r="Z975" s="44" t="s">
        <v>31</v>
      </c>
      <c r="AA975" s="128">
        <v>1118.9419680601043</v>
      </c>
      <c r="AB975" s="128">
        <v>41.0</v>
      </c>
      <c r="AC975" s="128">
        <v>1164.1917829791525</v>
      </c>
      <c r="AD975" s="44"/>
      <c r="AE975" s="128"/>
      <c r="AF975" s="128"/>
      <c r="AG975" s="128"/>
      <c r="AH975" s="44"/>
      <c r="AI975" s="128"/>
      <c r="AJ975" s="128"/>
      <c r="AK975" s="128"/>
      <c r="AP975" s="128">
        <v>7.0</v>
      </c>
      <c r="AQ975" s="128">
        <v>21.0</v>
      </c>
      <c r="AT975" s="44">
        <v>974.0</v>
      </c>
      <c r="AU975" s="44"/>
      <c r="AW975" s="93"/>
      <c r="AY975" s="93"/>
      <c r="AZ975" s="93"/>
      <c r="BA975" s="93"/>
      <c r="BB975" s="155"/>
      <c r="BC975" s="93"/>
      <c r="BE975" s="93"/>
      <c r="BG975" s="93"/>
      <c r="BH975" s="93"/>
      <c r="BI975" s="93"/>
      <c r="BJ975" s="155"/>
      <c r="BK975" s="93"/>
    </row>
    <row r="976">
      <c r="A976" s="166">
        <v>44596.946257407406</v>
      </c>
      <c r="B976" s="44" t="s">
        <v>123</v>
      </c>
      <c r="C976" s="128">
        <v>816.8318066433195</v>
      </c>
      <c r="D976" s="128">
        <v>22.0</v>
      </c>
      <c r="E976" s="128">
        <v>818.6880710819421</v>
      </c>
      <c r="F976" s="44" t="s">
        <v>47</v>
      </c>
      <c r="G976" s="128">
        <v>1007.0396262846016</v>
      </c>
      <c r="H976" s="128">
        <v>32.0</v>
      </c>
      <c r="I976" s="128">
        <v>1010.4257560899052</v>
      </c>
      <c r="J976" s="44" t="s">
        <v>38</v>
      </c>
      <c r="K976" s="128">
        <v>1012.263500495087</v>
      </c>
      <c r="L976" s="128">
        <v>37.0</v>
      </c>
      <c r="M976" s="128">
        <v>1017.0211062511607</v>
      </c>
      <c r="N976" s="44"/>
      <c r="O976" s="128"/>
      <c r="P976" s="128"/>
      <c r="Q976" s="128"/>
      <c r="V976" s="44" t="s">
        <v>108</v>
      </c>
      <c r="W976" s="128">
        <v>889.5293189014893</v>
      </c>
      <c r="X976" s="128">
        <v>22.0</v>
      </c>
      <c r="Y976" s="128">
        <v>885.1000412580195</v>
      </c>
      <c r="Z976" s="44" t="s">
        <v>88</v>
      </c>
      <c r="AA976" s="128">
        <v>953.9632015287496</v>
      </c>
      <c r="AB976" s="128">
        <v>25.0</v>
      </c>
      <c r="AC976" s="128">
        <v>950.0132902648666</v>
      </c>
      <c r="AD976" s="44" t="s">
        <v>110</v>
      </c>
      <c r="AE976" s="128">
        <v>998.0524486761725</v>
      </c>
      <c r="AF976" s="128">
        <v>34.0</v>
      </c>
      <c r="AG976" s="128">
        <v>996.4316375835253</v>
      </c>
      <c r="AH976" s="44"/>
      <c r="AI976" s="128"/>
      <c r="AJ976" s="128"/>
      <c r="AK976" s="128"/>
      <c r="AP976" s="128">
        <v>22.0</v>
      </c>
      <c r="AQ976" s="128">
        <v>20.0</v>
      </c>
      <c r="AT976" s="44">
        <v>975.0</v>
      </c>
      <c r="AU976" s="44"/>
      <c r="AW976" s="93"/>
      <c r="AY976" s="93"/>
      <c r="AZ976" s="93"/>
      <c r="BA976" s="93"/>
      <c r="BB976" s="155"/>
      <c r="BC976" s="93"/>
      <c r="BE976" s="93"/>
      <c r="BG976" s="93"/>
      <c r="BH976" s="93"/>
      <c r="BI976" s="93"/>
      <c r="BJ976" s="155"/>
      <c r="BK976" s="93"/>
    </row>
    <row r="977">
      <c r="A977" s="166">
        <v>44597.006089918985</v>
      </c>
      <c r="B977" s="44" t="s">
        <v>123</v>
      </c>
      <c r="C977" s="128">
        <v>818.6880710819421</v>
      </c>
      <c r="D977" s="128">
        <v>15.0</v>
      </c>
      <c r="E977" s="128">
        <v>821.0497059860072</v>
      </c>
      <c r="F977" s="44" t="s">
        <v>88</v>
      </c>
      <c r="G977" s="128">
        <v>950.0132902648666</v>
      </c>
      <c r="H977" s="128">
        <v>22.0</v>
      </c>
      <c r="I977" s="128">
        <v>953.8538845485824</v>
      </c>
      <c r="J977" s="44" t="s">
        <v>112</v>
      </c>
      <c r="K977" s="128">
        <v>996.5125335569464</v>
      </c>
      <c r="L977" s="128">
        <v>27.0</v>
      </c>
      <c r="M977" s="128">
        <v>1001.8375892327077</v>
      </c>
      <c r="N977" s="44" t="s">
        <v>38</v>
      </c>
      <c r="O977" s="128">
        <v>1017.0211062511607</v>
      </c>
      <c r="P977" s="128">
        <v>21.0</v>
      </c>
      <c r="Q977" s="128">
        <v>1020.2850581249628</v>
      </c>
      <c r="R977" s="44" t="s">
        <v>245</v>
      </c>
      <c r="S977" s="128">
        <v>1039.8010909272812</v>
      </c>
      <c r="T977" s="128">
        <v>27.0</v>
      </c>
      <c r="U977" s="128">
        <v>1045.009854189937</v>
      </c>
      <c r="V977" s="44" t="s">
        <v>125</v>
      </c>
      <c r="W977" s="128">
        <v>832.8893790231514</v>
      </c>
      <c r="X977" s="128">
        <v>3.0</v>
      </c>
      <c r="Y977" s="128">
        <v>824.8588562758155</v>
      </c>
      <c r="Z977" s="44" t="s">
        <v>108</v>
      </c>
      <c r="AA977" s="128">
        <v>885.1000412580195</v>
      </c>
      <c r="AB977" s="128">
        <v>12.0</v>
      </c>
      <c r="AC977" s="128">
        <v>879.787881299656</v>
      </c>
      <c r="AD977" s="44" t="s">
        <v>121</v>
      </c>
      <c r="AE977" s="128">
        <v>988.736601966847</v>
      </c>
      <c r="AF977" s="128">
        <v>9.0</v>
      </c>
      <c r="AG977" s="128">
        <v>982.0393006767019</v>
      </c>
      <c r="AH977" s="44" t="s">
        <v>47</v>
      </c>
      <c r="AI977" s="128">
        <v>1010.4257560899052</v>
      </c>
      <c r="AJ977" s="128">
        <v>26.0</v>
      </c>
      <c r="AK977" s="128">
        <v>1009.343847337254</v>
      </c>
      <c r="AL977" s="44" t="s">
        <v>27</v>
      </c>
      <c r="AM977" s="128">
        <v>1109.6652023425247</v>
      </c>
      <c r="AN977" s="128">
        <v>33.0</v>
      </c>
      <c r="AO977" s="128">
        <v>1109.6552023425247</v>
      </c>
      <c r="AP977" s="128">
        <v>18.0</v>
      </c>
      <c r="AQ977" s="128">
        <v>10.0</v>
      </c>
      <c r="AT977" s="44">
        <v>976.0</v>
      </c>
      <c r="AU977" s="44"/>
      <c r="AW977" s="93"/>
      <c r="AY977" s="93"/>
      <c r="AZ977" s="93"/>
      <c r="BA977" s="93"/>
      <c r="BB977" s="155"/>
      <c r="BC977" s="93"/>
      <c r="BE977" s="93"/>
      <c r="BG977" s="93"/>
      <c r="BH977" s="93"/>
      <c r="BI977" s="93"/>
      <c r="BJ977" s="155"/>
      <c r="BK977" s="93"/>
    </row>
    <row r="978">
      <c r="A978" s="166">
        <v>44597.0500819213</v>
      </c>
      <c r="B978" s="44" t="s">
        <v>123</v>
      </c>
      <c r="C978" s="128">
        <v>821.0497059860072</v>
      </c>
      <c r="D978" s="128">
        <v>17.0</v>
      </c>
      <c r="E978" s="128">
        <v>822.7606189319117</v>
      </c>
      <c r="F978" s="44" t="s">
        <v>88</v>
      </c>
      <c r="G978" s="128">
        <v>953.8538845485824</v>
      </c>
      <c r="H978" s="128">
        <v>23.0</v>
      </c>
      <c r="I978" s="128">
        <v>956.1713467649347</v>
      </c>
      <c r="J978" s="44" t="s">
        <v>112</v>
      </c>
      <c r="K978" s="128">
        <v>1001.8375892327077</v>
      </c>
      <c r="L978" s="128">
        <v>21.0</v>
      </c>
      <c r="M978" s="128">
        <v>1003.737583183102</v>
      </c>
      <c r="N978" s="44" t="s">
        <v>47</v>
      </c>
      <c r="O978" s="128">
        <v>1009.343847337254</v>
      </c>
      <c r="P978" s="128">
        <v>20.0</v>
      </c>
      <c r="Q978" s="128">
        <v>1011.0666938717042</v>
      </c>
      <c r="R978" s="44" t="s">
        <v>245</v>
      </c>
      <c r="S978" s="128">
        <v>1045.009854189937</v>
      </c>
      <c r="T978" s="128">
        <v>24.0</v>
      </c>
      <c r="U978" s="128">
        <v>1047.3586385428357</v>
      </c>
      <c r="V978" s="44" t="s">
        <v>125</v>
      </c>
      <c r="W978" s="128">
        <v>824.8588562758155</v>
      </c>
      <c r="X978" s="128">
        <v>13.0</v>
      </c>
      <c r="Y978" s="128">
        <v>822.2266289650836</v>
      </c>
      <c r="Z978" s="44" t="s">
        <v>108</v>
      </c>
      <c r="AA978" s="128">
        <v>879.787881299656</v>
      </c>
      <c r="AB978" s="128">
        <v>17.0</v>
      </c>
      <c r="AC978" s="128">
        <v>877.6544803381558</v>
      </c>
      <c r="AD978" s="44" t="s">
        <v>110</v>
      </c>
      <c r="AE978" s="128">
        <v>996.4316375835253</v>
      </c>
      <c r="AF978" s="128">
        <v>19.0</v>
      </c>
      <c r="AG978" s="128">
        <v>994.3932339924411</v>
      </c>
      <c r="AH978" s="44" t="s">
        <v>38</v>
      </c>
      <c r="AI978" s="128">
        <v>1020.2850581249628</v>
      </c>
      <c r="AJ978" s="128">
        <v>26.0</v>
      </c>
      <c r="AK978" s="128">
        <v>1019.3843092926018</v>
      </c>
      <c r="AL978" s="44" t="s">
        <v>27</v>
      </c>
      <c r="AM978" s="128">
        <v>1109.6552023425247</v>
      </c>
      <c r="AN978" s="128">
        <v>18.0</v>
      </c>
      <c r="AO978" s="128">
        <v>1107.359983038202</v>
      </c>
      <c r="AP978" s="128">
        <v>15.0</v>
      </c>
      <c r="AQ978" s="128">
        <v>13.0</v>
      </c>
      <c r="AT978" s="44">
        <v>977.0</v>
      </c>
      <c r="AU978" s="44"/>
      <c r="AW978" s="93"/>
      <c r="AY978" s="93"/>
      <c r="AZ978" s="93"/>
      <c r="BA978" s="93"/>
      <c r="BB978" s="155"/>
      <c r="BC978" s="93"/>
      <c r="BE978" s="93"/>
      <c r="BG978" s="93"/>
      <c r="BH978" s="93"/>
      <c r="BI978" s="93"/>
      <c r="BJ978" s="155"/>
      <c r="BK978" s="93"/>
    </row>
    <row r="979">
      <c r="A979" s="166">
        <v>44597.08322321759</v>
      </c>
      <c r="B979" s="44" t="s">
        <v>123</v>
      </c>
      <c r="C979" s="128">
        <v>822.7606189319117</v>
      </c>
      <c r="D979" s="128">
        <v>12.0</v>
      </c>
      <c r="E979" s="128">
        <v>822.7706189319117</v>
      </c>
      <c r="F979" s="44" t="s">
        <v>88</v>
      </c>
      <c r="G979" s="128">
        <v>956.1713467649347</v>
      </c>
      <c r="H979" s="128">
        <v>20.0</v>
      </c>
      <c r="I979" s="128">
        <v>956.1813467649347</v>
      </c>
      <c r="J979" s="44" t="s">
        <v>47</v>
      </c>
      <c r="K979" s="128">
        <v>1011.0666938717042</v>
      </c>
      <c r="L979" s="128">
        <v>24.0</v>
      </c>
      <c r="M979" s="128">
        <v>1011.0766938717042</v>
      </c>
      <c r="N979" s="44" t="s">
        <v>245</v>
      </c>
      <c r="O979" s="128">
        <v>1047.3586385428357</v>
      </c>
      <c r="P979" s="128">
        <v>27.0</v>
      </c>
      <c r="Q979" s="128">
        <v>1047.3686385428357</v>
      </c>
      <c r="V979" s="44" t="s">
        <v>125</v>
      </c>
      <c r="W979" s="128">
        <v>822.2266289650836</v>
      </c>
      <c r="X979" s="128">
        <v>8.0</v>
      </c>
      <c r="Y979" s="128">
        <v>822.2366289650836</v>
      </c>
      <c r="Z979" s="44" t="s">
        <v>110</v>
      </c>
      <c r="AA979" s="128">
        <v>994.3932339924411</v>
      </c>
      <c r="AB979" s="128">
        <v>36.0</v>
      </c>
      <c r="AC979" s="128">
        <v>994.4032339924411</v>
      </c>
      <c r="AD979" s="44" t="s">
        <v>112</v>
      </c>
      <c r="AE979" s="128">
        <v>1003.737583183102</v>
      </c>
      <c r="AF979" s="128">
        <v>19.0</v>
      </c>
      <c r="AG979" s="128">
        <v>1003.7475831831019</v>
      </c>
      <c r="AH979" s="44" t="s">
        <v>38</v>
      </c>
      <c r="AI979" s="128">
        <v>1019.3843092926018</v>
      </c>
      <c r="AJ979" s="128">
        <v>18.0</v>
      </c>
      <c r="AK979" s="128">
        <v>1019.3943092926017</v>
      </c>
      <c r="AP979" s="128">
        <v>14.0</v>
      </c>
      <c r="AQ979" s="128">
        <v>14.0</v>
      </c>
      <c r="AT979" s="44">
        <v>978.0</v>
      </c>
      <c r="AU979" s="44"/>
      <c r="AW979" s="93"/>
      <c r="AY979" s="93"/>
      <c r="AZ979" s="93"/>
      <c r="BA979" s="93"/>
      <c r="BB979" s="155"/>
      <c r="BC979" s="93"/>
      <c r="BE979" s="93"/>
      <c r="BG979" s="93"/>
      <c r="BH979" s="93"/>
      <c r="BI979" s="93"/>
      <c r="BJ979" s="155"/>
      <c r="BK979" s="93"/>
    </row>
    <row r="980">
      <c r="A980" s="166">
        <v>44597.11697587963</v>
      </c>
      <c r="B980" s="44" t="s">
        <v>123</v>
      </c>
      <c r="C980" s="128">
        <v>822.7706189319117</v>
      </c>
      <c r="D980" s="128">
        <v>18.0</v>
      </c>
      <c r="E980" s="128">
        <v>828.1290134856984</v>
      </c>
      <c r="F980" s="44" t="s">
        <v>88</v>
      </c>
      <c r="G980" s="128">
        <v>956.1813467649347</v>
      </c>
      <c r="H980" s="128">
        <v>14.0</v>
      </c>
      <c r="I980" s="128">
        <v>958.8190293448919</v>
      </c>
      <c r="J980" s="44" t="s">
        <v>38</v>
      </c>
      <c r="K980" s="128">
        <v>1019.3943092926017</v>
      </c>
      <c r="L980" s="128">
        <v>24.0</v>
      </c>
      <c r="M980" s="128">
        <v>1026.1521795338504</v>
      </c>
      <c r="N980" s="44" t="s">
        <v>245</v>
      </c>
      <c r="O980" s="128">
        <v>1047.3686385428357</v>
      </c>
      <c r="P980" s="128">
        <v>23.0</v>
      </c>
      <c r="Q980" s="128">
        <v>1053.6146911678434</v>
      </c>
      <c r="V980" s="44" t="s">
        <v>125</v>
      </c>
      <c r="W980" s="128">
        <v>822.2366289650836</v>
      </c>
      <c r="X980" s="128">
        <v>6.0</v>
      </c>
      <c r="Y980" s="128">
        <v>813.3393727147582</v>
      </c>
      <c r="Z980" s="44" t="s">
        <v>110</v>
      </c>
      <c r="AA980" s="128">
        <v>994.4032339924411</v>
      </c>
      <c r="AB980" s="128">
        <v>31.0</v>
      </c>
      <c r="AC980" s="128">
        <v>994.3932339924411</v>
      </c>
      <c r="AD980" s="44" t="s">
        <v>112</v>
      </c>
      <c r="AE980" s="128">
        <v>1003.7475831831019</v>
      </c>
      <c r="AF980" s="128">
        <v>18.0</v>
      </c>
      <c r="AG980" s="128">
        <v>999.1474129481048</v>
      </c>
      <c r="AH980" s="44" t="s">
        <v>61</v>
      </c>
      <c r="AI980" s="128">
        <v>1036.317280793053</v>
      </c>
      <c r="AJ980" s="128">
        <v>9.0</v>
      </c>
      <c r="AK980" s="128">
        <v>1027.6997171083237</v>
      </c>
      <c r="AP980" s="128">
        <v>17.0</v>
      </c>
      <c r="AQ980" s="128">
        <v>11.0</v>
      </c>
      <c r="AT980" s="44">
        <v>979.0</v>
      </c>
      <c r="AU980" s="44"/>
      <c r="AW980" s="93"/>
      <c r="AY980" s="93"/>
      <c r="AZ980" s="93"/>
      <c r="BA980" s="93"/>
      <c r="BB980" s="155"/>
      <c r="BC980" s="93"/>
      <c r="BE980" s="93"/>
      <c r="BG980" s="93"/>
      <c r="BH980" s="93"/>
      <c r="BI980" s="93"/>
      <c r="BJ980" s="155"/>
      <c r="BK980" s="93"/>
    </row>
    <row r="981">
      <c r="A981" s="166">
        <v>44598.99047456018</v>
      </c>
      <c r="B981" s="44" t="s">
        <v>125</v>
      </c>
      <c r="C981" s="128">
        <v>813.3393727147582</v>
      </c>
      <c r="D981" s="128">
        <v>7.0</v>
      </c>
      <c r="E981" s="128">
        <v>813.780472564114</v>
      </c>
      <c r="F981" s="44" t="s">
        <v>38</v>
      </c>
      <c r="G981" s="128">
        <v>1026.1521795338504</v>
      </c>
      <c r="H981" s="128">
        <v>26.0</v>
      </c>
      <c r="I981" s="128">
        <v>1030.5987760065702</v>
      </c>
      <c r="J981" s="44" t="s">
        <v>27</v>
      </c>
      <c r="K981" s="128">
        <v>1107.359983038202</v>
      </c>
      <c r="L981" s="128">
        <v>25.0</v>
      </c>
      <c r="M981" s="128">
        <v>1111.4722867161263</v>
      </c>
      <c r="N981" s="44"/>
      <c r="O981" s="128"/>
      <c r="P981" s="128"/>
      <c r="Q981" s="128"/>
      <c r="V981" s="44" t="s">
        <v>88</v>
      </c>
      <c r="W981" s="128">
        <v>958.8190293448919</v>
      </c>
      <c r="X981" s="128">
        <v>19.0</v>
      </c>
      <c r="Y981" s="128">
        <v>956.1078937987132</v>
      </c>
      <c r="Z981" s="44" t="s">
        <v>34</v>
      </c>
      <c r="AA981" s="128">
        <v>970.5587419018991</v>
      </c>
      <c r="AB981" s="128">
        <v>12.0</v>
      </c>
      <c r="AC981" s="128">
        <v>966.069168821785</v>
      </c>
      <c r="AD981" s="44" t="s">
        <v>112</v>
      </c>
      <c r="AE981" s="128">
        <v>999.1474129481048</v>
      </c>
      <c r="AF981" s="128">
        <v>23.0</v>
      </c>
      <c r="AG981" s="128">
        <v>997.3481215743976</v>
      </c>
      <c r="AH981" s="44"/>
      <c r="AI981" s="128"/>
      <c r="AJ981" s="128"/>
      <c r="AK981" s="128"/>
      <c r="AP981" s="128">
        <v>15.0</v>
      </c>
      <c r="AQ981" s="128">
        <v>13.0</v>
      </c>
      <c r="AT981" s="44">
        <v>980.0</v>
      </c>
      <c r="AU981" s="44"/>
      <c r="AW981" s="93"/>
      <c r="AY981" s="93"/>
      <c r="AZ981" s="93"/>
      <c r="BA981" s="93"/>
      <c r="BB981" s="155"/>
      <c r="BC981" s="93"/>
      <c r="BE981" s="93"/>
      <c r="BG981" s="93"/>
      <c r="BH981" s="93"/>
      <c r="BI981" s="93"/>
      <c r="BJ981" s="155"/>
      <c r="BK981" s="93"/>
    </row>
    <row r="982">
      <c r="A982" s="166">
        <v>44599.02304644676</v>
      </c>
      <c r="B982" s="44" t="s">
        <v>125</v>
      </c>
      <c r="C982" s="128">
        <v>813.780472564114</v>
      </c>
      <c r="D982" s="128">
        <v>7.0</v>
      </c>
      <c r="E982" s="128">
        <v>808.5751859299545</v>
      </c>
      <c r="F982" s="44" t="s">
        <v>112</v>
      </c>
      <c r="G982" s="128">
        <v>997.3481215743976</v>
      </c>
      <c r="H982" s="128">
        <v>25.0</v>
      </c>
      <c r="I982" s="128">
        <v>996.0145089885536</v>
      </c>
      <c r="J982" s="44" t="s">
        <v>27</v>
      </c>
      <c r="K982" s="128">
        <v>1111.4722867161263</v>
      </c>
      <c r="L982" s="128">
        <v>21.0</v>
      </c>
      <c r="M982" s="128">
        <v>1109.0111859361298</v>
      </c>
      <c r="N982" s="44"/>
      <c r="O982" s="128"/>
      <c r="P982" s="128"/>
      <c r="Q982" s="128"/>
      <c r="V982" s="44" t="s">
        <v>88</v>
      </c>
      <c r="W982" s="128">
        <v>956.1078937987132</v>
      </c>
      <c r="X982" s="128">
        <v>14.0</v>
      </c>
      <c r="Y982" s="128">
        <v>957.423828614962</v>
      </c>
      <c r="Z982" s="44" t="s">
        <v>34</v>
      </c>
      <c r="AA982" s="128">
        <v>966.069168821785</v>
      </c>
      <c r="AB982" s="128">
        <v>23.0</v>
      </c>
      <c r="AC982" s="128">
        <v>969.6064615530457</v>
      </c>
      <c r="AD982" s="44" t="s">
        <v>38</v>
      </c>
      <c r="AE982" s="128">
        <v>1030.5987760065702</v>
      </c>
      <c r="AF982" s="128">
        <v>26.0</v>
      </c>
      <c r="AG982" s="128">
        <v>1034.7455484590607</v>
      </c>
      <c r="AH982" s="44"/>
      <c r="AI982" s="128"/>
      <c r="AJ982" s="128"/>
      <c r="AK982" s="128"/>
      <c r="AP982" s="128">
        <v>13.0</v>
      </c>
      <c r="AQ982" s="128">
        <v>15.0</v>
      </c>
      <c r="AT982" s="44">
        <v>981.0</v>
      </c>
      <c r="AU982" s="44"/>
      <c r="AW982" s="93"/>
      <c r="AY982" s="93"/>
      <c r="AZ982" s="93"/>
      <c r="BA982" s="93"/>
      <c r="BB982" s="155"/>
      <c r="BC982" s="93"/>
      <c r="BE982" s="93"/>
      <c r="BG982" s="93"/>
      <c r="BH982" s="93"/>
      <c r="BI982" s="93"/>
      <c r="BJ982" s="155"/>
      <c r="BK982" s="93"/>
    </row>
    <row r="983">
      <c r="A983" s="166">
        <v>44599.57734717593</v>
      </c>
      <c r="B983" s="44" t="s">
        <v>123</v>
      </c>
      <c r="C983" s="128">
        <v>828.1290134856984</v>
      </c>
      <c r="D983" s="128">
        <v>7.0</v>
      </c>
      <c r="E983" s="128">
        <v>809.8207986690272</v>
      </c>
      <c r="F983" s="44" t="s">
        <v>591</v>
      </c>
      <c r="G983" s="128">
        <v>1000.0</v>
      </c>
      <c r="H983" s="128">
        <v>5.0</v>
      </c>
      <c r="I983" s="128">
        <v>977.2750425963264</v>
      </c>
      <c r="J983" s="44" t="s">
        <v>61</v>
      </c>
      <c r="K983" s="128">
        <v>1027.6997171083237</v>
      </c>
      <c r="L983" s="128">
        <v>15.0</v>
      </c>
      <c r="M983" s="128">
        <v>1018.7328893286684</v>
      </c>
      <c r="N983" s="44"/>
      <c r="O983" s="128"/>
      <c r="P983" s="128"/>
      <c r="Q983" s="128"/>
      <c r="V983" s="44" t="s">
        <v>100</v>
      </c>
      <c r="W983" s="128">
        <v>948.55</v>
      </c>
      <c r="X983" s="128">
        <v>28.0</v>
      </c>
      <c r="Y983" s="128">
        <v>972.0944709611267</v>
      </c>
      <c r="Z983" s="44" t="s">
        <v>34</v>
      </c>
      <c r="AA983" s="128">
        <v>969.6064615530457</v>
      </c>
      <c r="AB983" s="128">
        <v>29.0</v>
      </c>
      <c r="AC983" s="128">
        <v>994.1506679679729</v>
      </c>
      <c r="AD983" s="44" t="s">
        <v>112</v>
      </c>
      <c r="AE983" s="128">
        <v>996.0145089885536</v>
      </c>
      <c r="AF983" s="128">
        <v>13.0</v>
      </c>
      <c r="AG983" s="128">
        <v>997.9258316124997</v>
      </c>
      <c r="AH983" s="44"/>
      <c r="AI983" s="128"/>
      <c r="AJ983" s="128"/>
      <c r="AK983" s="128"/>
      <c r="AP983" s="128">
        <v>5.0</v>
      </c>
      <c r="AQ983" s="128">
        <v>23.0</v>
      </c>
      <c r="AS983" s="44" t="s">
        <v>229</v>
      </c>
      <c r="AT983" s="44">
        <v>982.0</v>
      </c>
      <c r="AU983" s="44"/>
      <c r="AW983" s="93"/>
      <c r="AY983" s="93"/>
      <c r="AZ983" s="93"/>
      <c r="BA983" s="93"/>
      <c r="BB983" s="155"/>
      <c r="BC983" s="93"/>
      <c r="BE983" s="93"/>
      <c r="BG983" s="93"/>
      <c r="BH983" s="93"/>
      <c r="BI983" s="93"/>
      <c r="BJ983" s="155"/>
      <c r="BK983" s="93"/>
    </row>
    <row r="984">
      <c r="A984" s="166">
        <v>44599.91590997685</v>
      </c>
      <c r="B984" s="44" t="s">
        <v>576</v>
      </c>
      <c r="C984" s="128">
        <v>1000.3835963609483</v>
      </c>
      <c r="D984" s="128">
        <v>13.0</v>
      </c>
      <c r="E984" s="128">
        <v>988.4144646156852</v>
      </c>
      <c r="F984" s="44" t="s">
        <v>47</v>
      </c>
      <c r="G984" s="128">
        <v>1011.0766938717042</v>
      </c>
      <c r="H984" s="128">
        <v>15.0</v>
      </c>
      <c r="I984" s="128">
        <v>1000.4440646085147</v>
      </c>
      <c r="J984" s="44" t="s">
        <v>38</v>
      </c>
      <c r="K984" s="128">
        <v>1034.7455484590607</v>
      </c>
      <c r="L984" s="128">
        <v>27.0</v>
      </c>
      <c r="M984" s="128">
        <v>1032.3473094675132</v>
      </c>
      <c r="N984" s="44"/>
      <c r="O984" s="128"/>
      <c r="P984" s="128"/>
      <c r="Q984" s="128"/>
      <c r="V984" s="44" t="s">
        <v>88</v>
      </c>
      <c r="W984" s="128">
        <v>957.423828614962</v>
      </c>
      <c r="X984" s="128">
        <v>15.0</v>
      </c>
      <c r="Y984" s="128">
        <v>962.9312347309515</v>
      </c>
      <c r="Z984" s="44" t="s">
        <v>34</v>
      </c>
      <c r="AA984" s="128">
        <v>994.1506679679729</v>
      </c>
      <c r="AB984" s="128">
        <v>25.0</v>
      </c>
      <c r="AC984" s="128">
        <v>1006.3574649194098</v>
      </c>
      <c r="AD984" s="44" t="s">
        <v>92</v>
      </c>
      <c r="AE984" s="128">
        <v>1005.0038955818055</v>
      </c>
      <c r="AF984" s="128">
        <v>18.0</v>
      </c>
      <c r="AG984" s="128">
        <v>1012.2896925143792</v>
      </c>
      <c r="AH984" s="44"/>
      <c r="AI984" s="128"/>
      <c r="AJ984" s="128"/>
      <c r="AK984" s="128"/>
      <c r="AP984" s="128">
        <v>12.0</v>
      </c>
      <c r="AQ984" s="128">
        <v>16.0</v>
      </c>
      <c r="AS984" s="44" t="s">
        <v>229</v>
      </c>
      <c r="AT984" s="44">
        <v>983.0</v>
      </c>
      <c r="AU984" s="44"/>
      <c r="AW984" s="93"/>
      <c r="AY984" s="93"/>
      <c r="AZ984" s="93"/>
      <c r="BA984" s="93"/>
      <c r="BB984" s="155"/>
      <c r="BC984" s="93"/>
      <c r="BE984" s="93"/>
      <c r="BG984" s="93"/>
      <c r="BH984" s="93"/>
      <c r="BI984" s="93"/>
      <c r="BJ984" s="155"/>
      <c r="BK984" s="93"/>
    </row>
    <row r="985">
      <c r="A985" s="166">
        <v>44599.96914825232</v>
      </c>
      <c r="B985" s="44" t="s">
        <v>125</v>
      </c>
      <c r="C985" s="128">
        <v>808.5751859299545</v>
      </c>
      <c r="D985" s="128">
        <v>8.0</v>
      </c>
      <c r="E985" s="128">
        <v>800.3367283143469</v>
      </c>
      <c r="F985" s="44" t="s">
        <v>88</v>
      </c>
      <c r="G985" s="128">
        <v>962.9312347309515</v>
      </c>
      <c r="H985" s="128">
        <v>14.0</v>
      </c>
      <c r="I985" s="128">
        <v>956.2110672761097</v>
      </c>
      <c r="J985" s="44" t="s">
        <v>112</v>
      </c>
      <c r="K985" s="128">
        <v>997.9258316124997</v>
      </c>
      <c r="L985" s="128">
        <v>25.0</v>
      </c>
      <c r="M985" s="128">
        <v>995.6606064077395</v>
      </c>
      <c r="N985" s="44" t="s">
        <v>38</v>
      </c>
      <c r="O985" s="128">
        <v>1032.3473094675132</v>
      </c>
      <c r="P985" s="128">
        <v>24.0</v>
      </c>
      <c r="Q985" s="128">
        <v>1029.5711597427228</v>
      </c>
      <c r="V985" s="44" t="s">
        <v>123</v>
      </c>
      <c r="W985" s="128">
        <v>809.8207986690272</v>
      </c>
      <c r="X985" s="128">
        <v>16.0</v>
      </c>
      <c r="Y985" s="128">
        <v>813.1449370424856</v>
      </c>
      <c r="Z985" s="44" t="s">
        <v>100</v>
      </c>
      <c r="AA985" s="128">
        <v>972.0944709611267</v>
      </c>
      <c r="AB985" s="128">
        <v>23.0</v>
      </c>
      <c r="AC985" s="128">
        <v>977.0574413464223</v>
      </c>
      <c r="AD985" s="44" t="s">
        <v>47</v>
      </c>
      <c r="AE985" s="128">
        <v>1000.4440646085147</v>
      </c>
      <c r="AF985" s="128">
        <v>29.0</v>
      </c>
      <c r="AG985" s="128">
        <v>1007.7810743841095</v>
      </c>
      <c r="AH985" s="44" t="s">
        <v>92</v>
      </c>
      <c r="AI985" s="128">
        <v>1012.2896925143792</v>
      </c>
      <c r="AJ985" s="128">
        <v>22.0</v>
      </c>
      <c r="AK985" s="128">
        <v>1016.6655739800307</v>
      </c>
      <c r="AP985" s="128">
        <v>10.0</v>
      </c>
      <c r="AQ985" s="128">
        <v>18.0</v>
      </c>
      <c r="AT985" s="44">
        <v>984.0</v>
      </c>
      <c r="AU985" s="44"/>
      <c r="AW985" s="93"/>
      <c r="AY985" s="93"/>
      <c r="AZ985" s="93"/>
      <c r="BA985" s="93"/>
      <c r="BB985" s="155"/>
      <c r="BC985" s="93"/>
      <c r="BE985" s="93"/>
      <c r="BG985" s="93"/>
      <c r="BH985" s="93"/>
      <c r="BI985" s="93"/>
      <c r="BJ985" s="155"/>
      <c r="BK985" s="93"/>
    </row>
    <row r="986">
      <c r="A986" s="166">
        <v>44600.004101238424</v>
      </c>
      <c r="B986" s="44" t="s">
        <v>125</v>
      </c>
      <c r="C986" s="128">
        <v>800.3367283143469</v>
      </c>
      <c r="D986" s="128">
        <v>15.0</v>
      </c>
      <c r="E986" s="128">
        <v>795.921464143568</v>
      </c>
      <c r="F986" s="44" t="s">
        <v>88</v>
      </c>
      <c r="G986" s="128">
        <v>956.2110672761097</v>
      </c>
      <c r="H986" s="128">
        <v>36.0</v>
      </c>
      <c r="I986" s="128">
        <v>956.2010672761097</v>
      </c>
      <c r="J986" s="44" t="s">
        <v>100</v>
      </c>
      <c r="K986" s="128">
        <v>977.0574413464223</v>
      </c>
      <c r="L986" s="128">
        <v>6.0</v>
      </c>
      <c r="M986" s="128">
        <v>968.7287555999447</v>
      </c>
      <c r="N986" s="44" t="s">
        <v>92</v>
      </c>
      <c r="O986" s="128">
        <v>1016.6655739800307</v>
      </c>
      <c r="P986" s="128">
        <v>13.0</v>
      </c>
      <c r="Q986" s="128">
        <v>1010.5648230164566</v>
      </c>
      <c r="R986" s="44" t="s">
        <v>27</v>
      </c>
      <c r="S986" s="128">
        <v>1109.0111859361298</v>
      </c>
      <c r="T986" s="128">
        <v>23.0</v>
      </c>
      <c r="U986" s="128">
        <v>1106.1147255390833</v>
      </c>
      <c r="V986" s="44" t="s">
        <v>123</v>
      </c>
      <c r="W986" s="128">
        <v>813.1449370424856</v>
      </c>
      <c r="X986" s="128">
        <v>14.0</v>
      </c>
      <c r="Y986" s="128">
        <v>815.1013923789013</v>
      </c>
      <c r="Z986" s="44" t="s">
        <v>112</v>
      </c>
      <c r="AA986" s="128">
        <v>995.6606064077395</v>
      </c>
      <c r="AB986" s="128">
        <v>34.0</v>
      </c>
      <c r="AC986" s="128">
        <v>1003.2132454346311</v>
      </c>
      <c r="AD986" s="44" t="s">
        <v>34</v>
      </c>
      <c r="AE986" s="128">
        <v>1006.3574649194098</v>
      </c>
      <c r="AF986" s="128">
        <v>23.0</v>
      </c>
      <c r="AG986" s="128">
        <v>1010.2099754892262</v>
      </c>
      <c r="AH986" s="44" t="s">
        <v>47</v>
      </c>
      <c r="AI986" s="128">
        <v>1007.7810743841095</v>
      </c>
      <c r="AJ986" s="128">
        <v>29.0</v>
      </c>
      <c r="AK986" s="128">
        <v>1013.629360818407</v>
      </c>
      <c r="AL986" s="44" t="s">
        <v>38</v>
      </c>
      <c r="AM986" s="128">
        <v>1029.5711597427228</v>
      </c>
      <c r="AN986" s="128">
        <v>14.0</v>
      </c>
      <c r="AO986" s="128">
        <v>1030.3612683753017</v>
      </c>
      <c r="AP986" s="128">
        <v>11.0</v>
      </c>
      <c r="AQ986" s="128">
        <v>17.0</v>
      </c>
      <c r="AT986" s="44">
        <v>985.0</v>
      </c>
      <c r="AU986" s="44"/>
      <c r="AW986" s="93"/>
      <c r="AY986" s="93"/>
      <c r="AZ986" s="93"/>
      <c r="BA986" s="93"/>
      <c r="BB986" s="155"/>
      <c r="BC986" s="93"/>
      <c r="BE986" s="93"/>
      <c r="BG986" s="93"/>
      <c r="BH986" s="93"/>
      <c r="BI986" s="93"/>
      <c r="BJ986" s="155"/>
      <c r="BK986" s="93"/>
    </row>
    <row r="987">
      <c r="A987" s="166">
        <v>44600.04545253472</v>
      </c>
      <c r="B987" s="44" t="s">
        <v>123</v>
      </c>
      <c r="C987" s="128">
        <v>815.1013923789013</v>
      </c>
      <c r="D987" s="128">
        <v>8.0</v>
      </c>
      <c r="E987" s="128">
        <v>803.7917213486216</v>
      </c>
      <c r="F987" s="44" t="s">
        <v>100</v>
      </c>
      <c r="G987" s="128">
        <v>968.7287555999447</v>
      </c>
      <c r="H987" s="128">
        <v>23.0</v>
      </c>
      <c r="I987" s="128">
        <v>964.4658154664412</v>
      </c>
      <c r="J987" s="44" t="s">
        <v>112</v>
      </c>
      <c r="K987" s="128">
        <v>1003.2132454346311</v>
      </c>
      <c r="L987" s="128">
        <v>23.0</v>
      </c>
      <c r="M987" s="128">
        <v>998.7858565984143</v>
      </c>
      <c r="N987" s="44"/>
      <c r="O987" s="128"/>
      <c r="P987" s="128"/>
      <c r="Q987" s="128"/>
      <c r="V987" s="44" t="s">
        <v>125</v>
      </c>
      <c r="W987" s="128">
        <v>795.921464143568</v>
      </c>
      <c r="X987" s="128">
        <v>12.0</v>
      </c>
      <c r="Y987" s="128">
        <v>798.0223093034507</v>
      </c>
      <c r="Z987" s="44" t="s">
        <v>108</v>
      </c>
      <c r="AA987" s="128">
        <v>877.6544803381558</v>
      </c>
      <c r="AB987" s="128">
        <v>18.0</v>
      </c>
      <c r="AC987" s="128">
        <v>882.0109945420598</v>
      </c>
      <c r="AD987" s="44" t="s">
        <v>27</v>
      </c>
      <c r="AE987" s="128">
        <v>1106.1147255390833</v>
      </c>
      <c r="AF987" s="128">
        <v>37.0</v>
      </c>
      <c r="AG987" s="128">
        <v>1119.6573661752966</v>
      </c>
      <c r="AH987" s="44"/>
      <c r="AI987" s="128"/>
      <c r="AJ987" s="128"/>
      <c r="AK987" s="128"/>
      <c r="AP987" s="128">
        <v>10.0</v>
      </c>
      <c r="AQ987" s="128">
        <v>18.0</v>
      </c>
      <c r="AS987" s="44" t="s">
        <v>592</v>
      </c>
      <c r="AT987" s="44">
        <v>986.0</v>
      </c>
      <c r="AU987" s="44"/>
      <c r="AW987" s="93"/>
      <c r="AY987" s="93"/>
      <c r="AZ987" s="93"/>
      <c r="BA987" s="93"/>
      <c r="BB987" s="155"/>
      <c r="BC987" s="93"/>
      <c r="BE987" s="93"/>
      <c r="BG987" s="93"/>
      <c r="BH987" s="93"/>
      <c r="BI987" s="93"/>
      <c r="BJ987" s="155"/>
      <c r="BK987" s="93"/>
    </row>
    <row r="988">
      <c r="A988" s="166">
        <v>44600.08062690972</v>
      </c>
      <c r="B988" s="44" t="s">
        <v>123</v>
      </c>
      <c r="C988" s="128">
        <v>803.7917213486216</v>
      </c>
      <c r="D988" s="128">
        <v>16.0</v>
      </c>
      <c r="E988" s="128">
        <v>807.2878988977885</v>
      </c>
      <c r="F988" s="44" t="s">
        <v>100</v>
      </c>
      <c r="G988" s="128">
        <v>964.4658154664412</v>
      </c>
      <c r="H988" s="128">
        <v>17.0</v>
      </c>
      <c r="I988" s="128">
        <v>967.5006994907037</v>
      </c>
      <c r="J988" s="44" t="s">
        <v>112</v>
      </c>
      <c r="K988" s="128">
        <v>998.7858565984143</v>
      </c>
      <c r="L988" s="128">
        <v>22.0</v>
      </c>
      <c r="M988" s="128">
        <v>1003.2547950249849</v>
      </c>
      <c r="N988" s="44"/>
      <c r="O988" s="128"/>
      <c r="P988" s="128"/>
      <c r="Q988" s="128"/>
      <c r="V988" s="44" t="s">
        <v>125</v>
      </c>
      <c r="W988" s="128">
        <v>798.0223093034507</v>
      </c>
      <c r="X988" s="128">
        <v>9.0</v>
      </c>
      <c r="Y988" s="128">
        <v>792.2076864049741</v>
      </c>
      <c r="Z988" s="44" t="s">
        <v>108</v>
      </c>
      <c r="AA988" s="128">
        <v>882.0109945420598</v>
      </c>
      <c r="AB988" s="128">
        <v>23.0</v>
      </c>
      <c r="AC988" s="128">
        <v>880.0095944150557</v>
      </c>
      <c r="AD988" s="44" t="s">
        <v>27</v>
      </c>
      <c r="AE988" s="128">
        <v>1119.6573661752966</v>
      </c>
      <c r="AF988" s="128">
        <v>21.0</v>
      </c>
      <c r="AG988" s="128">
        <v>1116.4733892007773</v>
      </c>
      <c r="AH988" s="44"/>
      <c r="AI988" s="128"/>
      <c r="AJ988" s="128"/>
      <c r="AK988" s="128"/>
      <c r="AP988" s="128">
        <v>15.0</v>
      </c>
      <c r="AQ988" s="128">
        <v>13.0</v>
      </c>
      <c r="AS988" s="44" t="s">
        <v>593</v>
      </c>
      <c r="AT988" s="44">
        <v>987.0</v>
      </c>
      <c r="AU988" s="44"/>
      <c r="AW988" s="93"/>
      <c r="AY988" s="93"/>
      <c r="AZ988" s="93"/>
      <c r="BA988" s="93"/>
      <c r="BB988" s="155"/>
      <c r="BC988" s="93"/>
      <c r="BE988" s="93"/>
      <c r="BG988" s="93"/>
      <c r="BH988" s="93"/>
      <c r="BI988" s="93"/>
      <c r="BJ988" s="155"/>
      <c r="BK988" s="93"/>
    </row>
    <row r="989">
      <c r="A989" s="166">
        <v>44600.72667533565</v>
      </c>
      <c r="B989" s="44" t="s">
        <v>123</v>
      </c>
      <c r="C989" s="128">
        <v>807.2878988977885</v>
      </c>
      <c r="D989" s="128">
        <v>21.0</v>
      </c>
      <c r="E989" s="128">
        <v>827.3942645791533</v>
      </c>
      <c r="F989" s="44" t="s">
        <v>112</v>
      </c>
      <c r="G989" s="128">
        <v>1003.2547950249849</v>
      </c>
      <c r="H989" s="128">
        <v>25.0</v>
      </c>
      <c r="I989" s="128">
        <v>1024.1484293436201</v>
      </c>
      <c r="J989" s="44"/>
      <c r="K989" s="128"/>
      <c r="L989" s="128"/>
      <c r="M989" s="128"/>
      <c r="N989" s="44"/>
      <c r="O989" s="128"/>
      <c r="P989" s="128"/>
      <c r="Q989" s="128"/>
      <c r="V989" s="44" t="s">
        <v>108</v>
      </c>
      <c r="W989" s="128">
        <v>880.0095944150557</v>
      </c>
      <c r="X989" s="128">
        <v>19.0</v>
      </c>
      <c r="Y989" s="128">
        <v>867.7551825959688</v>
      </c>
      <c r="Z989" s="44" t="s">
        <v>582</v>
      </c>
      <c r="AA989" s="128">
        <v>939.555936702913</v>
      </c>
      <c r="AB989" s="128">
        <v>10.0</v>
      </c>
      <c r="AC989" s="128">
        <v>910.8103485219999</v>
      </c>
      <c r="AD989" s="44"/>
      <c r="AE989" s="128"/>
      <c r="AF989" s="128"/>
      <c r="AG989" s="128"/>
      <c r="AH989" s="44"/>
      <c r="AI989" s="128"/>
      <c r="AJ989" s="128"/>
      <c r="AK989" s="128"/>
      <c r="AP989" s="128">
        <v>19.0</v>
      </c>
      <c r="AQ989" s="128">
        <v>8.0</v>
      </c>
      <c r="AT989" s="44">
        <v>988.0</v>
      </c>
      <c r="AU989" s="44"/>
      <c r="AW989" s="93"/>
      <c r="AY989" s="93"/>
      <c r="AZ989" s="93"/>
      <c r="BA989" s="93"/>
      <c r="BB989" s="155"/>
      <c r="BC989" s="93"/>
      <c r="BE989" s="93"/>
      <c r="BG989" s="93"/>
      <c r="BH989" s="93"/>
      <c r="BI989" s="93"/>
      <c r="BJ989" s="155"/>
      <c r="BK989" s="93"/>
    </row>
    <row r="990">
      <c r="A990" s="166">
        <v>44600.93933329861</v>
      </c>
      <c r="B990" s="44" t="s">
        <v>100</v>
      </c>
      <c r="C990" s="128">
        <v>967.5006994907037</v>
      </c>
      <c r="D990" s="128">
        <v>15.0</v>
      </c>
      <c r="E990" s="128">
        <v>967.1203037339407</v>
      </c>
      <c r="F990" s="44" t="s">
        <v>110</v>
      </c>
      <c r="G990" s="128">
        <v>994.3932339924411</v>
      </c>
      <c r="H990" s="128">
        <v>13.0</v>
      </c>
      <c r="I990" s="128">
        <v>993.9514374972117</v>
      </c>
      <c r="J990" s="44" t="s">
        <v>27</v>
      </c>
      <c r="K990" s="128">
        <v>1116.4733892007773</v>
      </c>
      <c r="L990" s="128">
        <v>23.0</v>
      </c>
      <c r="M990" s="128">
        <v>1116.2955814527697</v>
      </c>
      <c r="N990" s="44"/>
      <c r="O990" s="128"/>
      <c r="P990" s="128"/>
      <c r="Q990" s="128"/>
      <c r="V990" s="44" t="s">
        <v>92</v>
      </c>
      <c r="W990" s="128">
        <v>1010.5648230164566</v>
      </c>
      <c r="X990" s="128">
        <v>16.0</v>
      </c>
      <c r="Y990" s="128">
        <v>1010.8531048806971</v>
      </c>
      <c r="Z990" s="44" t="s">
        <v>47</v>
      </c>
      <c r="AA990" s="128">
        <v>1013.629360818407</v>
      </c>
      <c r="AB990" s="128">
        <v>22.0</v>
      </c>
      <c r="AC990" s="128">
        <v>1014.0837748988931</v>
      </c>
      <c r="AD990" s="44" t="s">
        <v>38</v>
      </c>
      <c r="AE990" s="128">
        <v>1030.3612683753017</v>
      </c>
      <c r="AF990" s="128">
        <v>15.0</v>
      </c>
      <c r="AG990" s="128">
        <v>1030.618572430575</v>
      </c>
      <c r="AH990" s="44"/>
      <c r="AI990" s="128"/>
      <c r="AJ990" s="128"/>
      <c r="AK990" s="128"/>
      <c r="AP990" s="128">
        <v>14.0</v>
      </c>
      <c r="AQ990" s="128">
        <v>14.0</v>
      </c>
      <c r="AT990" s="44">
        <v>989.0</v>
      </c>
      <c r="AU990" s="44"/>
      <c r="AW990" s="93"/>
      <c r="AY990" s="93"/>
      <c r="AZ990" s="93"/>
      <c r="BA990" s="93"/>
      <c r="BB990" s="155"/>
      <c r="BC990" s="93"/>
      <c r="BE990" s="93"/>
      <c r="BG990" s="93"/>
      <c r="BH990" s="93"/>
      <c r="BI990" s="93"/>
      <c r="BJ990" s="155"/>
      <c r="BK990" s="93"/>
    </row>
    <row r="991">
      <c r="A991" s="166">
        <v>44600.98294785879</v>
      </c>
      <c r="B991" s="44" t="s">
        <v>100</v>
      </c>
      <c r="C991" s="128">
        <v>967.1203037339407</v>
      </c>
      <c r="D991" s="128">
        <v>16.0</v>
      </c>
      <c r="E991" s="128">
        <v>958.7291707150838</v>
      </c>
      <c r="F991" s="44" t="s">
        <v>121</v>
      </c>
      <c r="G991" s="128">
        <v>982.0393006767019</v>
      </c>
      <c r="H991" s="128">
        <v>9.0</v>
      </c>
      <c r="I991" s="128">
        <v>968.9004839116534</v>
      </c>
      <c r="J991" s="44" t="s">
        <v>110</v>
      </c>
      <c r="K991" s="128">
        <v>993.9514374972117</v>
      </c>
      <c r="L991" s="128">
        <v>15.0</v>
      </c>
      <c r="M991" s="128">
        <v>984.7541295097883</v>
      </c>
      <c r="N991" s="44" t="s">
        <v>47</v>
      </c>
      <c r="O991" s="128">
        <v>1014.0837748988931</v>
      </c>
      <c r="P991" s="128">
        <v>27.0</v>
      </c>
      <c r="Q991" s="128">
        <v>1012.7996937422247</v>
      </c>
      <c r="R991" s="44" t="s">
        <v>112</v>
      </c>
      <c r="S991" s="128">
        <v>1024.1484293436201</v>
      </c>
      <c r="T991" s="128">
        <v>17.0</v>
      </c>
      <c r="U991" s="128">
        <v>1016.1597682716174</v>
      </c>
      <c r="V991" s="44" t="s">
        <v>108</v>
      </c>
      <c r="W991" s="128">
        <v>867.7551825959688</v>
      </c>
      <c r="X991" s="128">
        <v>7.0</v>
      </c>
      <c r="Y991" s="128">
        <v>867.7651825959688</v>
      </c>
      <c r="Z991" s="44" t="s">
        <v>88</v>
      </c>
      <c r="AA991" s="128">
        <v>956.2010672761097</v>
      </c>
      <c r="AB991" s="128">
        <v>25.0</v>
      </c>
      <c r="AC991" s="128">
        <v>965.1334020182422</v>
      </c>
      <c r="AD991" s="44" t="s">
        <v>92</v>
      </c>
      <c r="AE991" s="128">
        <v>1010.8531048806971</v>
      </c>
      <c r="AF991" s="128">
        <v>17.0</v>
      </c>
      <c r="AG991" s="128">
        <v>1014.0538674496901</v>
      </c>
      <c r="AH991" s="44" t="s">
        <v>38</v>
      </c>
      <c r="AI991" s="128">
        <v>1030.618572430575</v>
      </c>
      <c r="AJ991" s="128">
        <v>29.0</v>
      </c>
      <c r="AK991" s="128">
        <v>1041.7143191335442</v>
      </c>
      <c r="AL991" s="44" t="s">
        <v>27</v>
      </c>
      <c r="AM991" s="128">
        <v>1116.2955814527697</v>
      </c>
      <c r="AN991" s="128">
        <v>41.0</v>
      </c>
      <c r="AO991" s="128">
        <v>1135.1286677611245</v>
      </c>
      <c r="AP991" s="128">
        <v>9.0</v>
      </c>
      <c r="AQ991" s="128">
        <v>19.0</v>
      </c>
      <c r="AT991" s="44">
        <v>990.0</v>
      </c>
      <c r="AU991" s="44"/>
      <c r="AW991" s="93"/>
      <c r="AY991" s="93"/>
      <c r="AZ991" s="93"/>
      <c r="BA991" s="93"/>
      <c r="BB991" s="155"/>
      <c r="BC991" s="93"/>
      <c r="BE991" s="93"/>
      <c r="BG991" s="93"/>
      <c r="BH991" s="93"/>
      <c r="BI991" s="93"/>
      <c r="BJ991" s="155"/>
      <c r="BK991" s="93"/>
    </row>
    <row r="992">
      <c r="A992" s="166">
        <v>44601.02694414352</v>
      </c>
      <c r="B992" s="44" t="s">
        <v>108</v>
      </c>
      <c r="C992" s="128">
        <v>867.7651825959688</v>
      </c>
      <c r="D992" s="128">
        <v>12.0</v>
      </c>
      <c r="E992" s="128">
        <v>862.7271656196376</v>
      </c>
      <c r="F992" s="44" t="s">
        <v>100</v>
      </c>
      <c r="G992" s="128">
        <v>958.7291707150838</v>
      </c>
      <c r="H992" s="128">
        <v>12.0</v>
      </c>
      <c r="I992" s="128">
        <v>953.3473682021482</v>
      </c>
      <c r="J992" s="44" t="s">
        <v>98</v>
      </c>
      <c r="K992" s="128">
        <v>974.757438253783</v>
      </c>
      <c r="L992" s="128">
        <v>15.0</v>
      </c>
      <c r="M992" s="128">
        <v>970.3314558151113</v>
      </c>
      <c r="N992" s="44" t="s">
        <v>47</v>
      </c>
      <c r="O992" s="128">
        <v>1012.7996937422247</v>
      </c>
      <c r="P992" s="128">
        <v>22.0</v>
      </c>
      <c r="Q992" s="128">
        <v>1010.6210482049205</v>
      </c>
      <c r="R992" s="44" t="s">
        <v>27</v>
      </c>
      <c r="S992" s="128">
        <v>1135.1286677611245</v>
      </c>
      <c r="T992" s="128">
        <v>20.0</v>
      </c>
      <c r="U992" s="128">
        <v>1132.153115226367</v>
      </c>
      <c r="V992" s="44" t="s">
        <v>125</v>
      </c>
      <c r="W992" s="128">
        <v>792.2076864049741</v>
      </c>
      <c r="X992" s="128">
        <v>14.0</v>
      </c>
      <c r="Y992" s="128">
        <v>794.2733442366708</v>
      </c>
      <c r="Z992" s="44" t="s">
        <v>88</v>
      </c>
      <c r="AA992" s="128">
        <v>965.1334020182422</v>
      </c>
      <c r="AB992" s="128">
        <v>16.0</v>
      </c>
      <c r="AC992" s="128">
        <v>966.781819082848</v>
      </c>
      <c r="AD992" s="44" t="s">
        <v>110</v>
      </c>
      <c r="AE992" s="128">
        <v>984.7541295097883</v>
      </c>
      <c r="AF992" s="128">
        <v>21.0</v>
      </c>
      <c r="AG992" s="128">
        <v>987.99653075157</v>
      </c>
      <c r="AH992" s="44" t="s">
        <v>38</v>
      </c>
      <c r="AI992" s="128">
        <v>1041.7143191335442</v>
      </c>
      <c r="AJ992" s="128">
        <v>31.0</v>
      </c>
      <c r="AK992" s="128">
        <v>1048.1339645467351</v>
      </c>
      <c r="AL992" s="44" t="s">
        <v>31</v>
      </c>
      <c r="AM992" s="128">
        <v>1164.1917829791525</v>
      </c>
      <c r="AN992" s="128">
        <v>32.0</v>
      </c>
      <c r="AO992" s="128">
        <v>1170.8156614278773</v>
      </c>
      <c r="AP992" s="128">
        <v>10.0</v>
      </c>
      <c r="AQ992" s="128">
        <v>18.0</v>
      </c>
      <c r="AT992" s="44">
        <v>991.0</v>
      </c>
      <c r="AU992" s="44"/>
      <c r="AW992" s="93"/>
      <c r="AY992" s="93"/>
      <c r="AZ992" s="93"/>
      <c r="BA992" s="93"/>
      <c r="BB992" s="155"/>
      <c r="BC992" s="93"/>
      <c r="BE992" s="93"/>
      <c r="BG992" s="93"/>
      <c r="BH992" s="93"/>
      <c r="BI992" s="93"/>
      <c r="BJ992" s="155"/>
      <c r="BK992" s="93"/>
    </row>
    <row r="993">
      <c r="A993" s="166">
        <v>44601.71684732639</v>
      </c>
      <c r="B993" s="44" t="s">
        <v>108</v>
      </c>
      <c r="C993" s="128">
        <v>862.7271656196376</v>
      </c>
      <c r="D993" s="128">
        <v>7.0</v>
      </c>
      <c r="E993" s="128">
        <v>852.7921254499701</v>
      </c>
      <c r="F993" s="44" t="s">
        <v>92</v>
      </c>
      <c r="G993" s="128">
        <v>1014.0538674496901</v>
      </c>
      <c r="H993" s="128">
        <v>21.0</v>
      </c>
      <c r="I993" s="128">
        <v>1010.9889076193576</v>
      </c>
      <c r="J993" s="44"/>
      <c r="K993" s="128"/>
      <c r="L993" s="128"/>
      <c r="M993" s="128"/>
      <c r="N993" s="44"/>
      <c r="O993" s="128"/>
      <c r="P993" s="128"/>
      <c r="Q993" s="128"/>
      <c r="V993" s="44" t="s">
        <v>123</v>
      </c>
      <c r="W993" s="128">
        <v>827.3942645791533</v>
      </c>
      <c r="X993" s="128">
        <v>9.0</v>
      </c>
      <c r="Y993" s="128">
        <v>828.5222486494717</v>
      </c>
      <c r="Z993" s="44" t="s">
        <v>31</v>
      </c>
      <c r="AA993" s="128">
        <v>1170.8156614278773</v>
      </c>
      <c r="AB993" s="128">
        <v>32.0</v>
      </c>
      <c r="AC993" s="128">
        <v>1182.6876773575589</v>
      </c>
      <c r="AD993" s="44"/>
      <c r="AE993" s="128"/>
      <c r="AF993" s="128"/>
      <c r="AG993" s="128"/>
      <c r="AH993" s="44"/>
      <c r="AI993" s="128"/>
      <c r="AJ993" s="128"/>
      <c r="AK993" s="128"/>
      <c r="AP993" s="128">
        <v>10.0</v>
      </c>
      <c r="AQ993" s="128">
        <v>18.0</v>
      </c>
      <c r="AT993" s="44">
        <v>992.0</v>
      </c>
      <c r="AU993" s="44"/>
      <c r="AW993" s="93"/>
      <c r="AY993" s="93"/>
      <c r="AZ993" s="93"/>
      <c r="BA993" s="93"/>
      <c r="BB993" s="155"/>
      <c r="BC993" s="93"/>
      <c r="BE993" s="93"/>
      <c r="BG993" s="93"/>
      <c r="BH993" s="93"/>
      <c r="BI993" s="93"/>
      <c r="BJ993" s="155"/>
      <c r="BK993" s="93"/>
    </row>
    <row r="994">
      <c r="A994" s="166">
        <v>44601.94519561343</v>
      </c>
      <c r="B994" s="44" t="s">
        <v>582</v>
      </c>
      <c r="C994" s="128">
        <v>910.8103485219999</v>
      </c>
      <c r="D994" s="128">
        <v>6.0</v>
      </c>
      <c r="E994" s="128">
        <v>910.8203485219999</v>
      </c>
      <c r="F994" s="44" t="s">
        <v>110</v>
      </c>
      <c r="G994" s="128">
        <v>987.99653075157</v>
      </c>
      <c r="H994" s="128">
        <v>23.0</v>
      </c>
      <c r="I994" s="128">
        <v>993.3587607936777</v>
      </c>
      <c r="J994" s="44" t="s">
        <v>92</v>
      </c>
      <c r="K994" s="128">
        <v>1010.9889076193576</v>
      </c>
      <c r="L994" s="128">
        <v>26.0</v>
      </c>
      <c r="M994" s="128">
        <v>1017.5175368691554</v>
      </c>
      <c r="N994" s="44" t="s">
        <v>112</v>
      </c>
      <c r="O994" s="128">
        <v>1016.1597682716174</v>
      </c>
      <c r="P994" s="128">
        <v>33.0</v>
      </c>
      <c r="Q994" s="128">
        <v>1025.5883927553443</v>
      </c>
      <c r="V994" s="44" t="s">
        <v>123</v>
      </c>
      <c r="W994" s="128">
        <v>828.5222486494717</v>
      </c>
      <c r="X994" s="128">
        <v>12.0</v>
      </c>
      <c r="Y994" s="128">
        <v>821.8179412435038</v>
      </c>
      <c r="Z994" s="44" t="s">
        <v>88</v>
      </c>
      <c r="AA994" s="128">
        <v>966.781819082848</v>
      </c>
      <c r="AB994" s="128">
        <v>14.0</v>
      </c>
      <c r="AC994" s="128">
        <v>960.1351210566893</v>
      </c>
      <c r="AD994" s="44" t="s">
        <v>486</v>
      </c>
      <c r="AE994" s="128">
        <v>1000.0</v>
      </c>
      <c r="AF994" s="128">
        <v>9.0</v>
      </c>
      <c r="AG994" s="128">
        <v>991.1577018282195</v>
      </c>
      <c r="AH994" s="44" t="s">
        <v>27</v>
      </c>
      <c r="AI994" s="128">
        <v>1132.153115226367</v>
      </c>
      <c r="AJ994" s="128">
        <v>36.0</v>
      </c>
      <c r="AK994" s="128">
        <v>1132.143115226367</v>
      </c>
      <c r="AP994" s="128">
        <v>17.0</v>
      </c>
      <c r="AQ994" s="128">
        <v>11.0</v>
      </c>
      <c r="AT994" s="44">
        <v>993.0</v>
      </c>
      <c r="AU994" s="44"/>
      <c r="AW994" s="93"/>
      <c r="AY994" s="93"/>
      <c r="AZ994" s="93"/>
      <c r="BA994" s="93"/>
      <c r="BB994" s="155"/>
      <c r="BC994" s="93"/>
      <c r="BE994" s="93"/>
      <c r="BG994" s="93"/>
      <c r="BH994" s="93"/>
      <c r="BI994" s="93"/>
      <c r="BJ994" s="155"/>
      <c r="BK994" s="93"/>
    </row>
    <row r="995">
      <c r="A995" s="166">
        <v>44601.99214771991</v>
      </c>
      <c r="B995" s="44" t="s">
        <v>582</v>
      </c>
      <c r="C995" s="128">
        <v>910.8203485219999</v>
      </c>
      <c r="D995" s="128">
        <v>6.0</v>
      </c>
      <c r="E995" s="128">
        <v>883.4781000556305</v>
      </c>
      <c r="F995" s="44" t="s">
        <v>486</v>
      </c>
      <c r="G995" s="128">
        <v>991.1577018282195</v>
      </c>
      <c r="H995" s="128">
        <v>12.0</v>
      </c>
      <c r="I995" s="128">
        <v>970.6551588258601</v>
      </c>
      <c r="J995" s="44" t="s">
        <v>110</v>
      </c>
      <c r="K995" s="128">
        <v>993.3587607936777</v>
      </c>
      <c r="L995" s="128">
        <v>27.0</v>
      </c>
      <c r="M995" s="128">
        <v>992.2125440884641</v>
      </c>
      <c r="N995" s="44" t="s">
        <v>112</v>
      </c>
      <c r="O995" s="128">
        <v>1025.5883927553443</v>
      </c>
      <c r="P995" s="128">
        <v>18.0</v>
      </c>
      <c r="Q995" s="128">
        <v>1012.5794009292866</v>
      </c>
      <c r="V995" s="44" t="s">
        <v>125</v>
      </c>
      <c r="W995" s="128">
        <v>794.2733442366708</v>
      </c>
      <c r="X995" s="128">
        <v>19.0</v>
      </c>
      <c r="Y995" s="128">
        <v>805.8282125291429</v>
      </c>
      <c r="Z995" s="44" t="s">
        <v>123</v>
      </c>
      <c r="AA995" s="128">
        <v>821.8179412435038</v>
      </c>
      <c r="AB995" s="128">
        <v>21.0</v>
      </c>
      <c r="AC995" s="128">
        <v>835.0187166760289</v>
      </c>
      <c r="AD995" s="44" t="s">
        <v>88</v>
      </c>
      <c r="AE995" s="128">
        <v>960.1351210566893</v>
      </c>
      <c r="AF995" s="128">
        <v>23.0</v>
      </c>
      <c r="AG995" s="128">
        <v>972.4274045707441</v>
      </c>
      <c r="AH995" s="44" t="s">
        <v>27</v>
      </c>
      <c r="AI995" s="128">
        <v>1132.143115226367</v>
      </c>
      <c r="AJ995" s="128">
        <v>34.0</v>
      </c>
      <c r="AK995" s="128">
        <v>1157.0951879873148</v>
      </c>
      <c r="AP995" s="128">
        <v>7.0</v>
      </c>
      <c r="AQ995" s="128">
        <v>21.0</v>
      </c>
      <c r="AT995" s="44">
        <v>994.0</v>
      </c>
      <c r="AU995" s="44"/>
      <c r="AW995" s="93"/>
      <c r="AY995" s="93"/>
      <c r="AZ995" s="93"/>
      <c r="BA995" s="93"/>
      <c r="BB995" s="155"/>
      <c r="BC995" s="93"/>
      <c r="BE995" s="93"/>
      <c r="BG995" s="93"/>
      <c r="BH995" s="93"/>
      <c r="BI995" s="93"/>
      <c r="BJ995" s="155"/>
      <c r="BK995" s="93"/>
    </row>
    <row r="996">
      <c r="A996" s="166">
        <v>44602.027822592594</v>
      </c>
      <c r="B996" s="44" t="s">
        <v>125</v>
      </c>
      <c r="C996" s="128">
        <v>805.8282125291429</v>
      </c>
      <c r="D996" s="128">
        <v>9.0</v>
      </c>
      <c r="E996" s="128">
        <v>806.6040551295067</v>
      </c>
      <c r="F996" s="44" t="s">
        <v>108</v>
      </c>
      <c r="G996" s="128">
        <v>852.7921254499701</v>
      </c>
      <c r="H996" s="128">
        <v>15.0</v>
      </c>
      <c r="I996" s="128">
        <v>854.6332672827064</v>
      </c>
      <c r="J996" s="44" t="s">
        <v>110</v>
      </c>
      <c r="K996" s="128">
        <v>992.2125440884641</v>
      </c>
      <c r="L996" s="128">
        <v>20.0</v>
      </c>
      <c r="M996" s="128">
        <v>994.7224578525208</v>
      </c>
      <c r="N996" s="44" t="s">
        <v>27</v>
      </c>
      <c r="O996" s="128">
        <v>1157.0951879873148</v>
      </c>
      <c r="P996" s="128">
        <v>32.0</v>
      </c>
      <c r="Q996" s="128">
        <v>1161.968289790158</v>
      </c>
      <c r="V996" s="44" t="s">
        <v>123</v>
      </c>
      <c r="W996" s="128">
        <v>835.0187166760289</v>
      </c>
      <c r="X996" s="128">
        <v>13.0</v>
      </c>
      <c r="Y996" s="128">
        <v>831.8690497963969</v>
      </c>
      <c r="Z996" s="44" t="s">
        <v>486</v>
      </c>
      <c r="AA996" s="128">
        <v>970.6551588258601</v>
      </c>
      <c r="AB996" s="128">
        <v>16.0</v>
      </c>
      <c r="AC996" s="128">
        <v>967.7694558676276</v>
      </c>
      <c r="AD996" s="44" t="s">
        <v>88</v>
      </c>
      <c r="AE996" s="128">
        <v>972.4274045707441</v>
      </c>
      <c r="AF996" s="128">
        <v>21.0</v>
      </c>
      <c r="AG996" s="128">
        <v>970.5801878294598</v>
      </c>
      <c r="AH996" s="44" t="s">
        <v>112</v>
      </c>
      <c r="AI996" s="128">
        <v>1012.5794009292866</v>
      </c>
      <c r="AJ996" s="128">
        <v>20.0</v>
      </c>
      <c r="AK996" s="128">
        <v>1010.4619875084355</v>
      </c>
      <c r="AP996" s="128">
        <v>15.0</v>
      </c>
      <c r="AQ996" s="128">
        <v>13.0</v>
      </c>
      <c r="AT996" s="44">
        <v>995.0</v>
      </c>
      <c r="AU996" s="44"/>
      <c r="AW996" s="93"/>
      <c r="AY996" s="93"/>
      <c r="AZ996" s="93"/>
      <c r="BA996" s="93"/>
      <c r="BB996" s="155"/>
      <c r="BC996" s="93"/>
      <c r="BE996" s="93"/>
      <c r="BG996" s="93"/>
      <c r="BH996" s="93"/>
      <c r="BI996" s="93"/>
      <c r="BJ996" s="155"/>
      <c r="BK996" s="93"/>
    </row>
    <row r="997">
      <c r="A997" s="166">
        <v>44602.69599356482</v>
      </c>
      <c r="B997" s="44" t="s">
        <v>123</v>
      </c>
      <c r="C997" s="128">
        <v>831.8690497963969</v>
      </c>
      <c r="D997" s="128">
        <v>15.0</v>
      </c>
      <c r="E997" s="128">
        <v>840.2432292071508</v>
      </c>
      <c r="F997" s="44" t="s">
        <v>92</v>
      </c>
      <c r="G997" s="128">
        <v>1017.5175368691554</v>
      </c>
      <c r="H997" s="128">
        <v>26.0</v>
      </c>
      <c r="I997" s="128">
        <v>1035.1433574584014</v>
      </c>
      <c r="J997" s="44"/>
      <c r="K997" s="128"/>
      <c r="L997" s="128"/>
      <c r="M997" s="128"/>
      <c r="N997" s="44"/>
      <c r="O997" s="128"/>
      <c r="P997" s="128"/>
      <c r="Q997" s="128"/>
      <c r="V997" s="44" t="s">
        <v>100</v>
      </c>
      <c r="W997" s="128">
        <v>953.3473682021482</v>
      </c>
      <c r="X997" s="128">
        <v>15.0</v>
      </c>
      <c r="Y997" s="128">
        <v>941.0842861615027</v>
      </c>
      <c r="Z997" s="44" t="s">
        <v>112</v>
      </c>
      <c r="AA997" s="128">
        <v>1010.4619875084355</v>
      </c>
      <c r="AB997" s="128">
        <v>14.0</v>
      </c>
      <c r="AC997" s="128">
        <v>996.725069549081</v>
      </c>
      <c r="AD997" s="44"/>
      <c r="AE997" s="128"/>
      <c r="AF997" s="128"/>
      <c r="AG997" s="128"/>
      <c r="AH997" s="44"/>
      <c r="AI997" s="128"/>
      <c r="AJ997" s="128"/>
      <c r="AK997" s="128"/>
      <c r="AP997" s="128">
        <v>17.0</v>
      </c>
      <c r="AQ997" s="128">
        <v>11.0</v>
      </c>
      <c r="AT997" s="44">
        <v>996.0</v>
      </c>
      <c r="AU997" s="44"/>
      <c r="AW997" s="93"/>
      <c r="AY997" s="93"/>
      <c r="AZ997" s="93"/>
      <c r="BA997" s="93"/>
      <c r="BB997" s="155"/>
      <c r="BC997" s="93"/>
      <c r="BE997" s="93"/>
      <c r="BG997" s="93"/>
      <c r="BH997" s="93"/>
      <c r="BI997" s="93"/>
      <c r="BJ997" s="155"/>
      <c r="BK997" s="93"/>
    </row>
    <row r="998">
      <c r="A998" s="166">
        <v>44604.948408958335</v>
      </c>
      <c r="B998" s="44" t="s">
        <v>125</v>
      </c>
      <c r="C998" s="128">
        <v>806.6040551295067</v>
      </c>
      <c r="D998" s="128">
        <v>9.0</v>
      </c>
      <c r="E998" s="128">
        <v>807.6809261658433</v>
      </c>
      <c r="F998" s="44" t="s">
        <v>38</v>
      </c>
      <c r="G998" s="128">
        <v>1048.1339645467351</v>
      </c>
      <c r="H998" s="128">
        <v>20.0</v>
      </c>
      <c r="I998" s="128">
        <v>1051.256449338936</v>
      </c>
      <c r="J998" s="44" t="s">
        <v>27</v>
      </c>
      <c r="K998" s="128">
        <v>1161.968289790158</v>
      </c>
      <c r="L998" s="128">
        <v>27.0</v>
      </c>
      <c r="M998" s="128">
        <v>1166.7689339616204</v>
      </c>
      <c r="N998" s="44"/>
      <c r="O998" s="128"/>
      <c r="P998" s="128"/>
      <c r="Q998" s="128"/>
      <c r="V998" s="44" t="s">
        <v>90</v>
      </c>
      <c r="W998" s="128">
        <v>989.8382851803258</v>
      </c>
      <c r="X998" s="128">
        <v>9.0</v>
      </c>
      <c r="Y998" s="128">
        <v>985.0193088432334</v>
      </c>
      <c r="Z998" s="44" t="s">
        <v>112</v>
      </c>
      <c r="AA998" s="128">
        <v>996.725069549081</v>
      </c>
      <c r="AB998" s="128">
        <v>18.0</v>
      </c>
      <c r="AC998" s="128">
        <v>994.1449353129045</v>
      </c>
      <c r="AD998" s="44" t="s">
        <v>47</v>
      </c>
      <c r="AE998" s="128">
        <v>1010.6210482049205</v>
      </c>
      <c r="AF998" s="128">
        <v>22.0</v>
      </c>
      <c r="AG998" s="128">
        <v>1009.0201587781894</v>
      </c>
      <c r="AH998" s="44"/>
      <c r="AI998" s="128"/>
      <c r="AJ998" s="128"/>
      <c r="AK998" s="128"/>
      <c r="AP998" s="128">
        <v>15.0</v>
      </c>
      <c r="AQ998" s="128">
        <v>13.0</v>
      </c>
      <c r="AT998" s="44">
        <v>997.0</v>
      </c>
      <c r="AU998" s="44"/>
      <c r="AW998" s="93"/>
      <c r="AY998" s="93"/>
      <c r="AZ998" s="93"/>
      <c r="BA998" s="93"/>
      <c r="BB998" s="155"/>
      <c r="BC998" s="93"/>
      <c r="BE998" s="93"/>
      <c r="BG998" s="93"/>
      <c r="BH998" s="93"/>
      <c r="BI998" s="93"/>
      <c r="BJ998" s="155"/>
      <c r="BK998" s="93"/>
    </row>
    <row r="999">
      <c r="A999" s="166">
        <v>44604.98152782407</v>
      </c>
      <c r="B999" s="44" t="s">
        <v>125</v>
      </c>
      <c r="C999" s="128">
        <v>807.6809261658433</v>
      </c>
      <c r="D999" s="128">
        <v>17.0</v>
      </c>
      <c r="E999" s="128">
        <v>815.3388222622763</v>
      </c>
      <c r="F999" s="44" t="s">
        <v>112</v>
      </c>
      <c r="G999" s="128">
        <v>994.1449353129045</v>
      </c>
      <c r="H999" s="128">
        <v>21.0</v>
      </c>
      <c r="I999" s="128">
        <v>1002.6721634496457</v>
      </c>
      <c r="J999" s="44" t="s">
        <v>61</v>
      </c>
      <c r="K999" s="128">
        <v>1018.7328893286684</v>
      </c>
      <c r="L999" s="128">
        <v>21.0</v>
      </c>
      <c r="M999" s="128">
        <v>1027.0499578875738</v>
      </c>
      <c r="N999" s="44" t="s">
        <v>38</v>
      </c>
      <c r="O999" s="128">
        <v>1051.256449338936</v>
      </c>
      <c r="P999" s="128">
        <v>34.0</v>
      </c>
      <c r="Q999" s="128">
        <v>1072.1404310257533</v>
      </c>
      <c r="R999" s="44" t="s">
        <v>23</v>
      </c>
      <c r="S999" s="128">
        <v>1237.4067257849924</v>
      </c>
      <c r="T999" s="128">
        <v>27.0</v>
      </c>
      <c r="U999" s="128">
        <v>1251.0205513060955</v>
      </c>
      <c r="V999" s="44" t="s">
        <v>98</v>
      </c>
      <c r="W999" s="128">
        <v>970.3314558151113</v>
      </c>
      <c r="X999" s="128">
        <v>8.0</v>
      </c>
      <c r="Y999" s="128">
        <v>952.8097556263597</v>
      </c>
      <c r="Z999" s="44" t="s">
        <v>88</v>
      </c>
      <c r="AA999" s="128">
        <v>970.5801878294598</v>
      </c>
      <c r="AB999" s="128">
        <v>15.0</v>
      </c>
      <c r="AC999" s="128">
        <v>959.9402284633748</v>
      </c>
      <c r="AD999" s="44" t="s">
        <v>90</v>
      </c>
      <c r="AE999" s="128">
        <v>985.0193088432334</v>
      </c>
      <c r="AF999" s="128">
        <v>13.0</v>
      </c>
      <c r="AG999" s="128">
        <v>972.3247729430008</v>
      </c>
      <c r="AH999" s="44" t="s">
        <v>47</v>
      </c>
      <c r="AI999" s="128">
        <v>1009.0201587781894</v>
      </c>
      <c r="AJ999" s="128">
        <v>10.0</v>
      </c>
      <c r="AK999" s="128">
        <v>993.2487552452684</v>
      </c>
      <c r="AL999" s="44" t="s">
        <v>27</v>
      </c>
      <c r="AM999" s="128">
        <v>1166.7689339616204</v>
      </c>
      <c r="AN999" s="128">
        <v>24.0</v>
      </c>
      <c r="AO999" s="128">
        <v>1164.3965329496107</v>
      </c>
      <c r="AP999" s="128">
        <v>23.0</v>
      </c>
      <c r="AQ999" s="128">
        <v>5.0</v>
      </c>
      <c r="AT999" s="44">
        <v>998.0</v>
      </c>
      <c r="AU999" s="44"/>
      <c r="AW999" s="93"/>
      <c r="AY999" s="93"/>
      <c r="AZ999" s="93"/>
      <c r="BA999" s="93"/>
      <c r="BB999" s="155"/>
      <c r="BC999" s="93"/>
      <c r="BE999" s="93"/>
      <c r="BG999" s="93"/>
      <c r="BH999" s="93"/>
      <c r="BI999" s="93"/>
      <c r="BJ999" s="155"/>
      <c r="BK999" s="93"/>
    </row>
    <row r="1000">
      <c r="A1000" s="166">
        <v>44605.01627096065</v>
      </c>
      <c r="B1000" s="44" t="s">
        <v>47</v>
      </c>
      <c r="C1000" s="128">
        <v>993.2487552452684</v>
      </c>
      <c r="D1000" s="128">
        <v>19.0</v>
      </c>
      <c r="E1000" s="128">
        <v>998.0808249587241</v>
      </c>
      <c r="F1000" s="44" t="s">
        <v>112</v>
      </c>
      <c r="G1000" s="128">
        <v>1002.6721634496457</v>
      </c>
      <c r="H1000" s="128">
        <v>18.0</v>
      </c>
      <c r="I1000" s="128">
        <v>1007.1201713539459</v>
      </c>
      <c r="J1000" s="44" t="s">
        <v>50</v>
      </c>
      <c r="K1000" s="128">
        <v>1005.1965579702177</v>
      </c>
      <c r="L1000" s="128">
        <v>16.0</v>
      </c>
      <c r="M1000" s="128">
        <v>1008.9164803524619</v>
      </c>
      <c r="N1000" s="44"/>
      <c r="O1000" s="128"/>
      <c r="P1000" s="128"/>
      <c r="Q1000" s="128"/>
      <c r="V1000" s="44" t="s">
        <v>88</v>
      </c>
      <c r="W1000" s="128">
        <v>959.9402284633748</v>
      </c>
      <c r="X1000" s="128">
        <v>22.0</v>
      </c>
      <c r="Y1000" s="128">
        <v>957.2806323806906</v>
      </c>
      <c r="Z1000" s="44" t="s">
        <v>486</v>
      </c>
      <c r="AA1000" s="128">
        <v>967.7694558676276</v>
      </c>
      <c r="AB1000" s="128">
        <v>10.0</v>
      </c>
      <c r="AC1000" s="128">
        <v>960.7521917163294</v>
      </c>
      <c r="AD1000" s="44" t="s">
        <v>27</v>
      </c>
      <c r="AE1000" s="128">
        <v>1164.3965329496107</v>
      </c>
      <c r="AF1000" s="128">
        <v>21.0</v>
      </c>
      <c r="AG1000" s="128">
        <v>1161.073393183593</v>
      </c>
      <c r="AH1000" s="44"/>
      <c r="AI1000" s="128"/>
      <c r="AJ1000" s="128"/>
      <c r="AK1000" s="128"/>
      <c r="AP1000" s="128">
        <v>15.0</v>
      </c>
      <c r="AQ1000" s="128">
        <v>13.0</v>
      </c>
      <c r="AT1000" s="44">
        <v>999.0</v>
      </c>
      <c r="AU1000" s="44"/>
      <c r="AW1000" s="93"/>
      <c r="AY1000" s="93"/>
      <c r="AZ1000" s="93"/>
      <c r="BA1000" s="93"/>
      <c r="BB1000" s="155"/>
      <c r="BC1000" s="93"/>
      <c r="BE1000" s="93"/>
      <c r="BG1000" s="93"/>
      <c r="BH1000" s="93"/>
      <c r="BI1000" s="93"/>
      <c r="BJ1000" s="155"/>
      <c r="BK1000" s="93"/>
    </row>
    <row r="1001">
      <c r="A1001" s="166">
        <v>44605.0540531713</v>
      </c>
      <c r="B1001" s="44" t="s">
        <v>47</v>
      </c>
      <c r="C1001" s="128">
        <v>998.0808249587241</v>
      </c>
      <c r="D1001" s="128">
        <v>11.0</v>
      </c>
      <c r="E1001" s="128">
        <v>999.8376082904919</v>
      </c>
      <c r="F1001" s="44" t="s">
        <v>112</v>
      </c>
      <c r="G1001" s="128">
        <v>1007.1201713539459</v>
      </c>
      <c r="H1001" s="128">
        <v>20.0</v>
      </c>
      <c r="I1001" s="128">
        <v>1018.7976700738889</v>
      </c>
      <c r="J1001" s="44" t="s">
        <v>31</v>
      </c>
      <c r="K1001" s="128">
        <v>1182.6876773575589</v>
      </c>
      <c r="L1001" s="128">
        <v>34.0</v>
      </c>
      <c r="M1001" s="128">
        <v>1209.253395305848</v>
      </c>
      <c r="N1001" s="44"/>
      <c r="O1001" s="128"/>
      <c r="P1001" s="128"/>
      <c r="Q1001" s="128"/>
      <c r="V1001" s="44" t="s">
        <v>88</v>
      </c>
      <c r="W1001" s="128">
        <v>957.2806323806906</v>
      </c>
      <c r="X1001" s="128">
        <v>16.0</v>
      </c>
      <c r="Y1001" s="128">
        <v>946.6181799405357</v>
      </c>
      <c r="Z1001" s="44" t="s">
        <v>38</v>
      </c>
      <c r="AA1001" s="128">
        <v>1072.1404310257533</v>
      </c>
      <c r="AB1001" s="128">
        <v>10.0</v>
      </c>
      <c r="AC1001" s="128">
        <v>1054.2133472333053</v>
      </c>
      <c r="AD1001" s="44" t="s">
        <v>27</v>
      </c>
      <c r="AE1001" s="128">
        <v>1161.073393183593</v>
      </c>
      <c r="AF1001" s="128">
        <v>16.0</v>
      </c>
      <c r="AG1001" s="128">
        <v>1149.662929416196</v>
      </c>
      <c r="AH1001" s="44"/>
      <c r="AI1001" s="128"/>
      <c r="AJ1001" s="128"/>
      <c r="AK1001" s="128"/>
      <c r="AP1001" s="128">
        <v>20.0</v>
      </c>
      <c r="AQ1001" s="128">
        <v>8.0</v>
      </c>
      <c r="AS1001" s="44" t="s">
        <v>360</v>
      </c>
      <c r="AT1001" s="44">
        <v>1000.0</v>
      </c>
      <c r="AU1001" s="44"/>
      <c r="AW1001" s="93"/>
      <c r="AY1001" s="93"/>
      <c r="AZ1001" s="93"/>
      <c r="BA1001" s="93"/>
      <c r="BB1001" s="155"/>
      <c r="BC1001" s="93"/>
      <c r="BE1001" s="93"/>
      <c r="BG1001" s="93"/>
      <c r="BH1001" s="93"/>
      <c r="BI1001" s="93"/>
      <c r="BJ1001" s="155"/>
      <c r="BK1001" s="93"/>
    </row>
    <row r="1002">
      <c r="A1002" s="166">
        <v>44605.09397335648</v>
      </c>
      <c r="B1002" s="44" t="s">
        <v>486</v>
      </c>
      <c r="C1002" s="128">
        <v>960.7521917163294</v>
      </c>
      <c r="D1002" s="128">
        <v>17.0</v>
      </c>
      <c r="E1002" s="128">
        <v>964.1768946779125</v>
      </c>
      <c r="F1002" s="44" t="s">
        <v>47</v>
      </c>
      <c r="G1002" s="128">
        <v>999.8376082904919</v>
      </c>
      <c r="H1002" s="128">
        <v>19.0</v>
      </c>
      <c r="I1002" s="128">
        <v>1003.9475716090751</v>
      </c>
      <c r="J1002" s="44" t="s">
        <v>112</v>
      </c>
      <c r="K1002" s="128">
        <v>1018.7976700738889</v>
      </c>
      <c r="L1002" s="128">
        <v>22.0</v>
      </c>
      <c r="M1002" s="128">
        <v>1024.100042055103</v>
      </c>
      <c r="N1002" s="44" t="s">
        <v>23</v>
      </c>
      <c r="O1002" s="128">
        <v>1251.0205513060955</v>
      </c>
      <c r="P1002" s="128">
        <v>27.0</v>
      </c>
      <c r="Q1002" s="128">
        <v>1258.183513044715</v>
      </c>
      <c r="V1002" s="44" t="s">
        <v>88</v>
      </c>
      <c r="W1002" s="128">
        <v>946.6181799405357</v>
      </c>
      <c r="X1002" s="128">
        <v>10.0</v>
      </c>
      <c r="Y1002" s="128">
        <v>938.5242133768708</v>
      </c>
      <c r="Z1002" s="44" t="s">
        <v>61</v>
      </c>
      <c r="AA1002" s="128">
        <v>1027.0499578875738</v>
      </c>
      <c r="AB1002" s="128">
        <v>13.0</v>
      </c>
      <c r="AC1002" s="128">
        <v>1019.9595733708751</v>
      </c>
      <c r="AD1002" s="44" t="s">
        <v>38</v>
      </c>
      <c r="AE1002" s="128">
        <v>1054.2133472333053</v>
      </c>
      <c r="AF1002" s="128">
        <v>21.0</v>
      </c>
      <c r="AG1002" s="128">
        <v>1050.403517127802</v>
      </c>
      <c r="AH1002" s="44" t="s">
        <v>31</v>
      </c>
      <c r="AI1002" s="128">
        <v>1209.253395305848</v>
      </c>
      <c r="AJ1002" s="128">
        <v>28.0</v>
      </c>
      <c r="AK1002" s="128">
        <v>1208.2475764917149</v>
      </c>
      <c r="AP1002" s="128">
        <v>17.0</v>
      </c>
      <c r="AQ1002" s="128">
        <v>11.0</v>
      </c>
      <c r="AS1002" s="44" t="s">
        <v>229</v>
      </c>
      <c r="AT1002" s="44">
        <v>1001.0</v>
      </c>
      <c r="AU1002" s="44"/>
      <c r="AW1002" s="93"/>
      <c r="AY1002" s="93"/>
      <c r="AZ1002" s="93"/>
      <c r="BA1002" s="93"/>
      <c r="BB1002" s="155"/>
      <c r="BC1002" s="93"/>
      <c r="BE1002" s="93"/>
      <c r="BG1002" s="93"/>
      <c r="BH1002" s="93"/>
      <c r="BI1002" s="93"/>
      <c r="BJ1002" s="155"/>
      <c r="BK1002" s="93"/>
    </row>
    <row r="1003">
      <c r="A1003" s="166">
        <v>44606.01613163194</v>
      </c>
      <c r="B1003" s="44" t="s">
        <v>125</v>
      </c>
      <c r="C1003" s="128">
        <v>815.3388222622763</v>
      </c>
      <c r="D1003" s="128">
        <v>19.0</v>
      </c>
      <c r="E1003" s="128">
        <v>810.2724544220075</v>
      </c>
      <c r="F1003" s="44" t="s">
        <v>486</v>
      </c>
      <c r="G1003" s="128">
        <v>964.1768946779125</v>
      </c>
      <c r="H1003" s="128">
        <v>13.0</v>
      </c>
      <c r="I1003" s="128">
        <v>954.7117380750478</v>
      </c>
      <c r="J1003" s="44" t="s">
        <v>27</v>
      </c>
      <c r="K1003" s="128">
        <v>1149.662929416196</v>
      </c>
      <c r="L1003" s="128">
        <v>21.0</v>
      </c>
      <c r="M1003" s="128">
        <v>1144.1944538593293</v>
      </c>
      <c r="N1003" s="44"/>
      <c r="O1003" s="128"/>
      <c r="P1003" s="128"/>
      <c r="Q1003" s="128"/>
      <c r="V1003" s="44" t="s">
        <v>88</v>
      </c>
      <c r="W1003" s="128">
        <v>938.5242133768708</v>
      </c>
      <c r="X1003" s="128">
        <v>24.0</v>
      </c>
      <c r="Y1003" s="128">
        <v>947.7638370081477</v>
      </c>
      <c r="Z1003" s="44" t="s">
        <v>100</v>
      </c>
      <c r="AA1003" s="128">
        <v>941.0842861615027</v>
      </c>
      <c r="AB1003" s="128">
        <v>9.0</v>
      </c>
      <c r="AC1003" s="128">
        <v>941.9749729302092</v>
      </c>
      <c r="AD1003" s="44" t="s">
        <v>38</v>
      </c>
      <c r="AE1003" s="128">
        <v>1050.403517127802</v>
      </c>
      <c r="AF1003" s="128">
        <v>26.0</v>
      </c>
      <c r="AG1003" s="128">
        <v>1060.2732067278187</v>
      </c>
      <c r="AH1003" s="44"/>
      <c r="AI1003" s="128"/>
      <c r="AJ1003" s="128"/>
      <c r="AK1003" s="128"/>
      <c r="AP1003" s="128">
        <v>12.0</v>
      </c>
      <c r="AQ1003" s="128">
        <v>16.0</v>
      </c>
      <c r="AT1003" s="44">
        <v>1002.0</v>
      </c>
      <c r="AU1003" s="44"/>
      <c r="AW1003" s="93"/>
      <c r="AY1003" s="93"/>
      <c r="AZ1003" s="93"/>
      <c r="BA1003" s="93"/>
      <c r="BB1003" s="155"/>
      <c r="BC1003" s="93"/>
      <c r="BE1003" s="93"/>
      <c r="BG1003" s="93"/>
      <c r="BH1003" s="93"/>
      <c r="BI1003" s="93"/>
      <c r="BJ1003" s="155"/>
      <c r="BK1003" s="93"/>
    </row>
    <row r="1004">
      <c r="A1004" s="166">
        <v>44608.045024872685</v>
      </c>
      <c r="B1004" s="44" t="s">
        <v>125</v>
      </c>
      <c r="C1004" s="128">
        <v>810.2724544220075</v>
      </c>
      <c r="D1004" s="128">
        <v>21.0</v>
      </c>
      <c r="E1004" s="128">
        <v>810.2824544220075</v>
      </c>
      <c r="F1004" s="44" t="s">
        <v>88</v>
      </c>
      <c r="G1004" s="128">
        <v>947.7638370081477</v>
      </c>
      <c r="H1004" s="128">
        <v>32.0</v>
      </c>
      <c r="I1004" s="128">
        <v>947.7738370081477</v>
      </c>
      <c r="J1004" s="44" t="s">
        <v>23</v>
      </c>
      <c r="K1004" s="128">
        <v>1258.183513044715</v>
      </c>
      <c r="L1004" s="128">
        <v>58.0</v>
      </c>
      <c r="M1004" s="128">
        <v>1258.193513044715</v>
      </c>
      <c r="N1004" s="44"/>
      <c r="O1004" s="128"/>
      <c r="P1004" s="128"/>
      <c r="Q1004" s="128"/>
      <c r="V1004" s="44" t="s">
        <v>108</v>
      </c>
      <c r="W1004" s="128">
        <v>854.6332672827064</v>
      </c>
      <c r="X1004" s="128">
        <v>23.0</v>
      </c>
      <c r="Y1004" s="128">
        <v>854.6432672827063</v>
      </c>
      <c r="Z1004" s="44" t="s">
        <v>112</v>
      </c>
      <c r="AA1004" s="128">
        <v>1024.100042055103</v>
      </c>
      <c r="AB1004" s="128">
        <v>35.0</v>
      </c>
      <c r="AC1004" s="128">
        <v>1024.110042055103</v>
      </c>
      <c r="AD1004" s="44" t="s">
        <v>27</v>
      </c>
      <c r="AE1004" s="128">
        <v>1144.1944538593293</v>
      </c>
      <c r="AF1004" s="128">
        <v>52.0</v>
      </c>
      <c r="AG1004" s="128">
        <v>1144.2044538593293</v>
      </c>
      <c r="AH1004" s="44"/>
      <c r="AI1004" s="128"/>
      <c r="AJ1004" s="128"/>
      <c r="AK1004" s="128"/>
      <c r="AP1004" s="128">
        <v>28.0</v>
      </c>
      <c r="AQ1004" s="128">
        <v>28.0</v>
      </c>
      <c r="AS1004" s="44" t="s">
        <v>594</v>
      </c>
      <c r="AT1004" s="44">
        <v>1003.0</v>
      </c>
      <c r="AU1004" s="44"/>
      <c r="AW1004" s="93"/>
      <c r="AY1004" s="93"/>
      <c r="AZ1004" s="93"/>
      <c r="BA1004" s="93"/>
      <c r="BB1004" s="155"/>
      <c r="BC1004" s="93"/>
      <c r="BE1004" s="93"/>
      <c r="BG1004" s="93"/>
      <c r="BH1004" s="93"/>
      <c r="BI1004" s="93"/>
      <c r="BJ1004" s="155"/>
      <c r="BK1004" s="93"/>
    </row>
    <row r="1005">
      <c r="A1005" s="166">
        <v>44608.585347002314</v>
      </c>
      <c r="B1005" s="44" t="s">
        <v>123</v>
      </c>
      <c r="C1005" s="128">
        <v>840.2432292071508</v>
      </c>
      <c r="D1005" s="128">
        <v>13.0</v>
      </c>
      <c r="E1005" s="128">
        <v>836.849854908346</v>
      </c>
      <c r="F1005" s="44" t="s">
        <v>38</v>
      </c>
      <c r="G1005" s="128">
        <v>1060.2732067278187</v>
      </c>
      <c r="H1005" s="128">
        <v>18.0</v>
      </c>
      <c r="I1005" s="128">
        <v>1057.6665810266234</v>
      </c>
      <c r="J1005" s="44"/>
      <c r="K1005" s="128"/>
      <c r="L1005" s="128"/>
      <c r="M1005" s="128"/>
      <c r="N1005" s="44"/>
      <c r="O1005" s="128"/>
      <c r="P1005" s="128"/>
      <c r="Q1005" s="128"/>
      <c r="V1005" s="44" t="s">
        <v>112</v>
      </c>
      <c r="W1005" s="128">
        <v>1024.110042055103</v>
      </c>
      <c r="X1005" s="128">
        <v>15.0</v>
      </c>
      <c r="Y1005" s="128">
        <v>1026.491912641564</v>
      </c>
      <c r="Z1005" s="44" t="s">
        <v>92</v>
      </c>
      <c r="AA1005" s="128">
        <v>1035.1433574584014</v>
      </c>
      <c r="AB1005" s="128">
        <v>20.0</v>
      </c>
      <c r="AC1005" s="128">
        <v>1038.7614868719402</v>
      </c>
      <c r="AD1005" s="44"/>
      <c r="AE1005" s="128"/>
      <c r="AF1005" s="128"/>
      <c r="AG1005" s="128"/>
      <c r="AH1005" s="44"/>
      <c r="AI1005" s="128"/>
      <c r="AJ1005" s="128"/>
      <c r="AK1005" s="128"/>
      <c r="AP1005" s="128">
        <v>13.0</v>
      </c>
      <c r="AQ1005" s="128">
        <v>15.0</v>
      </c>
      <c r="AT1005" s="44">
        <v>1004.0</v>
      </c>
      <c r="AU1005" s="44"/>
      <c r="AW1005" s="93"/>
      <c r="AY1005" s="93"/>
      <c r="AZ1005" s="93"/>
      <c r="BA1005" s="93"/>
      <c r="BB1005" s="155"/>
      <c r="BC1005" s="93"/>
      <c r="BE1005" s="93"/>
      <c r="BG1005" s="93"/>
      <c r="BH1005" s="93"/>
      <c r="BI1005" s="93"/>
      <c r="BJ1005" s="155"/>
      <c r="BK1005" s="93"/>
    </row>
    <row r="1006">
      <c r="A1006" s="166">
        <v>44608.99497871527</v>
      </c>
      <c r="B1006" s="44" t="s">
        <v>125</v>
      </c>
      <c r="C1006" s="128">
        <v>810.2824544220075</v>
      </c>
      <c r="D1006" s="128">
        <v>8.0</v>
      </c>
      <c r="E1006" s="128">
        <v>799.5673031377922</v>
      </c>
      <c r="F1006" s="44" t="s">
        <v>112</v>
      </c>
      <c r="G1006" s="128">
        <v>1026.491912641564</v>
      </c>
      <c r="H1006" s="128">
        <v>21.0</v>
      </c>
      <c r="I1006" s="128">
        <v>1022.4704486672521</v>
      </c>
      <c r="J1006" s="44" t="s">
        <v>27</v>
      </c>
      <c r="K1006" s="128">
        <v>1144.2044538593293</v>
      </c>
      <c r="L1006" s="128">
        <v>16.0</v>
      </c>
      <c r="M1006" s="128">
        <v>1136.9410691178566</v>
      </c>
      <c r="N1006" s="44"/>
      <c r="O1006" s="128"/>
      <c r="P1006" s="128"/>
      <c r="Q1006" s="128"/>
      <c r="V1006" s="44" t="s">
        <v>100</v>
      </c>
      <c r="W1006" s="128">
        <v>941.9749729302092</v>
      </c>
      <c r="X1006" s="128">
        <v>18.0</v>
      </c>
      <c r="Y1006" s="128">
        <v>948.4764683674329</v>
      </c>
      <c r="Z1006" s="44" t="s">
        <v>88</v>
      </c>
      <c r="AA1006" s="128">
        <v>947.7738370081477</v>
      </c>
      <c r="AB1006" s="128">
        <v>14.0</v>
      </c>
      <c r="AC1006" s="128">
        <v>951.7934302878745</v>
      </c>
      <c r="AD1006" s="44" t="s">
        <v>38</v>
      </c>
      <c r="AE1006" s="128">
        <v>1057.6665810266234</v>
      </c>
      <c r="AF1006" s="128">
        <v>27.0</v>
      </c>
      <c r="AG1006" s="128">
        <v>1069.145492309673</v>
      </c>
      <c r="AH1006" s="44"/>
      <c r="AI1006" s="128"/>
      <c r="AJ1006" s="128"/>
      <c r="AK1006" s="128"/>
      <c r="AP1006" s="128">
        <v>11.0</v>
      </c>
      <c r="AQ1006" s="128">
        <v>17.0</v>
      </c>
      <c r="AT1006" s="44">
        <v>1005.0</v>
      </c>
      <c r="AU1006" s="44"/>
      <c r="AW1006" s="93"/>
      <c r="AY1006" s="93"/>
      <c r="AZ1006" s="93"/>
      <c r="BA1006" s="93"/>
      <c r="BB1006" s="155"/>
      <c r="BC1006" s="93"/>
      <c r="BE1006" s="93"/>
      <c r="BG1006" s="93"/>
      <c r="BH1006" s="93"/>
      <c r="BI1006" s="93"/>
      <c r="BJ1006" s="155"/>
      <c r="BK1006" s="93"/>
    </row>
    <row r="1007">
      <c r="A1007" s="166">
        <v>44609.03186863426</v>
      </c>
      <c r="B1007" s="44" t="s">
        <v>125</v>
      </c>
      <c r="C1007" s="128">
        <v>799.5673031377922</v>
      </c>
      <c r="D1007" s="128">
        <v>19.0</v>
      </c>
      <c r="E1007" s="128">
        <v>807.1956562402934</v>
      </c>
      <c r="F1007" s="44" t="s">
        <v>112</v>
      </c>
      <c r="G1007" s="128">
        <v>1022.4704486672521</v>
      </c>
      <c r="H1007" s="128">
        <v>12.0</v>
      </c>
      <c r="I1007" s="128">
        <v>1024.3209080290271</v>
      </c>
      <c r="J1007" s="44" t="s">
        <v>27</v>
      </c>
      <c r="K1007" s="128">
        <v>1136.9410691178566</v>
      </c>
      <c r="L1007" s="128">
        <v>29.0</v>
      </c>
      <c r="M1007" s="128">
        <v>1148.4622566535804</v>
      </c>
      <c r="N1007" s="44"/>
      <c r="O1007" s="128"/>
      <c r="P1007" s="128"/>
      <c r="Q1007" s="128"/>
      <c r="V1007" s="44" t="s">
        <v>100</v>
      </c>
      <c r="W1007" s="128">
        <v>948.4764683674329</v>
      </c>
      <c r="X1007" s="128">
        <v>18.0</v>
      </c>
      <c r="Y1007" s="128">
        <v>941.82137423927</v>
      </c>
      <c r="Z1007" s="44" t="s">
        <v>88</v>
      </c>
      <c r="AA1007" s="128">
        <v>951.7934302878745</v>
      </c>
      <c r="AB1007" s="128">
        <v>19.0</v>
      </c>
      <c r="AC1007" s="128">
        <v>945.7040073351595</v>
      </c>
      <c r="AD1007" s="44" t="s">
        <v>38</v>
      </c>
      <c r="AE1007" s="128">
        <v>1069.145492309673</v>
      </c>
      <c r="AF1007" s="128">
        <v>16.0</v>
      </c>
      <c r="AG1007" s="128">
        <v>1060.8900093905509</v>
      </c>
      <c r="AH1007" s="44"/>
      <c r="AI1007" s="128"/>
      <c r="AJ1007" s="128"/>
      <c r="AK1007" s="128"/>
      <c r="AP1007" s="128">
        <v>16.0</v>
      </c>
      <c r="AQ1007" s="128">
        <v>12.0</v>
      </c>
      <c r="AT1007" s="44">
        <v>1006.0</v>
      </c>
      <c r="AU1007" s="44"/>
      <c r="AW1007" s="93"/>
      <c r="AY1007" s="93"/>
      <c r="AZ1007" s="93"/>
      <c r="BA1007" s="93"/>
      <c r="BB1007" s="155"/>
      <c r="BC1007" s="93"/>
      <c r="BE1007" s="93"/>
      <c r="BG1007" s="93"/>
      <c r="BH1007" s="93"/>
      <c r="BI1007" s="93"/>
      <c r="BJ1007" s="155"/>
      <c r="BK1007" s="93"/>
    </row>
    <row r="1008">
      <c r="A1008" s="166">
        <v>44609.97634641203</v>
      </c>
      <c r="B1008" s="44" t="s">
        <v>88</v>
      </c>
      <c r="C1008" s="128">
        <v>945.7040073351595</v>
      </c>
      <c r="D1008" s="128">
        <v>13.0</v>
      </c>
      <c r="E1008" s="128">
        <v>933.0421414514245</v>
      </c>
      <c r="F1008" s="44" t="s">
        <v>121</v>
      </c>
      <c r="G1008" s="128">
        <v>968.9004839116534</v>
      </c>
      <c r="H1008" s="128">
        <v>12.0</v>
      </c>
      <c r="I1008" s="128">
        <v>955.1357013252889</v>
      </c>
      <c r="J1008" s="44" t="s">
        <v>38</v>
      </c>
      <c r="K1008" s="128">
        <v>1060.8900093905509</v>
      </c>
      <c r="L1008" s="128">
        <v>19.0</v>
      </c>
      <c r="M1008" s="128">
        <v>1053.3166578606504</v>
      </c>
      <c r="N1008" s="44"/>
      <c r="O1008" s="128"/>
      <c r="P1008" s="128"/>
      <c r="Q1008" s="128"/>
      <c r="V1008" s="44" t="s">
        <v>108</v>
      </c>
      <c r="W1008" s="128">
        <v>854.6432672827063</v>
      </c>
      <c r="X1008" s="128">
        <v>8.0</v>
      </c>
      <c r="Y1008" s="128">
        <v>854.6532672827063</v>
      </c>
      <c r="Z1008" s="44" t="s">
        <v>112</v>
      </c>
      <c r="AA1008" s="128">
        <v>1024.3209080290271</v>
      </c>
      <c r="AB1008" s="128">
        <v>27.0</v>
      </c>
      <c r="AC1008" s="128">
        <v>1040.1926681585612</v>
      </c>
      <c r="AD1008" s="44" t="s">
        <v>27</v>
      </c>
      <c r="AE1008" s="128">
        <v>1148.4622566535804</v>
      </c>
      <c r="AF1008" s="128">
        <v>30.0</v>
      </c>
      <c r="AG1008" s="128">
        <v>1166.7376387910344</v>
      </c>
      <c r="AH1008" s="44"/>
      <c r="AI1008" s="128"/>
      <c r="AJ1008" s="128"/>
      <c r="AK1008" s="128"/>
      <c r="AP1008" s="128">
        <v>8.0</v>
      </c>
      <c r="AQ1008" s="128">
        <v>20.0</v>
      </c>
      <c r="AS1008" s="44" t="s">
        <v>232</v>
      </c>
      <c r="AT1008" s="44">
        <v>1007.0</v>
      </c>
      <c r="AU1008" s="44"/>
      <c r="AW1008" s="93"/>
      <c r="AY1008" s="93"/>
      <c r="AZ1008" s="93"/>
      <c r="BA1008" s="93"/>
      <c r="BB1008" s="155"/>
      <c r="BC1008" s="93"/>
      <c r="BE1008" s="93"/>
      <c r="BG1008" s="93"/>
      <c r="BH1008" s="93"/>
      <c r="BI1008" s="93"/>
      <c r="BJ1008" s="155"/>
      <c r="BK1008" s="93"/>
    </row>
    <row r="1009">
      <c r="A1009" s="166">
        <v>44610.013401296295</v>
      </c>
      <c r="B1009" s="44" t="s">
        <v>121</v>
      </c>
      <c r="C1009" s="128">
        <v>955.1357013252889</v>
      </c>
      <c r="D1009" s="128">
        <v>6.0</v>
      </c>
      <c r="E1009" s="128">
        <v>940.7490797370789</v>
      </c>
      <c r="F1009" s="44" t="s">
        <v>112</v>
      </c>
      <c r="G1009" s="128">
        <v>1040.1926681585612</v>
      </c>
      <c r="H1009" s="128">
        <v>19.0</v>
      </c>
      <c r="I1009" s="128">
        <v>1033.8668889918538</v>
      </c>
      <c r="J1009" s="44" t="s">
        <v>38</v>
      </c>
      <c r="K1009" s="128">
        <v>1053.3166578606504</v>
      </c>
      <c r="L1009" s="128">
        <v>17.0</v>
      </c>
      <c r="M1009" s="128">
        <v>1045.6652844905864</v>
      </c>
      <c r="N1009" s="44" t="s">
        <v>27</v>
      </c>
      <c r="O1009" s="128">
        <v>1166.7376387910344</v>
      </c>
      <c r="P1009" s="128">
        <v>25.0</v>
      </c>
      <c r="Q1009" s="128">
        <v>1164.101412916016</v>
      </c>
      <c r="V1009" s="44" t="s">
        <v>125</v>
      </c>
      <c r="W1009" s="128">
        <v>807.1956562402934</v>
      </c>
      <c r="X1009" s="128">
        <v>9.0</v>
      </c>
      <c r="Y1009" s="128">
        <v>807.8381404507452</v>
      </c>
      <c r="Z1009" s="44" t="s">
        <v>61</v>
      </c>
      <c r="AA1009" s="128">
        <v>1019.9595733708751</v>
      </c>
      <c r="AB1009" s="128">
        <v>16.0</v>
      </c>
      <c r="AC1009" s="128">
        <v>1023.2178800238563</v>
      </c>
      <c r="AD1009" s="44" t="s">
        <v>31</v>
      </c>
      <c r="AE1009" s="128">
        <v>1208.2475764917149</v>
      </c>
      <c r="AF1009" s="128">
        <v>36.0</v>
      </c>
      <c r="AG1009" s="128">
        <v>1224.06259195033</v>
      </c>
      <c r="AH1009" s="44" t="s">
        <v>23</v>
      </c>
      <c r="AI1009" s="128">
        <v>1258.193513044715</v>
      </c>
      <c r="AJ1009" s="128">
        <v>29.0</v>
      </c>
      <c r="AK1009" s="128">
        <v>1269.4777067226669</v>
      </c>
      <c r="AP1009" s="128">
        <v>9.0</v>
      </c>
      <c r="AQ1009" s="128">
        <v>19.0</v>
      </c>
      <c r="AS1009" s="44" t="s">
        <v>595</v>
      </c>
      <c r="AT1009" s="44">
        <v>1008.0</v>
      </c>
      <c r="AU1009" s="44"/>
      <c r="AW1009" s="93"/>
      <c r="AY1009" s="93"/>
      <c r="AZ1009" s="93"/>
      <c r="BA1009" s="93"/>
      <c r="BB1009" s="155"/>
      <c r="BC1009" s="93"/>
      <c r="BE1009" s="93"/>
      <c r="BG1009" s="93"/>
      <c r="BH1009" s="93"/>
      <c r="BI1009" s="93"/>
      <c r="BJ1009" s="155"/>
      <c r="BK1009" s="93"/>
    </row>
    <row r="1010">
      <c r="A1010" s="166">
        <v>44610.947607106486</v>
      </c>
      <c r="B1010" s="44" t="s">
        <v>123</v>
      </c>
      <c r="C1010" s="128">
        <v>836.849854908346</v>
      </c>
      <c r="D1010" s="128">
        <v>11.0</v>
      </c>
      <c r="E1010" s="128">
        <v>840.347517420845</v>
      </c>
      <c r="F1010" s="44" t="s">
        <v>47</v>
      </c>
      <c r="G1010" s="128">
        <v>1003.9475716090751</v>
      </c>
      <c r="H1010" s="128">
        <v>25.0</v>
      </c>
      <c r="I1010" s="128">
        <v>1014.8893450627713</v>
      </c>
      <c r="J1010" s="44" t="s">
        <v>27</v>
      </c>
      <c r="K1010" s="128">
        <v>1164.101412916016</v>
      </c>
      <c r="L1010" s="128">
        <v>20.0</v>
      </c>
      <c r="M1010" s="128">
        <v>1171.6619769498207</v>
      </c>
      <c r="N1010" s="44"/>
      <c r="O1010" s="128"/>
      <c r="P1010" s="128"/>
      <c r="Q1010" s="128"/>
      <c r="V1010" s="44" t="s">
        <v>486</v>
      </c>
      <c r="W1010" s="128">
        <v>954.7117380750478</v>
      </c>
      <c r="X1010" s="128">
        <v>15.0</v>
      </c>
      <c r="Y1010" s="128">
        <v>946.9664752189964</v>
      </c>
      <c r="Z1010" s="44" t="s">
        <v>112</v>
      </c>
      <c r="AA1010" s="128">
        <v>1033.8668889918538</v>
      </c>
      <c r="AB1010" s="128">
        <v>13.0</v>
      </c>
      <c r="AC1010" s="128">
        <v>1024.6152583001974</v>
      </c>
      <c r="AD1010" s="44" t="s">
        <v>38</v>
      </c>
      <c r="AE1010" s="128">
        <v>1045.6652844905864</v>
      </c>
      <c r="AF1010" s="128">
        <v>20.0</v>
      </c>
      <c r="AG1010" s="128">
        <v>1040.6621780382943</v>
      </c>
      <c r="AH1010" s="44"/>
      <c r="AI1010" s="128"/>
      <c r="AJ1010" s="128"/>
      <c r="AK1010" s="128"/>
      <c r="AP1010" s="128">
        <v>18.0</v>
      </c>
      <c r="AQ1010" s="128">
        <v>10.0</v>
      </c>
      <c r="AS1010" s="44" t="s">
        <v>229</v>
      </c>
      <c r="AT1010" s="44">
        <v>1009.0</v>
      </c>
      <c r="AU1010" s="44"/>
      <c r="AW1010" s="93"/>
      <c r="AY1010" s="93"/>
      <c r="AZ1010" s="93"/>
      <c r="BA1010" s="93"/>
      <c r="BB1010" s="155"/>
      <c r="BC1010" s="93"/>
      <c r="BE1010" s="93"/>
      <c r="BG1010" s="93"/>
      <c r="BH1010" s="93"/>
      <c r="BI1010" s="93"/>
      <c r="BJ1010" s="155"/>
      <c r="BK1010" s="93"/>
    </row>
    <row r="1011">
      <c r="A1011" s="166">
        <v>44610.98761592593</v>
      </c>
      <c r="B1011" s="44" t="s">
        <v>123</v>
      </c>
      <c r="C1011" s="128">
        <v>840.347517420845</v>
      </c>
      <c r="D1011" s="128">
        <v>14.0</v>
      </c>
      <c r="E1011" s="128">
        <v>834.0311827106891</v>
      </c>
      <c r="F1011" s="44" t="s">
        <v>34</v>
      </c>
      <c r="G1011" s="128">
        <v>1010.2099754892262</v>
      </c>
      <c r="H1011" s="128">
        <v>14.0</v>
      </c>
      <c r="I1011" s="128">
        <v>1003.1516272801825</v>
      </c>
      <c r="J1011" s="44" t="s">
        <v>27</v>
      </c>
      <c r="K1011" s="128">
        <v>1171.6619769498207</v>
      </c>
      <c r="L1011" s="128">
        <v>14.0</v>
      </c>
      <c r="M1011" s="128">
        <v>1164.3973370527779</v>
      </c>
      <c r="N1011" s="44" t="s">
        <v>31</v>
      </c>
      <c r="O1011" s="128">
        <v>1224.06259195033</v>
      </c>
      <c r="P1011" s="128">
        <v>33.0</v>
      </c>
      <c r="Q1011" s="128">
        <v>1224.05259195033</v>
      </c>
      <c r="V1011" s="44" t="s">
        <v>88</v>
      </c>
      <c r="W1011" s="128">
        <v>933.0421414514245</v>
      </c>
      <c r="X1011" s="128">
        <v>19.0</v>
      </c>
      <c r="Y1011" s="128">
        <v>937.9016539694371</v>
      </c>
      <c r="Z1011" s="44" t="s">
        <v>47</v>
      </c>
      <c r="AA1011" s="128">
        <v>1014.8893450627713</v>
      </c>
      <c r="AB1011" s="128">
        <v>15.0</v>
      </c>
      <c r="AC1011" s="128">
        <v>1017.7963682932767</v>
      </c>
      <c r="AD1011" s="44" t="s">
        <v>112</v>
      </c>
      <c r="AE1011" s="128">
        <v>1024.6152583001974</v>
      </c>
      <c r="AF1011" s="128">
        <v>16.0</v>
      </c>
      <c r="AG1011" s="128">
        <v>1027.914655387193</v>
      </c>
      <c r="AH1011" s="44" t="s">
        <v>23</v>
      </c>
      <c r="AI1011" s="128">
        <v>1269.4777067226669</v>
      </c>
      <c r="AJ1011" s="128">
        <v>30.0</v>
      </c>
      <c r="AK1011" s="128">
        <v>1278.4117738871532</v>
      </c>
      <c r="AP1011" s="128">
        <v>12.0</v>
      </c>
      <c r="AQ1011" s="128">
        <v>16.0</v>
      </c>
      <c r="AS1011" s="44" t="s">
        <v>266</v>
      </c>
      <c r="AT1011" s="44">
        <v>1010.0</v>
      </c>
      <c r="AU1011" s="44"/>
      <c r="AW1011" s="93"/>
      <c r="AY1011" s="93"/>
      <c r="AZ1011" s="93"/>
      <c r="BA1011" s="93"/>
      <c r="BB1011" s="155"/>
      <c r="BC1011" s="93"/>
      <c r="BE1011" s="93"/>
      <c r="BG1011" s="93"/>
      <c r="BH1011" s="93"/>
      <c r="BI1011" s="93"/>
      <c r="BJ1011" s="155"/>
      <c r="BK1011" s="93"/>
    </row>
    <row r="1012">
      <c r="A1012" s="166">
        <v>44611.03713697917</v>
      </c>
      <c r="B1012" s="44" t="s">
        <v>123</v>
      </c>
      <c r="C1012" s="128">
        <v>834.0311827106891</v>
      </c>
      <c r="D1012" s="128">
        <v>11.0</v>
      </c>
      <c r="E1012" s="128">
        <v>825.1615855690733</v>
      </c>
      <c r="F1012" s="44" t="s">
        <v>47</v>
      </c>
      <c r="G1012" s="128">
        <v>1017.7963682932767</v>
      </c>
      <c r="H1012" s="128">
        <v>22.0</v>
      </c>
      <c r="I1012" s="128">
        <v>1013.4948100999615</v>
      </c>
      <c r="J1012" s="44" t="s">
        <v>112</v>
      </c>
      <c r="K1012" s="128">
        <v>1027.914655387193</v>
      </c>
      <c r="L1012" s="128">
        <v>21.0</v>
      </c>
      <c r="M1012" s="128">
        <v>1023.0858107221242</v>
      </c>
      <c r="N1012" s="44"/>
      <c r="O1012" s="128"/>
      <c r="P1012" s="128"/>
      <c r="Q1012" s="128"/>
      <c r="V1012" s="44" t="s">
        <v>125</v>
      </c>
      <c r="W1012" s="128">
        <v>807.8381404507452</v>
      </c>
      <c r="X1012" s="128">
        <v>8.0</v>
      </c>
      <c r="Y1012" s="128">
        <v>808.196550468279</v>
      </c>
      <c r="Z1012" s="44" t="s">
        <v>88</v>
      </c>
      <c r="AA1012" s="128">
        <v>937.9016539694371</v>
      </c>
      <c r="AB1012" s="128">
        <v>31.0</v>
      </c>
      <c r="AC1012" s="128">
        <v>948.7777746556546</v>
      </c>
      <c r="AD1012" s="44" t="s">
        <v>27</v>
      </c>
      <c r="AE1012" s="128">
        <v>1164.3973370527779</v>
      </c>
      <c r="AF1012" s="128">
        <v>24.0</v>
      </c>
      <c r="AG1012" s="128">
        <v>1171.1628063490264</v>
      </c>
      <c r="AH1012" s="44"/>
      <c r="AI1012" s="128"/>
      <c r="AJ1012" s="128"/>
      <c r="AK1012" s="128"/>
      <c r="AP1012" s="128">
        <v>12.0</v>
      </c>
      <c r="AQ1012" s="128">
        <v>16.0</v>
      </c>
      <c r="AT1012" s="44">
        <v>1011.0</v>
      </c>
      <c r="AU1012" s="44"/>
      <c r="AW1012" s="93"/>
      <c r="AY1012" s="93"/>
      <c r="AZ1012" s="93"/>
      <c r="BA1012" s="93"/>
      <c r="BB1012" s="155"/>
      <c r="BC1012" s="93"/>
      <c r="BE1012" s="93"/>
      <c r="BG1012" s="93"/>
      <c r="BH1012" s="93"/>
      <c r="BI1012" s="93"/>
      <c r="BJ1012" s="155"/>
      <c r="BK1012" s="93"/>
    </row>
    <row r="1013">
      <c r="A1013" s="166">
        <v>44611.077997326385</v>
      </c>
      <c r="B1013" s="44" t="s">
        <v>88</v>
      </c>
      <c r="C1013" s="128">
        <v>948.7777746556546</v>
      </c>
      <c r="D1013" s="128">
        <v>17.0</v>
      </c>
      <c r="E1013" s="128">
        <v>952.0143219325718</v>
      </c>
      <c r="F1013" s="44" t="s">
        <v>110</v>
      </c>
      <c r="G1013" s="128">
        <v>994.7224578525208</v>
      </c>
      <c r="H1013" s="128">
        <v>21.0</v>
      </c>
      <c r="I1013" s="128">
        <v>999.4516251762631</v>
      </c>
      <c r="J1013" s="44" t="s">
        <v>47</v>
      </c>
      <c r="K1013" s="128">
        <v>1013.4948100999615</v>
      </c>
      <c r="L1013" s="128">
        <v>19.0</v>
      </c>
      <c r="M1013" s="128">
        <v>1017.3337019116223</v>
      </c>
      <c r="N1013" s="44" t="s">
        <v>27</v>
      </c>
      <c r="O1013" s="128">
        <v>1171.1628063490264</v>
      </c>
      <c r="P1013" s="128">
        <v>30.0</v>
      </c>
      <c r="Q1013" s="128">
        <v>1179.3581999367061</v>
      </c>
      <c r="V1013" s="44" t="s">
        <v>125</v>
      </c>
      <c r="W1013" s="128">
        <v>808.196550468279</v>
      </c>
      <c r="X1013" s="128">
        <v>11.0</v>
      </c>
      <c r="Y1013" s="128">
        <v>801.8727789760645</v>
      </c>
      <c r="Z1013" s="44" t="s">
        <v>112</v>
      </c>
      <c r="AA1013" s="128">
        <v>1023.0858107221242</v>
      </c>
      <c r="AB1013" s="128">
        <v>19.0</v>
      </c>
      <c r="AC1013" s="128">
        <v>1019.2761180089893</v>
      </c>
      <c r="AD1013" s="44" t="s">
        <v>61</v>
      </c>
      <c r="AE1013" s="128">
        <v>1023.2178800238563</v>
      </c>
      <c r="AF1013" s="128">
        <v>4.0</v>
      </c>
      <c r="AG1013" s="128">
        <v>1013.1579320942718</v>
      </c>
      <c r="AH1013" s="44" t="s">
        <v>23</v>
      </c>
      <c r="AI1013" s="128">
        <v>1278.4117738871532</v>
      </c>
      <c r="AJ1013" s="128">
        <v>29.0</v>
      </c>
      <c r="AK1013" s="128">
        <v>1278.4017738871532</v>
      </c>
      <c r="AP1013" s="128">
        <v>17.0</v>
      </c>
      <c r="AQ1013" s="128">
        <v>11.0</v>
      </c>
      <c r="AT1013" s="44">
        <v>1012.0</v>
      </c>
      <c r="AU1013" s="44"/>
      <c r="AW1013" s="93"/>
      <c r="AY1013" s="93"/>
      <c r="AZ1013" s="93"/>
      <c r="BA1013" s="93"/>
      <c r="BB1013" s="155"/>
      <c r="BC1013" s="93"/>
      <c r="BE1013" s="93"/>
      <c r="BG1013" s="93"/>
      <c r="BH1013" s="93"/>
      <c r="BI1013" s="93"/>
      <c r="BJ1013" s="155"/>
      <c r="BK1013" s="93"/>
    </row>
    <row r="1014">
      <c r="A1014" s="166">
        <v>44611.924355509254</v>
      </c>
      <c r="B1014" s="44" t="s">
        <v>596</v>
      </c>
      <c r="C1014" s="128">
        <v>1000.0</v>
      </c>
      <c r="D1014" s="128">
        <v>8.0</v>
      </c>
      <c r="E1014" s="128">
        <v>996.5112407922145</v>
      </c>
      <c r="F1014" s="44" t="s">
        <v>47</v>
      </c>
      <c r="G1014" s="128">
        <v>1017.3337019116223</v>
      </c>
      <c r="H1014" s="128">
        <v>14.0</v>
      </c>
      <c r="I1014" s="128">
        <v>1014.8289139449364</v>
      </c>
      <c r="J1014" s="44" t="s">
        <v>112</v>
      </c>
      <c r="K1014" s="128">
        <v>1019.2761180089893</v>
      </c>
      <c r="L1014" s="128">
        <v>29.0</v>
      </c>
      <c r="M1014" s="128">
        <v>1019.2696651834607</v>
      </c>
      <c r="N1014" s="44"/>
      <c r="O1014" s="128"/>
      <c r="P1014" s="128"/>
      <c r="Q1014" s="128"/>
      <c r="V1014" s="44" t="s">
        <v>591</v>
      </c>
      <c r="W1014" s="128">
        <v>977.2750425963264</v>
      </c>
      <c r="X1014" s="128">
        <v>10.0</v>
      </c>
      <c r="Y1014" s="128">
        <v>977.7750606066642</v>
      </c>
      <c r="Z1014" s="44" t="s">
        <v>58</v>
      </c>
      <c r="AA1014" s="128">
        <v>1014.9947974025276</v>
      </c>
      <c r="AB1014" s="128">
        <v>30.0</v>
      </c>
      <c r="AC1014" s="128">
        <v>1018.784786683533</v>
      </c>
      <c r="AD1014" s="44" t="s">
        <v>27</v>
      </c>
      <c r="AE1014" s="128">
        <v>1179.3581999367061</v>
      </c>
      <c r="AF1014" s="128">
        <v>18.0</v>
      </c>
      <c r="AG1014" s="128">
        <v>1181.068192645363</v>
      </c>
      <c r="AH1014" s="44"/>
      <c r="AI1014" s="128"/>
      <c r="AJ1014" s="128"/>
      <c r="AK1014" s="128"/>
      <c r="AP1014" s="128">
        <v>13.0</v>
      </c>
      <c r="AQ1014" s="128">
        <v>15.0</v>
      </c>
      <c r="AT1014" s="44">
        <v>1013.0</v>
      </c>
      <c r="AU1014" s="44"/>
      <c r="AW1014" s="93"/>
      <c r="AY1014" s="93"/>
      <c r="AZ1014" s="93"/>
      <c r="BA1014" s="93"/>
      <c r="BB1014" s="155"/>
      <c r="BC1014" s="93"/>
      <c r="BE1014" s="93"/>
      <c r="BG1014" s="93"/>
      <c r="BH1014" s="93"/>
      <c r="BI1014" s="93"/>
      <c r="BJ1014" s="155"/>
      <c r="BK1014" s="93"/>
    </row>
    <row r="1015">
      <c r="A1015" s="166">
        <v>44611.95808320602</v>
      </c>
      <c r="B1015" s="44" t="s">
        <v>125</v>
      </c>
      <c r="C1015" s="128">
        <v>801.8727789760645</v>
      </c>
      <c r="D1015" s="128">
        <v>5.0</v>
      </c>
      <c r="E1015" s="128">
        <v>786.6912777473525</v>
      </c>
      <c r="F1015" s="44" t="s">
        <v>596</v>
      </c>
      <c r="G1015" s="128">
        <v>996.5112407922145</v>
      </c>
      <c r="H1015" s="128">
        <v>5.0</v>
      </c>
      <c r="I1015" s="128">
        <v>980.0379972334997</v>
      </c>
      <c r="J1015" s="44" t="s">
        <v>47</v>
      </c>
      <c r="K1015" s="128">
        <v>1014.8289139449364</v>
      </c>
      <c r="L1015" s="128">
        <v>17.0</v>
      </c>
      <c r="M1015" s="128">
        <v>1008.2903239115988</v>
      </c>
      <c r="N1015" s="44" t="s">
        <v>27</v>
      </c>
      <c r="O1015" s="128">
        <v>1181.068192645363</v>
      </c>
      <c r="P1015" s="128">
        <v>23.0</v>
      </c>
      <c r="Q1015" s="128">
        <v>1179.2615274661275</v>
      </c>
      <c r="V1015" s="44" t="s">
        <v>98</v>
      </c>
      <c r="W1015" s="128">
        <v>952.8097556263597</v>
      </c>
      <c r="X1015" s="128">
        <v>23.0</v>
      </c>
      <c r="Y1015" s="128">
        <v>964.9952820204578</v>
      </c>
      <c r="Z1015" s="44" t="s">
        <v>34</v>
      </c>
      <c r="AA1015" s="128">
        <v>1003.1516272801825</v>
      </c>
      <c r="AB1015" s="128">
        <v>24.0</v>
      </c>
      <c r="AC1015" s="128">
        <v>1015.8153337254926</v>
      </c>
      <c r="AD1015" s="44" t="s">
        <v>58</v>
      </c>
      <c r="AE1015" s="128">
        <v>1018.784786683533</v>
      </c>
      <c r="AF1015" s="128">
        <v>23.0</v>
      </c>
      <c r="AG1015" s="128">
        <v>1030.5281034433128</v>
      </c>
      <c r="AH1015" s="44" t="s">
        <v>112</v>
      </c>
      <c r="AI1015" s="128">
        <v>1019.2696651834607</v>
      </c>
      <c r="AJ1015" s="128">
        <v>13.0</v>
      </c>
      <c r="AK1015" s="128">
        <v>1022.6771155842728</v>
      </c>
      <c r="AP1015" s="128">
        <v>9.0</v>
      </c>
      <c r="AQ1015" s="128">
        <v>19.0</v>
      </c>
      <c r="AT1015" s="44">
        <v>1014.0</v>
      </c>
      <c r="AU1015" s="44"/>
      <c r="AW1015" s="93"/>
      <c r="AY1015" s="93"/>
      <c r="AZ1015" s="93"/>
      <c r="BA1015" s="93"/>
      <c r="BB1015" s="155"/>
      <c r="BC1015" s="93"/>
      <c r="BE1015" s="93"/>
      <c r="BG1015" s="93"/>
      <c r="BH1015" s="93"/>
      <c r="BI1015" s="93"/>
      <c r="BJ1015" s="155"/>
      <c r="BK1015" s="93"/>
    </row>
    <row r="1016">
      <c r="A1016" s="166">
        <v>44612.00568650463</v>
      </c>
      <c r="B1016" s="44" t="s">
        <v>125</v>
      </c>
      <c r="C1016" s="128">
        <v>786.6912777473525</v>
      </c>
      <c r="D1016" s="128">
        <v>10.0</v>
      </c>
      <c r="E1016" s="128">
        <v>777.8580496834036</v>
      </c>
      <c r="F1016" s="44" t="s">
        <v>27</v>
      </c>
      <c r="G1016" s="128">
        <v>1179.2615274661275</v>
      </c>
      <c r="H1016" s="128">
        <v>18.0</v>
      </c>
      <c r="I1016" s="128">
        <v>1173.408872584353</v>
      </c>
      <c r="J1016" s="44" t="s">
        <v>23</v>
      </c>
      <c r="K1016" s="128">
        <v>1278.4017738871532</v>
      </c>
      <c r="L1016" s="128">
        <v>19.0</v>
      </c>
      <c r="M1016" s="128">
        <v>1273.0876568328765</v>
      </c>
      <c r="N1016" s="44"/>
      <c r="O1016" s="128"/>
      <c r="P1016" s="128"/>
      <c r="Q1016" s="128"/>
      <c r="V1016" s="44" t="s">
        <v>47</v>
      </c>
      <c r="W1016" s="128">
        <v>1008.2903239115988</v>
      </c>
      <c r="X1016" s="128">
        <v>17.0</v>
      </c>
      <c r="Y1016" s="128">
        <v>1014.6835583324399</v>
      </c>
      <c r="Z1016" s="44" t="s">
        <v>61</v>
      </c>
      <c r="AA1016" s="128">
        <v>1013.1579320942718</v>
      </c>
      <c r="AB1016" s="128">
        <v>17.0</v>
      </c>
      <c r="AC1016" s="128">
        <v>1019.536108690078</v>
      </c>
      <c r="AD1016" s="44" t="s">
        <v>31</v>
      </c>
      <c r="AE1016" s="128">
        <v>1224.05259195033</v>
      </c>
      <c r="AF1016" s="128">
        <v>19.0</v>
      </c>
      <c r="AG1016" s="128">
        <v>1231.2811809336827</v>
      </c>
      <c r="AH1016" s="44"/>
      <c r="AI1016" s="128"/>
      <c r="AJ1016" s="128"/>
      <c r="AK1016" s="128"/>
      <c r="AP1016" s="128">
        <v>12.0</v>
      </c>
      <c r="AQ1016" s="128">
        <v>16.0</v>
      </c>
      <c r="AT1016" s="44">
        <v>1015.0</v>
      </c>
      <c r="AU1016" s="44"/>
      <c r="AW1016" s="93"/>
      <c r="AY1016" s="93"/>
      <c r="AZ1016" s="93"/>
      <c r="BA1016" s="93"/>
      <c r="BB1016" s="155"/>
      <c r="BC1016" s="93"/>
      <c r="BE1016" s="93"/>
      <c r="BG1016" s="93"/>
      <c r="BH1016" s="93"/>
      <c r="BI1016" s="93"/>
      <c r="BJ1016" s="155"/>
      <c r="BK1016" s="93"/>
    </row>
    <row r="1017">
      <c r="A1017" s="166">
        <v>44612.96204392361</v>
      </c>
      <c r="B1017" s="44" t="s">
        <v>125</v>
      </c>
      <c r="C1017" s="128">
        <v>777.8580496834036</v>
      </c>
      <c r="D1017" s="128">
        <v>18.0</v>
      </c>
      <c r="E1017" s="128">
        <v>784.3318043870374</v>
      </c>
      <c r="F1017" s="44" t="s">
        <v>34</v>
      </c>
      <c r="G1017" s="128">
        <v>1015.8153337254926</v>
      </c>
      <c r="H1017" s="128">
        <v>25.0</v>
      </c>
      <c r="I1017" s="128">
        <v>1024.542625286823</v>
      </c>
      <c r="J1017" s="44" t="s">
        <v>38</v>
      </c>
      <c r="K1017" s="128">
        <v>1040.6621780382943</v>
      </c>
      <c r="L1017" s="128">
        <v>22.0</v>
      </c>
      <c r="M1017" s="128">
        <v>1047.46113177333</v>
      </c>
      <c r="N1017" s="44"/>
      <c r="O1017" s="128"/>
      <c r="P1017" s="128"/>
      <c r="Q1017" s="128"/>
      <c r="V1017" s="44" t="s">
        <v>108</v>
      </c>
      <c r="W1017" s="128">
        <v>854.6532672827063</v>
      </c>
      <c r="X1017" s="128">
        <v>12.0</v>
      </c>
      <c r="Y1017" s="128">
        <v>845.2194069614208</v>
      </c>
      <c r="Z1017" s="44" t="s">
        <v>110</v>
      </c>
      <c r="AA1017" s="128">
        <v>999.4516251762631</v>
      </c>
      <c r="AB1017" s="128">
        <v>15.0</v>
      </c>
      <c r="AC1017" s="128">
        <v>991.0551437112684</v>
      </c>
      <c r="AD1017" s="44" t="s">
        <v>47</v>
      </c>
      <c r="AE1017" s="128">
        <v>1014.6835583324399</v>
      </c>
      <c r="AF1017" s="128">
        <v>22.0</v>
      </c>
      <c r="AG1017" s="128">
        <v>1010.5139001187201</v>
      </c>
      <c r="AH1017" s="44"/>
      <c r="AI1017" s="128"/>
      <c r="AJ1017" s="128"/>
      <c r="AK1017" s="128"/>
      <c r="AP1017" s="128">
        <v>18.0</v>
      </c>
      <c r="AQ1017" s="128">
        <v>10.0</v>
      </c>
      <c r="AT1017" s="44">
        <v>1016.0</v>
      </c>
      <c r="AU1017" s="44"/>
      <c r="AW1017" s="93"/>
      <c r="AY1017" s="93"/>
      <c r="AZ1017" s="93"/>
      <c r="BA1017" s="93"/>
      <c r="BB1017" s="155"/>
      <c r="BC1017" s="93"/>
      <c r="BE1017" s="93"/>
      <c r="BG1017" s="93"/>
      <c r="BH1017" s="93"/>
      <c r="BI1017" s="93"/>
      <c r="BJ1017" s="155"/>
      <c r="BK1017" s="93"/>
    </row>
    <row r="1018">
      <c r="A1018" s="166">
        <v>44613.98042665509</v>
      </c>
      <c r="B1018" s="44" t="s">
        <v>125</v>
      </c>
      <c r="C1018" s="128">
        <v>784.3318043870374</v>
      </c>
      <c r="D1018" s="128">
        <v>20.0</v>
      </c>
      <c r="E1018" s="128">
        <v>784.3418043870374</v>
      </c>
      <c r="F1018" s="44" t="s">
        <v>47</v>
      </c>
      <c r="G1018" s="128">
        <v>1010.5139001187201</v>
      </c>
      <c r="H1018" s="128">
        <v>28.0</v>
      </c>
      <c r="I1018" s="128">
        <v>1010.5239001187201</v>
      </c>
      <c r="J1018" s="44" t="s">
        <v>27</v>
      </c>
      <c r="K1018" s="128">
        <v>1173.408872584353</v>
      </c>
      <c r="L1018" s="128">
        <v>29.0</v>
      </c>
      <c r="M1018" s="128">
        <v>1173.418872584353</v>
      </c>
      <c r="N1018" s="44"/>
      <c r="O1018" s="128"/>
      <c r="P1018" s="128"/>
      <c r="Q1018" s="128"/>
      <c r="V1018" s="44" t="s">
        <v>100</v>
      </c>
      <c r="W1018" s="128">
        <v>941.82137423927</v>
      </c>
      <c r="X1018" s="128">
        <v>22.0</v>
      </c>
      <c r="Y1018" s="128">
        <v>941.83137423927</v>
      </c>
      <c r="Z1018" s="44" t="s">
        <v>110</v>
      </c>
      <c r="AA1018" s="128">
        <v>991.0551437112684</v>
      </c>
      <c r="AB1018" s="128">
        <v>27.0</v>
      </c>
      <c r="AC1018" s="128">
        <v>991.0651437112684</v>
      </c>
      <c r="AD1018" s="44" t="s">
        <v>112</v>
      </c>
      <c r="AE1018" s="128">
        <v>1022.6771155842728</v>
      </c>
      <c r="AF1018" s="128">
        <v>36.0</v>
      </c>
      <c r="AG1018" s="128">
        <v>1022.6871155842728</v>
      </c>
      <c r="AH1018" s="44"/>
      <c r="AI1018" s="128"/>
      <c r="AJ1018" s="128"/>
      <c r="AK1018" s="128"/>
      <c r="AP1018" s="128">
        <v>21.0</v>
      </c>
      <c r="AQ1018" s="128">
        <v>21.0</v>
      </c>
      <c r="AT1018" s="44">
        <v>1017.0</v>
      </c>
      <c r="AU1018" s="44"/>
      <c r="AW1018" s="93"/>
      <c r="AY1018" s="93"/>
      <c r="AZ1018" s="93"/>
      <c r="BA1018" s="93"/>
      <c r="BB1018" s="155"/>
      <c r="BC1018" s="93"/>
      <c r="BE1018" s="93"/>
      <c r="BG1018" s="93"/>
      <c r="BH1018" s="93"/>
      <c r="BI1018" s="93"/>
      <c r="BJ1018" s="155"/>
      <c r="BK1018" s="93"/>
    </row>
    <row r="1019">
      <c r="A1019" s="166">
        <v>44614.011920833334</v>
      </c>
      <c r="B1019" s="44" t="s">
        <v>125</v>
      </c>
      <c r="C1019" s="128">
        <v>784.3418043870374</v>
      </c>
      <c r="D1019" s="128">
        <v>5.0</v>
      </c>
      <c r="E1019" s="128">
        <v>760.3859504879373</v>
      </c>
      <c r="F1019" s="44" t="s">
        <v>112</v>
      </c>
      <c r="G1019" s="128">
        <v>1022.6871155842728</v>
      </c>
      <c r="H1019" s="128">
        <v>19.0</v>
      </c>
      <c r="I1019" s="128">
        <v>1011.5426345417335</v>
      </c>
      <c r="J1019" s="44" t="s">
        <v>27</v>
      </c>
      <c r="K1019" s="128">
        <v>1173.418872584353</v>
      </c>
      <c r="L1019" s="128">
        <v>25.0</v>
      </c>
      <c r="M1019" s="128">
        <v>1168.5192075259924</v>
      </c>
      <c r="N1019" s="44"/>
      <c r="O1019" s="128"/>
      <c r="P1019" s="128"/>
      <c r="Q1019" s="128"/>
      <c r="V1019" s="44" t="s">
        <v>100</v>
      </c>
      <c r="W1019" s="128">
        <v>941.83137423927</v>
      </c>
      <c r="X1019" s="128">
        <v>16.0</v>
      </c>
      <c r="Y1019" s="128">
        <v>948.2729146217625</v>
      </c>
      <c r="Z1019" s="44" t="s">
        <v>47</v>
      </c>
      <c r="AA1019" s="128">
        <v>1010.5239001187201</v>
      </c>
      <c r="AB1019" s="128">
        <v>35.0</v>
      </c>
      <c r="AC1019" s="128">
        <v>1037.3574002564849</v>
      </c>
      <c r="AD1019" s="44" t="s">
        <v>34</v>
      </c>
      <c r="AE1019" s="128">
        <v>1024.542625286823</v>
      </c>
      <c r="AF1019" s="128">
        <v>17.0</v>
      </c>
      <c r="AG1019" s="128">
        <v>1031.2675847665657</v>
      </c>
      <c r="AH1019" s="44"/>
      <c r="AI1019" s="128"/>
      <c r="AJ1019" s="128"/>
      <c r="AK1019" s="128"/>
      <c r="AP1019" s="128">
        <v>9.0</v>
      </c>
      <c r="AQ1019" s="128">
        <v>19.0</v>
      </c>
      <c r="AT1019" s="44">
        <v>1018.0</v>
      </c>
      <c r="AU1019" s="44"/>
      <c r="AW1019" s="93"/>
      <c r="AY1019" s="93"/>
      <c r="AZ1019" s="93"/>
      <c r="BA1019" s="93"/>
      <c r="BB1019" s="155"/>
      <c r="BC1019" s="93"/>
      <c r="BE1019" s="93"/>
      <c r="BG1019" s="93"/>
      <c r="BH1019" s="93"/>
      <c r="BI1019" s="93"/>
      <c r="BJ1019" s="155"/>
      <c r="BK1019" s="93"/>
    </row>
    <row r="1020">
      <c r="A1020" s="166">
        <v>44614.05144377315</v>
      </c>
      <c r="B1020" s="44" t="s">
        <v>125</v>
      </c>
      <c r="C1020" s="128">
        <v>760.3859504879373</v>
      </c>
      <c r="D1020" s="128">
        <v>13.0</v>
      </c>
      <c r="E1020" s="128">
        <v>749.9215367115087</v>
      </c>
      <c r="F1020" s="44" t="s">
        <v>112</v>
      </c>
      <c r="G1020" s="128">
        <v>1011.5426345417335</v>
      </c>
      <c r="H1020" s="128">
        <v>18.0</v>
      </c>
      <c r="I1020" s="128">
        <v>1003.0070483181621</v>
      </c>
      <c r="J1020" s="44"/>
      <c r="K1020" s="128"/>
      <c r="L1020" s="128"/>
      <c r="M1020" s="128"/>
      <c r="N1020" s="44"/>
      <c r="O1020" s="128"/>
      <c r="P1020" s="128"/>
      <c r="Q1020" s="128"/>
      <c r="V1020" s="44" t="s">
        <v>108</v>
      </c>
      <c r="W1020" s="128">
        <v>845.2194069614208</v>
      </c>
      <c r="X1020" s="128">
        <v>20.0</v>
      </c>
      <c r="Y1020" s="128">
        <v>855.6069426519697</v>
      </c>
      <c r="Z1020" s="44" t="s">
        <v>100</v>
      </c>
      <c r="AA1020" s="128">
        <v>948.2729146217625</v>
      </c>
      <c r="AB1020" s="128">
        <v>19.0</v>
      </c>
      <c r="AC1020" s="128">
        <v>956.8853789312136</v>
      </c>
      <c r="AD1020" s="44"/>
      <c r="AE1020" s="128"/>
      <c r="AF1020" s="128"/>
      <c r="AG1020" s="128"/>
      <c r="AH1020" s="44"/>
      <c r="AI1020" s="128"/>
      <c r="AJ1020" s="128"/>
      <c r="AK1020" s="128"/>
      <c r="AP1020" s="128">
        <v>12.0</v>
      </c>
      <c r="AQ1020" s="128">
        <v>16.0</v>
      </c>
      <c r="AS1020" s="44" t="s">
        <v>501</v>
      </c>
      <c r="AT1020" s="44">
        <v>1019.0</v>
      </c>
      <c r="AU1020" s="44"/>
      <c r="AW1020" s="93"/>
      <c r="AY1020" s="93"/>
      <c r="AZ1020" s="93"/>
      <c r="BA1020" s="93"/>
      <c r="BB1020" s="155"/>
      <c r="BC1020" s="93"/>
      <c r="BE1020" s="93"/>
      <c r="BG1020" s="93"/>
      <c r="BH1020" s="93"/>
      <c r="BI1020" s="93"/>
      <c r="BJ1020" s="155"/>
      <c r="BK1020" s="93"/>
    </row>
    <row r="1021">
      <c r="A1021" s="166">
        <v>44614.92881532408</v>
      </c>
      <c r="B1021" s="44" t="s">
        <v>486</v>
      </c>
      <c r="C1021" s="128">
        <v>946.9664752189964</v>
      </c>
      <c r="D1021" s="128">
        <v>17.0</v>
      </c>
      <c r="E1021" s="128">
        <v>949.4829746504936</v>
      </c>
      <c r="F1021" s="44" t="s">
        <v>34</v>
      </c>
      <c r="G1021" s="128">
        <v>1031.2675847665657</v>
      </c>
      <c r="H1021" s="128">
        <v>16.0</v>
      </c>
      <c r="I1021" s="128">
        <v>1033.3881002834862</v>
      </c>
      <c r="J1021" s="44" t="s">
        <v>47</v>
      </c>
      <c r="K1021" s="128">
        <v>1037.3574002564849</v>
      </c>
      <c r="L1021" s="128">
        <v>25.0</v>
      </c>
      <c r="M1021" s="128">
        <v>1041.720385308067</v>
      </c>
      <c r="N1021" s="44"/>
      <c r="O1021" s="128"/>
      <c r="P1021" s="128"/>
      <c r="Q1021" s="128"/>
      <c r="V1021" s="44" t="s">
        <v>123</v>
      </c>
      <c r="W1021" s="128">
        <v>825.1615855690733</v>
      </c>
      <c r="X1021" s="128">
        <v>13.0</v>
      </c>
      <c r="Y1021" s="128">
        <v>821.3217087466542</v>
      </c>
      <c r="Z1021" s="44" t="s">
        <v>110</v>
      </c>
      <c r="AA1021" s="128">
        <v>991.0651437112684</v>
      </c>
      <c r="AB1021" s="128">
        <v>19.0</v>
      </c>
      <c r="AC1021" s="128">
        <v>988.3075950515264</v>
      </c>
      <c r="AD1021" s="44" t="s">
        <v>27</v>
      </c>
      <c r="AE1021" s="128">
        <v>1168.5192075259924</v>
      </c>
      <c r="AF1021" s="128">
        <v>21.0</v>
      </c>
      <c r="AG1021" s="128">
        <v>1166.1166330081535</v>
      </c>
      <c r="AH1021" s="44"/>
      <c r="AI1021" s="128"/>
      <c r="AJ1021" s="128"/>
      <c r="AK1021" s="128"/>
      <c r="AP1021" s="128">
        <v>15.0</v>
      </c>
      <c r="AQ1021" s="128">
        <v>13.0</v>
      </c>
      <c r="AS1021" s="44" t="s">
        <v>229</v>
      </c>
      <c r="AT1021" s="44">
        <v>1020.0</v>
      </c>
      <c r="AU1021" s="44"/>
      <c r="AW1021" s="93"/>
      <c r="AY1021" s="93"/>
      <c r="AZ1021" s="93"/>
      <c r="BA1021" s="93"/>
      <c r="BB1021" s="155"/>
      <c r="BC1021" s="93"/>
      <c r="BE1021" s="93"/>
      <c r="BG1021" s="93"/>
      <c r="BH1021" s="93"/>
      <c r="BI1021" s="93"/>
      <c r="BJ1021" s="155"/>
      <c r="BK1021" s="93"/>
    </row>
    <row r="1022">
      <c r="A1022" s="166">
        <v>44614.967932245374</v>
      </c>
      <c r="B1022" s="44" t="s">
        <v>123</v>
      </c>
      <c r="C1022" s="128">
        <v>821.3217087466542</v>
      </c>
      <c r="D1022" s="128">
        <v>14.0</v>
      </c>
      <c r="E1022" s="128">
        <v>814.9709758315217</v>
      </c>
      <c r="F1022" s="44" t="s">
        <v>486</v>
      </c>
      <c r="G1022" s="128">
        <v>949.4829746504936</v>
      </c>
      <c r="H1022" s="128">
        <v>11.0</v>
      </c>
      <c r="I1022" s="128">
        <v>941.2574348092173</v>
      </c>
      <c r="J1022" s="44" t="s">
        <v>47</v>
      </c>
      <c r="K1022" s="128">
        <v>1041.720385308067</v>
      </c>
      <c r="L1022" s="128">
        <v>23.0</v>
      </c>
      <c r="M1022" s="128">
        <v>1038.242883262501</v>
      </c>
      <c r="N1022" s="44" t="s">
        <v>27</v>
      </c>
      <c r="O1022" s="128">
        <v>1166.1166330081535</v>
      </c>
      <c r="P1022" s="128">
        <v>27.0</v>
      </c>
      <c r="Q1022" s="128">
        <v>1164.1704078101284</v>
      </c>
      <c r="V1022" s="44" t="s">
        <v>88</v>
      </c>
      <c r="W1022" s="128">
        <v>952.0143219325718</v>
      </c>
      <c r="X1022" s="128">
        <v>24.0</v>
      </c>
      <c r="Y1022" s="128">
        <v>958.5042026489564</v>
      </c>
      <c r="Z1022" s="44" t="s">
        <v>110</v>
      </c>
      <c r="AA1022" s="128">
        <v>988.3075950515264</v>
      </c>
      <c r="AB1022" s="128">
        <v>13.0</v>
      </c>
      <c r="AC1022" s="128">
        <v>990.0876678556018</v>
      </c>
      <c r="AD1022" s="44" t="s">
        <v>112</v>
      </c>
      <c r="AE1022" s="128">
        <v>1003.0070483181621</v>
      </c>
      <c r="AF1022" s="128">
        <v>26.0</v>
      </c>
      <c r="AG1022" s="128">
        <v>1010.1603105609856</v>
      </c>
      <c r="AH1022" s="44" t="s">
        <v>34</v>
      </c>
      <c r="AI1022" s="128">
        <v>1033.3881002834862</v>
      </c>
      <c r="AJ1022" s="128">
        <v>20.0</v>
      </c>
      <c r="AK1022" s="128">
        <v>1037.9648845202028</v>
      </c>
      <c r="AP1022" s="128">
        <v>12.0</v>
      </c>
      <c r="AQ1022" s="128">
        <v>16.0</v>
      </c>
      <c r="AS1022" s="44" t="s">
        <v>266</v>
      </c>
      <c r="AT1022" s="44">
        <v>1021.0</v>
      </c>
      <c r="AU1022" s="44"/>
      <c r="AW1022" s="93"/>
      <c r="AY1022" s="93"/>
      <c r="AZ1022" s="93"/>
      <c r="BA1022" s="93"/>
      <c r="BB1022" s="155"/>
      <c r="BC1022" s="93"/>
      <c r="BE1022" s="93"/>
      <c r="BG1022" s="93"/>
      <c r="BH1022" s="93"/>
      <c r="BI1022" s="93"/>
      <c r="BJ1022" s="155"/>
      <c r="BK1022" s="93"/>
    </row>
    <row r="1023">
      <c r="A1023" s="166">
        <v>44615.0005175</v>
      </c>
      <c r="B1023" s="44" t="s">
        <v>123</v>
      </c>
      <c r="C1023" s="128">
        <v>814.9709758315217</v>
      </c>
      <c r="D1023" s="128">
        <v>15.0</v>
      </c>
      <c r="E1023" s="128">
        <v>818.0334639007677</v>
      </c>
      <c r="F1023" s="44" t="s">
        <v>88</v>
      </c>
      <c r="G1023" s="128">
        <v>958.5042026489564</v>
      </c>
      <c r="H1023" s="128">
        <v>25.0</v>
      </c>
      <c r="I1023" s="128">
        <v>965.0942683498675</v>
      </c>
      <c r="J1023" s="44" t="s">
        <v>34</v>
      </c>
      <c r="K1023" s="128">
        <v>1037.9648845202028</v>
      </c>
      <c r="L1023" s="128">
        <v>29.0</v>
      </c>
      <c r="M1023" s="128">
        <v>1046.0451925182458</v>
      </c>
      <c r="N1023" s="44" t="s">
        <v>47</v>
      </c>
      <c r="O1023" s="128">
        <v>1038.242883262501</v>
      </c>
      <c r="P1023" s="128">
        <v>18.0</v>
      </c>
      <c r="Q1023" s="128">
        <v>1041.5100214943009</v>
      </c>
      <c r="V1023" s="44" t="s">
        <v>125</v>
      </c>
      <c r="W1023" s="128">
        <v>749.9215367115087</v>
      </c>
      <c r="X1023" s="128">
        <v>4.0</v>
      </c>
      <c r="Y1023" s="128">
        <v>739.3400751923725</v>
      </c>
      <c r="Z1023" s="44" t="s">
        <v>486</v>
      </c>
      <c r="AA1023" s="128">
        <v>941.2574348092173</v>
      </c>
      <c r="AB1023" s="128">
        <v>22.0</v>
      </c>
      <c r="AC1023" s="128">
        <v>937.4223448290178</v>
      </c>
      <c r="AD1023" s="44" t="s">
        <v>112</v>
      </c>
      <c r="AE1023" s="128">
        <v>1010.1603105609856</v>
      </c>
      <c r="AF1023" s="128">
        <v>13.0</v>
      </c>
      <c r="AG1023" s="128">
        <v>1002.1632450736453</v>
      </c>
      <c r="AH1023" s="44" t="s">
        <v>27</v>
      </c>
      <c r="AI1023" s="128">
        <v>1164.1704078101284</v>
      </c>
      <c r="AJ1023" s="128">
        <v>35.0</v>
      </c>
      <c r="AK1023" s="128">
        <v>1164.1604078101284</v>
      </c>
      <c r="AP1023" s="128">
        <v>16.0</v>
      </c>
      <c r="AQ1023" s="128">
        <v>12.0</v>
      </c>
      <c r="AS1023" s="44" t="s">
        <v>360</v>
      </c>
      <c r="AT1023" s="44">
        <v>1022.0</v>
      </c>
      <c r="AU1023" s="44"/>
      <c r="AW1023" s="93"/>
      <c r="AY1023" s="93"/>
      <c r="AZ1023" s="93"/>
      <c r="BA1023" s="93"/>
      <c r="BB1023" s="155"/>
      <c r="BC1023" s="93"/>
      <c r="BE1023" s="93"/>
      <c r="BG1023" s="93"/>
      <c r="BH1023" s="93"/>
      <c r="BI1023" s="93"/>
      <c r="BJ1023" s="155"/>
      <c r="BK1023" s="93"/>
    </row>
    <row r="1024">
      <c r="A1024" s="166">
        <v>44615.03919335648</v>
      </c>
      <c r="B1024" s="44" t="s">
        <v>125</v>
      </c>
      <c r="C1024" s="128">
        <v>739.3400751923725</v>
      </c>
      <c r="D1024" s="128">
        <v>12.0</v>
      </c>
      <c r="E1024" s="128">
        <v>733.8515674980964</v>
      </c>
      <c r="F1024" s="44" t="s">
        <v>486</v>
      </c>
      <c r="G1024" s="128">
        <v>937.4223448290178</v>
      </c>
      <c r="H1024" s="128">
        <v>15.0</v>
      </c>
      <c r="I1024" s="128">
        <v>932.0098552994294</v>
      </c>
      <c r="J1024" s="44" t="s">
        <v>27</v>
      </c>
      <c r="K1024" s="128">
        <v>1164.1604078101284</v>
      </c>
      <c r="L1024" s="128">
        <v>29.0</v>
      </c>
      <c r="M1024" s="128">
        <v>1163.0614050339927</v>
      </c>
      <c r="N1024" s="44"/>
      <c r="O1024" s="128"/>
      <c r="P1024" s="128"/>
      <c r="Q1024" s="128"/>
      <c r="V1024" s="44" t="s">
        <v>123</v>
      </c>
      <c r="W1024" s="128">
        <v>818.0334639007677</v>
      </c>
      <c r="X1024" s="128">
        <v>14.0</v>
      </c>
      <c r="Y1024" s="128">
        <v>820.7749086777281</v>
      </c>
      <c r="Z1024" s="44" t="s">
        <v>88</v>
      </c>
      <c r="AA1024" s="128">
        <v>965.0942683498675</v>
      </c>
      <c r="AB1024" s="128">
        <v>23.0</v>
      </c>
      <c r="AC1024" s="128">
        <v>970.2680360653113</v>
      </c>
      <c r="AD1024" s="44" t="s">
        <v>112</v>
      </c>
      <c r="AE1024" s="128">
        <v>1002.1632450736453</v>
      </c>
      <c r="AF1024" s="128">
        <v>20.0</v>
      </c>
      <c r="AG1024" s="128">
        <v>1006.2480325812411</v>
      </c>
      <c r="AH1024" s="44"/>
      <c r="AI1024" s="128"/>
      <c r="AJ1024" s="128"/>
      <c r="AK1024" s="128"/>
      <c r="AP1024" s="128">
        <v>13.0</v>
      </c>
      <c r="AQ1024" s="128">
        <v>15.0</v>
      </c>
      <c r="AS1024" s="44" t="s">
        <v>506</v>
      </c>
      <c r="AT1024" s="44">
        <v>1023.0</v>
      </c>
      <c r="AU1024" s="44"/>
      <c r="AW1024" s="93"/>
      <c r="AY1024" s="93"/>
      <c r="AZ1024" s="93"/>
      <c r="BA1024" s="93"/>
      <c r="BB1024" s="155"/>
      <c r="BC1024" s="93"/>
      <c r="BE1024" s="93"/>
      <c r="BG1024" s="93"/>
      <c r="BH1024" s="93"/>
      <c r="BI1024" s="93"/>
      <c r="BJ1024" s="155"/>
      <c r="BK1024" s="93"/>
    </row>
    <row r="1025">
      <c r="A1025" s="166">
        <v>44615.950853981485</v>
      </c>
      <c r="B1025" s="44" t="s">
        <v>100</v>
      </c>
      <c r="C1025" s="128">
        <v>956.8853789312136</v>
      </c>
      <c r="D1025" s="128">
        <v>16.0</v>
      </c>
      <c r="E1025" s="128">
        <v>951.944141099562</v>
      </c>
      <c r="F1025" s="44" t="s">
        <v>88</v>
      </c>
      <c r="G1025" s="128">
        <v>970.2680360653113</v>
      </c>
      <c r="H1025" s="128">
        <v>12.0</v>
      </c>
      <c r="I1025" s="128">
        <v>963.7070275918862</v>
      </c>
      <c r="J1025" s="44" t="s">
        <v>34</v>
      </c>
      <c r="K1025" s="128">
        <v>1046.0451925182458</v>
      </c>
      <c r="L1025" s="128">
        <v>19.0</v>
      </c>
      <c r="M1025" s="128">
        <v>1042.0994702113755</v>
      </c>
      <c r="N1025" s="44" t="s">
        <v>38</v>
      </c>
      <c r="O1025" s="128">
        <v>1047.46113177333</v>
      </c>
      <c r="P1025" s="128">
        <v>20.0</v>
      </c>
      <c r="Q1025" s="128">
        <v>1043.909100385277</v>
      </c>
      <c r="V1025" s="44" t="s">
        <v>123</v>
      </c>
      <c r="W1025" s="128">
        <v>820.7749086777281</v>
      </c>
      <c r="X1025" s="128">
        <v>21.0</v>
      </c>
      <c r="Y1025" s="128">
        <v>826.2247097226088</v>
      </c>
      <c r="Z1025" s="44" t="s">
        <v>112</v>
      </c>
      <c r="AA1025" s="128">
        <v>1006.2480325812411</v>
      </c>
      <c r="AB1025" s="128">
        <v>26.0</v>
      </c>
      <c r="AC1025" s="128">
        <v>1012.8457416149037</v>
      </c>
      <c r="AD1025" s="44" t="s">
        <v>47</v>
      </c>
      <c r="AE1025" s="128">
        <v>1041.5100214943009</v>
      </c>
      <c r="AF1025" s="128">
        <v>21.0</v>
      </c>
      <c r="AG1025" s="128">
        <v>1046.046914703135</v>
      </c>
      <c r="AH1025" s="44" t="s">
        <v>27</v>
      </c>
      <c r="AI1025" s="128">
        <v>1163.0614050339927</v>
      </c>
      <c r="AJ1025" s="128">
        <v>16.0</v>
      </c>
      <c r="AK1025" s="128">
        <v>1165.4770017466155</v>
      </c>
      <c r="AP1025" s="128">
        <v>12.0</v>
      </c>
      <c r="AQ1025" s="128">
        <v>16.0</v>
      </c>
      <c r="AT1025" s="44">
        <v>1024.0</v>
      </c>
      <c r="AU1025" s="44"/>
      <c r="AW1025" s="93"/>
      <c r="AY1025" s="93"/>
      <c r="AZ1025" s="93"/>
      <c r="BA1025" s="93"/>
      <c r="BB1025" s="155"/>
      <c r="BC1025" s="93"/>
      <c r="BE1025" s="93"/>
      <c r="BG1025" s="93"/>
      <c r="BH1025" s="93"/>
      <c r="BI1025" s="93"/>
      <c r="BJ1025" s="155"/>
      <c r="BK1025" s="93"/>
    </row>
    <row r="1026">
      <c r="A1026" s="166">
        <v>44616.02814172454</v>
      </c>
      <c r="B1026" s="44" t="s">
        <v>125</v>
      </c>
      <c r="C1026" s="128">
        <v>733.8515674980964</v>
      </c>
      <c r="D1026" s="128">
        <v>18.0</v>
      </c>
      <c r="E1026" s="128">
        <v>728.2442964321051</v>
      </c>
      <c r="F1026" s="44" t="s">
        <v>88</v>
      </c>
      <c r="G1026" s="128">
        <v>963.7070275918862</v>
      </c>
      <c r="H1026" s="128">
        <v>38.0</v>
      </c>
      <c r="I1026" s="128">
        <v>960.9721907263087</v>
      </c>
      <c r="J1026" s="44" t="s">
        <v>47</v>
      </c>
      <c r="K1026" s="128">
        <v>1046.046914703135</v>
      </c>
      <c r="L1026" s="128">
        <v>35.0</v>
      </c>
      <c r="M1026" s="128">
        <v>1042.4713571430384</v>
      </c>
      <c r="N1026" s="44" t="s">
        <v>27</v>
      </c>
      <c r="O1026" s="128">
        <v>1165.4770017466155</v>
      </c>
      <c r="P1026" s="128">
        <v>62.0</v>
      </c>
      <c r="Q1026" s="128">
        <v>1165.4670017466156</v>
      </c>
      <c r="V1026" s="44" t="s">
        <v>123</v>
      </c>
      <c r="W1026" s="128">
        <v>826.2247097226088</v>
      </c>
      <c r="X1026" s="128">
        <v>21.0</v>
      </c>
      <c r="Y1026" s="128">
        <v>826.2347097226088</v>
      </c>
      <c r="Z1026" s="44" t="s">
        <v>112</v>
      </c>
      <c r="AA1026" s="128">
        <v>1012.8457416149037</v>
      </c>
      <c r="AB1026" s="128">
        <v>45.0</v>
      </c>
      <c r="AC1026" s="128">
        <v>1015.6320694575278</v>
      </c>
      <c r="AD1026" s="44" t="s">
        <v>34</v>
      </c>
      <c r="AE1026" s="128">
        <v>1042.0994702113755</v>
      </c>
      <c r="AF1026" s="128">
        <v>57.0</v>
      </c>
      <c r="AG1026" s="128">
        <v>1047.3150146214975</v>
      </c>
      <c r="AH1026" s="44" t="s">
        <v>38</v>
      </c>
      <c r="AI1026" s="128">
        <v>1043.909100385277</v>
      </c>
      <c r="AJ1026" s="128">
        <v>48.0</v>
      </c>
      <c r="AK1026" s="128">
        <v>1047.2457857685686</v>
      </c>
      <c r="AP1026" s="128">
        <v>25.0</v>
      </c>
      <c r="AQ1026" s="128">
        <v>31.0</v>
      </c>
      <c r="AT1026" s="44">
        <v>1025.0</v>
      </c>
      <c r="AU1026" s="44"/>
      <c r="AW1026" s="93"/>
      <c r="AY1026" s="93"/>
      <c r="AZ1026" s="93"/>
      <c r="BA1026" s="93"/>
      <c r="BB1026" s="155"/>
      <c r="BC1026" s="93"/>
      <c r="BE1026" s="93"/>
      <c r="BG1026" s="93"/>
      <c r="BH1026" s="93"/>
      <c r="BI1026" s="93"/>
      <c r="BJ1026" s="155"/>
      <c r="BK1026" s="93"/>
    </row>
    <row r="1027">
      <c r="A1027" s="166">
        <v>44616.057878472224</v>
      </c>
      <c r="B1027" s="44" t="s">
        <v>125</v>
      </c>
      <c r="C1027" s="128">
        <v>728.2442964321051</v>
      </c>
      <c r="D1027" s="128">
        <v>9.0</v>
      </c>
      <c r="E1027" s="128">
        <v>729.4468290688927</v>
      </c>
      <c r="F1027" s="44" t="s">
        <v>112</v>
      </c>
      <c r="G1027" s="128">
        <v>1015.6320694575278</v>
      </c>
      <c r="H1027" s="128">
        <v>10.0</v>
      </c>
      <c r="I1027" s="128">
        <v>1016.3081399155919</v>
      </c>
      <c r="J1027" s="44" t="s">
        <v>31</v>
      </c>
      <c r="K1027" s="128">
        <v>1231.2811809336827</v>
      </c>
      <c r="L1027" s="128">
        <v>35.0</v>
      </c>
      <c r="M1027" s="128">
        <v>1237.402577838831</v>
      </c>
      <c r="N1027" s="44"/>
      <c r="O1027" s="128"/>
      <c r="P1027" s="128"/>
      <c r="Q1027" s="128"/>
      <c r="V1027" s="44" t="s">
        <v>123</v>
      </c>
      <c r="W1027" s="128">
        <v>826.2347097226088</v>
      </c>
      <c r="X1027" s="128">
        <v>16.0</v>
      </c>
      <c r="Y1027" s="128">
        <v>823.3316807157116</v>
      </c>
      <c r="Z1027" s="44" t="s">
        <v>61</v>
      </c>
      <c r="AA1027" s="128">
        <v>1019.536108690078</v>
      </c>
      <c r="AB1027" s="128">
        <v>16.0</v>
      </c>
      <c r="AC1027" s="128">
        <v>1016.2245402100358</v>
      </c>
      <c r="AD1027" s="44" t="s">
        <v>38</v>
      </c>
      <c r="AE1027" s="128">
        <v>1047.2457857685686</v>
      </c>
      <c r="AF1027" s="128">
        <v>23.0</v>
      </c>
      <c r="AG1027" s="128">
        <v>1045.460383255508</v>
      </c>
      <c r="AH1027" s="44"/>
      <c r="AI1027" s="128"/>
      <c r="AJ1027" s="128"/>
      <c r="AK1027" s="128"/>
      <c r="AP1027" s="128">
        <v>15.0</v>
      </c>
      <c r="AQ1027" s="128">
        <v>13.0</v>
      </c>
      <c r="AT1027" s="44">
        <v>1026.0</v>
      </c>
      <c r="AU1027" s="44"/>
      <c r="AW1027" s="93"/>
      <c r="AY1027" s="93"/>
      <c r="AZ1027" s="93"/>
      <c r="BA1027" s="93"/>
      <c r="BB1027" s="155"/>
      <c r="BC1027" s="93"/>
      <c r="BE1027" s="93"/>
      <c r="BG1027" s="93"/>
      <c r="BH1027" s="93"/>
      <c r="BI1027" s="93"/>
      <c r="BJ1027" s="155"/>
      <c r="BK1027" s="93"/>
    </row>
    <row r="1028">
      <c r="A1028" s="166">
        <v>44616.995256504626</v>
      </c>
      <c r="B1028" s="44" t="s">
        <v>121</v>
      </c>
      <c r="C1028" s="128">
        <v>940.7490797370789</v>
      </c>
      <c r="D1028" s="128">
        <v>12.0</v>
      </c>
      <c r="E1028" s="128">
        <v>932.885190735514</v>
      </c>
      <c r="F1028" s="44" t="s">
        <v>88</v>
      </c>
      <c r="G1028" s="128">
        <v>960.9721907263087</v>
      </c>
      <c r="H1028" s="128">
        <v>13.0</v>
      </c>
      <c r="I1028" s="128">
        <v>953.5929461292346</v>
      </c>
      <c r="J1028" s="44" t="s">
        <v>112</v>
      </c>
      <c r="K1028" s="128">
        <v>1016.3081399155919</v>
      </c>
      <c r="L1028" s="128">
        <v>18.0</v>
      </c>
      <c r="M1028" s="128">
        <v>1011.5512735142307</v>
      </c>
      <c r="N1028" s="44"/>
      <c r="O1028" s="128"/>
      <c r="P1028" s="128"/>
      <c r="Q1028" s="128"/>
      <c r="V1028" s="44" t="s">
        <v>123</v>
      </c>
      <c r="W1028" s="128">
        <v>823.3316807157116</v>
      </c>
      <c r="X1028" s="128">
        <v>16.0</v>
      </c>
      <c r="Y1028" s="128">
        <v>828.2332626550502</v>
      </c>
      <c r="Z1028" s="44" t="s">
        <v>47</v>
      </c>
      <c r="AA1028" s="128">
        <v>1042.4713571430384</v>
      </c>
      <c r="AB1028" s="128">
        <v>28.0</v>
      </c>
      <c r="AC1028" s="128">
        <v>1052.8024215326388</v>
      </c>
      <c r="AD1028" s="44" t="s">
        <v>38</v>
      </c>
      <c r="AE1028" s="128">
        <v>1045.460383255508</v>
      </c>
      <c r="AF1028" s="128">
        <v>18.0</v>
      </c>
      <c r="AG1028" s="128">
        <v>1050.2277369265692</v>
      </c>
      <c r="AH1028" s="44"/>
      <c r="AI1028" s="128"/>
      <c r="AJ1028" s="128"/>
      <c r="AK1028" s="128"/>
      <c r="AP1028" s="128">
        <v>11.0</v>
      </c>
      <c r="AQ1028" s="128">
        <v>17.0</v>
      </c>
      <c r="AT1028" s="44">
        <v>1027.0</v>
      </c>
      <c r="AU1028" s="44"/>
      <c r="AW1028" s="93"/>
      <c r="AY1028" s="93"/>
      <c r="AZ1028" s="93"/>
      <c r="BA1028" s="93"/>
      <c r="BB1028" s="155"/>
      <c r="BC1028" s="93"/>
      <c r="BE1028" s="93"/>
      <c r="BG1028" s="93"/>
      <c r="BH1028" s="93"/>
      <c r="BI1028" s="93"/>
      <c r="BJ1028" s="155"/>
      <c r="BK1028" s="93"/>
    </row>
    <row r="1029">
      <c r="A1029" s="166">
        <v>44617.98050726852</v>
      </c>
      <c r="B1029" s="44" t="s">
        <v>88</v>
      </c>
      <c r="C1029" s="128">
        <v>953.5929461292346</v>
      </c>
      <c r="D1029" s="128">
        <v>17.0</v>
      </c>
      <c r="E1029" s="128">
        <v>956.9625928172364</v>
      </c>
      <c r="F1029" s="44" t="s">
        <v>112</v>
      </c>
      <c r="G1029" s="128">
        <v>1011.5512735142307</v>
      </c>
      <c r="H1029" s="128">
        <v>21.0</v>
      </c>
      <c r="I1029" s="128">
        <v>1016.472077419876</v>
      </c>
      <c r="J1029" s="44" t="s">
        <v>38</v>
      </c>
      <c r="K1029" s="128">
        <v>1050.2277369265692</v>
      </c>
      <c r="L1029" s="128">
        <v>24.0</v>
      </c>
      <c r="M1029" s="128">
        <v>1056.366417720236</v>
      </c>
      <c r="N1029" s="44" t="s">
        <v>47</v>
      </c>
      <c r="O1029" s="128">
        <v>1052.8024215326388</v>
      </c>
      <c r="P1029" s="128">
        <v>25.0</v>
      </c>
      <c r="Q1029" s="128">
        <v>1059.3732901453247</v>
      </c>
      <c r="V1029" s="44" t="s">
        <v>486</v>
      </c>
      <c r="W1029" s="128">
        <v>932.0098552994294</v>
      </c>
      <c r="X1029" s="128">
        <v>15.0</v>
      </c>
      <c r="Y1029" s="128">
        <v>926.1711385521903</v>
      </c>
      <c r="Z1029" s="44" t="s">
        <v>121</v>
      </c>
      <c r="AA1029" s="128">
        <v>932.885190735514</v>
      </c>
      <c r="AB1029" s="128">
        <v>7.0</v>
      </c>
      <c r="AC1029" s="128">
        <v>923.5433976377162</v>
      </c>
      <c r="AD1029" s="44" t="s">
        <v>34</v>
      </c>
      <c r="AE1029" s="128">
        <v>1047.3150146214975</v>
      </c>
      <c r="AF1029" s="128">
        <v>23.0</v>
      </c>
      <c r="AG1029" s="128">
        <v>1044.6816126707026</v>
      </c>
      <c r="AH1029" s="44" t="s">
        <v>27</v>
      </c>
      <c r="AI1029" s="128">
        <v>1165.4670017466156</v>
      </c>
      <c r="AJ1029" s="128">
        <v>22.0</v>
      </c>
      <c r="AK1029" s="128">
        <v>1162.2809135424475</v>
      </c>
      <c r="AP1029" s="128">
        <v>17.0</v>
      </c>
      <c r="AQ1029" s="128">
        <v>11.0</v>
      </c>
      <c r="AS1029" s="44" t="s">
        <v>229</v>
      </c>
      <c r="AT1029" s="44">
        <v>1028.0</v>
      </c>
      <c r="AU1029" s="44"/>
      <c r="AW1029" s="93"/>
      <c r="AY1029" s="93"/>
      <c r="AZ1029" s="93"/>
      <c r="BA1029" s="93"/>
      <c r="BB1029" s="155"/>
      <c r="BC1029" s="93"/>
      <c r="BE1029" s="93"/>
      <c r="BG1029" s="93"/>
      <c r="BH1029" s="93"/>
      <c r="BI1029" s="93"/>
      <c r="BJ1029" s="155"/>
      <c r="BK1029" s="93"/>
    </row>
    <row r="1030">
      <c r="A1030" s="166">
        <v>44618.05096395833</v>
      </c>
      <c r="B1030" s="44" t="s">
        <v>108</v>
      </c>
      <c r="C1030" s="128">
        <v>855.6069426519697</v>
      </c>
      <c r="D1030" s="128">
        <v>24.0</v>
      </c>
      <c r="E1030" s="128">
        <v>856.7595261797677</v>
      </c>
      <c r="F1030" s="44" t="s">
        <v>88</v>
      </c>
      <c r="G1030" s="128">
        <v>956.9625928172364</v>
      </c>
      <c r="H1030" s="128">
        <v>26.0</v>
      </c>
      <c r="I1030" s="128">
        <v>958.1641861954586</v>
      </c>
      <c r="J1030" s="44" t="s">
        <v>34</v>
      </c>
      <c r="K1030" s="128">
        <v>1044.6816126707026</v>
      </c>
      <c r="L1030" s="128">
        <v>28.0</v>
      </c>
      <c r="M1030" s="128">
        <v>1046.0695989997112</v>
      </c>
      <c r="N1030" s="44" t="s">
        <v>27</v>
      </c>
      <c r="O1030" s="128">
        <v>1162.2809135424475</v>
      </c>
      <c r="P1030" s="128">
        <v>30.0</v>
      </c>
      <c r="Q1030" s="128">
        <v>1163.918418857924</v>
      </c>
      <c r="R1030" s="44" t="s">
        <v>23</v>
      </c>
      <c r="S1030" s="128">
        <v>1273.0876568328765</v>
      </c>
      <c r="T1030" s="128">
        <v>48.0</v>
      </c>
      <c r="U1030" s="128">
        <v>1277.7079882823714</v>
      </c>
      <c r="V1030" s="44" t="s">
        <v>486</v>
      </c>
      <c r="W1030" s="128">
        <v>926.1711385521903</v>
      </c>
      <c r="X1030" s="128">
        <v>14.0</v>
      </c>
      <c r="Y1030" s="128">
        <v>921.3360654419355</v>
      </c>
      <c r="Z1030" s="44" t="s">
        <v>112</v>
      </c>
      <c r="AA1030" s="128">
        <v>1016.472077419876</v>
      </c>
      <c r="AB1030" s="128">
        <v>35.0</v>
      </c>
      <c r="AC1030" s="128">
        <v>1014.9510474643747</v>
      </c>
      <c r="AD1030" s="44" t="s">
        <v>38</v>
      </c>
      <c r="AE1030" s="128">
        <v>1056.366417720236</v>
      </c>
      <c r="AF1030" s="128">
        <v>45.0</v>
      </c>
      <c r="AG1030" s="128">
        <v>1056.356417720236</v>
      </c>
      <c r="AH1030" s="44" t="s">
        <v>47</v>
      </c>
      <c r="AI1030" s="128">
        <v>1059.3732901453247</v>
      </c>
      <c r="AJ1030" s="128">
        <v>28.0</v>
      </c>
      <c r="AK1030" s="128">
        <v>1056.6299164470072</v>
      </c>
      <c r="AL1030" s="44" t="s">
        <v>31</v>
      </c>
      <c r="AM1030" s="128">
        <v>1237.402577838831</v>
      </c>
      <c r="AN1030" s="128">
        <v>39.0</v>
      </c>
      <c r="AO1030" s="128">
        <v>1236.4088022002095</v>
      </c>
      <c r="AP1030" s="128">
        <v>22.0</v>
      </c>
      <c r="AQ1030" s="128">
        <v>20.0</v>
      </c>
      <c r="AT1030" s="44">
        <v>1029.0</v>
      </c>
      <c r="AU1030" s="44"/>
      <c r="AW1030" s="93"/>
      <c r="AY1030" s="93"/>
      <c r="AZ1030" s="93"/>
      <c r="BA1030" s="93"/>
      <c r="BB1030" s="155"/>
      <c r="BC1030" s="93"/>
      <c r="BE1030" s="93"/>
      <c r="BG1030" s="93"/>
      <c r="BH1030" s="93"/>
      <c r="BI1030" s="93"/>
      <c r="BJ1030" s="155"/>
      <c r="BK1030" s="93"/>
    </row>
    <row r="1031">
      <c r="A1031" s="166">
        <v>44618.09045739583</v>
      </c>
      <c r="B1031" s="44" t="s">
        <v>108</v>
      </c>
      <c r="C1031" s="128">
        <v>856.7595261797677</v>
      </c>
      <c r="D1031" s="128">
        <v>19.0</v>
      </c>
      <c r="E1031" s="128">
        <v>856.7695261797677</v>
      </c>
      <c r="F1031" s="44" t="s">
        <v>486</v>
      </c>
      <c r="G1031" s="128">
        <v>921.3360654419355</v>
      </c>
      <c r="H1031" s="128">
        <v>11.0</v>
      </c>
      <c r="I1031" s="128">
        <v>921.3460654419355</v>
      </c>
      <c r="J1031" s="44" t="s">
        <v>34</v>
      </c>
      <c r="K1031" s="128">
        <v>1046.0695989997112</v>
      </c>
      <c r="L1031" s="128">
        <v>12.0</v>
      </c>
      <c r="M1031" s="128">
        <v>1046.0795989997112</v>
      </c>
      <c r="N1031" s="44" t="s">
        <v>23</v>
      </c>
      <c r="O1031" s="128">
        <v>1277.7079882823714</v>
      </c>
      <c r="P1031" s="128">
        <v>38.0</v>
      </c>
      <c r="Q1031" s="128">
        <v>1277.7179882823714</v>
      </c>
      <c r="V1031" s="44" t="s">
        <v>88</v>
      </c>
      <c r="W1031" s="128">
        <v>958.1641861954586</v>
      </c>
      <c r="X1031" s="128">
        <v>21.0</v>
      </c>
      <c r="Y1031" s="128">
        <v>958.1741861954586</v>
      </c>
      <c r="Z1031" s="44" t="s">
        <v>112</v>
      </c>
      <c r="AA1031" s="128">
        <v>1014.9510474643747</v>
      </c>
      <c r="AB1031" s="128">
        <v>16.0</v>
      </c>
      <c r="AC1031" s="128">
        <v>1014.9610474643747</v>
      </c>
      <c r="AD1031" s="44" t="s">
        <v>38</v>
      </c>
      <c r="AE1031" s="128">
        <v>1056.356417720236</v>
      </c>
      <c r="AF1031" s="128">
        <v>35.0</v>
      </c>
      <c r="AG1031" s="128">
        <v>1056.366417720236</v>
      </c>
      <c r="AH1031" s="44" t="s">
        <v>47</v>
      </c>
      <c r="AI1031" s="128">
        <v>1056.6299164470072</v>
      </c>
      <c r="AJ1031" s="128">
        <v>14.0</v>
      </c>
      <c r="AK1031" s="128">
        <v>1056.6399164470072</v>
      </c>
      <c r="AP1031" s="128">
        <v>14.0</v>
      </c>
      <c r="AQ1031" s="128">
        <v>14.0</v>
      </c>
      <c r="AT1031" s="44">
        <v>1030.0</v>
      </c>
      <c r="AU1031" s="44"/>
      <c r="AW1031" s="93"/>
      <c r="AY1031" s="93"/>
      <c r="AZ1031" s="93"/>
      <c r="BA1031" s="93"/>
      <c r="BB1031" s="155"/>
      <c r="BC1031" s="93"/>
      <c r="BE1031" s="93"/>
      <c r="BG1031" s="93"/>
      <c r="BH1031" s="93"/>
      <c r="BI1031" s="93"/>
      <c r="BJ1031" s="155"/>
      <c r="BK1031" s="93"/>
    </row>
    <row r="1032">
      <c r="A1032" s="166">
        <v>44620.9417694213</v>
      </c>
      <c r="B1032" s="44" t="s">
        <v>123</v>
      </c>
      <c r="C1032" s="128">
        <v>828.2332626550502</v>
      </c>
      <c r="D1032" s="128">
        <v>15.0</v>
      </c>
      <c r="E1032" s="128">
        <v>825.1734560169731</v>
      </c>
      <c r="F1032" s="44" t="s">
        <v>34</v>
      </c>
      <c r="G1032" s="128">
        <v>1046.0795989997112</v>
      </c>
      <c r="H1032" s="128">
        <v>28.0</v>
      </c>
      <c r="I1032" s="128">
        <v>1045.3184418252852</v>
      </c>
      <c r="J1032" s="44" t="s">
        <v>47</v>
      </c>
      <c r="K1032" s="128">
        <v>1056.6399164470072</v>
      </c>
      <c r="L1032" s="128">
        <v>9.0</v>
      </c>
      <c r="M1032" s="128">
        <v>1051.911158638424</v>
      </c>
      <c r="N1032" s="44" t="s">
        <v>27</v>
      </c>
      <c r="O1032" s="128">
        <v>1163.918418857924</v>
      </c>
      <c r="P1032" s="128">
        <v>25.0</v>
      </c>
      <c r="Q1032" s="128">
        <v>1162.4681404790103</v>
      </c>
      <c r="V1032" s="44" t="s">
        <v>125</v>
      </c>
      <c r="W1032" s="128">
        <v>729.4468290688927</v>
      </c>
      <c r="X1032" s="128">
        <v>10.0</v>
      </c>
      <c r="Y1032" s="128">
        <v>730.4245780510967</v>
      </c>
      <c r="Z1032" s="44" t="s">
        <v>92</v>
      </c>
      <c r="AA1032" s="128">
        <v>1038.7614868719402</v>
      </c>
      <c r="AB1032" s="128">
        <v>23.0</v>
      </c>
      <c r="AC1032" s="128">
        <v>1041.665858439439</v>
      </c>
      <c r="AD1032" s="44" t="s">
        <v>38</v>
      </c>
      <c r="AE1032" s="128">
        <v>1056.366417720236</v>
      </c>
      <c r="AF1032" s="128">
        <v>25.0</v>
      </c>
      <c r="AG1032" s="128">
        <v>1059.6703305636952</v>
      </c>
      <c r="AH1032" s="44" t="s">
        <v>23</v>
      </c>
      <c r="AI1032" s="128">
        <v>1277.7179882823714</v>
      </c>
      <c r="AJ1032" s="128">
        <v>23.0</v>
      </c>
      <c r="AK1032" s="128">
        <v>1280.5319548892094</v>
      </c>
      <c r="AP1032" s="128">
        <v>13.0</v>
      </c>
      <c r="AQ1032" s="128">
        <v>15.0</v>
      </c>
      <c r="AT1032" s="44">
        <v>1031.0</v>
      </c>
      <c r="AU1032" s="44"/>
      <c r="AW1032" s="93"/>
      <c r="AY1032" s="93"/>
      <c r="AZ1032" s="93"/>
      <c r="BA1032" s="93"/>
      <c r="BB1032" s="155"/>
      <c r="BC1032" s="93"/>
      <c r="BE1032" s="93"/>
      <c r="BG1032" s="93"/>
      <c r="BH1032" s="93"/>
      <c r="BI1032" s="93"/>
      <c r="BJ1032" s="155"/>
      <c r="BK1032" s="93"/>
    </row>
    <row r="1033">
      <c r="A1033" s="166">
        <v>44620.98270569445</v>
      </c>
      <c r="B1033" s="44" t="s">
        <v>123</v>
      </c>
      <c r="C1033" s="128">
        <v>825.1734560169731</v>
      </c>
      <c r="D1033" s="128">
        <v>11.0</v>
      </c>
      <c r="E1033" s="128">
        <v>825.6877997800535</v>
      </c>
      <c r="F1033" s="44" t="s">
        <v>88</v>
      </c>
      <c r="G1033" s="128">
        <v>958.1741861954586</v>
      </c>
      <c r="H1033" s="128">
        <v>21.0</v>
      </c>
      <c r="I1033" s="128">
        <v>960.0801539928284</v>
      </c>
      <c r="J1033" s="44" t="s">
        <v>92</v>
      </c>
      <c r="K1033" s="128">
        <v>1041.665858439439</v>
      </c>
      <c r="L1033" s="128">
        <v>23.0</v>
      </c>
      <c r="M1033" s="128">
        <v>1043.8073671072548</v>
      </c>
      <c r="N1033" s="44" t="s">
        <v>34</v>
      </c>
      <c r="O1033" s="128">
        <v>1045.3184418252852</v>
      </c>
      <c r="P1033" s="128">
        <v>25.0</v>
      </c>
      <c r="Q1033" s="128">
        <v>1047.790199705115</v>
      </c>
      <c r="R1033" s="44" t="s">
        <v>47</v>
      </c>
      <c r="S1033" s="128">
        <v>1051.911158638424</v>
      </c>
      <c r="T1033" s="128">
        <v>28.0</v>
      </c>
      <c r="U1033" s="128">
        <v>1054.8775805303283</v>
      </c>
      <c r="V1033" s="44" t="s">
        <v>125</v>
      </c>
      <c r="W1033" s="128">
        <v>730.4245780510967</v>
      </c>
      <c r="X1033" s="128">
        <v>8.0</v>
      </c>
      <c r="Y1033" s="128">
        <v>726.9339574169842</v>
      </c>
      <c r="Z1033" s="44" t="s">
        <v>100</v>
      </c>
      <c r="AA1033" s="128">
        <v>951.944141099562</v>
      </c>
      <c r="AB1033" s="128">
        <v>16.0</v>
      </c>
      <c r="AC1033" s="128">
        <v>949.2782925059447</v>
      </c>
      <c r="AD1033" s="44" t="s">
        <v>112</v>
      </c>
      <c r="AE1033" s="128">
        <v>1014.9610474643747</v>
      </c>
      <c r="AF1033" s="128">
        <v>22.0</v>
      </c>
      <c r="AG1033" s="128">
        <v>1013.2190611420624</v>
      </c>
      <c r="AH1033" s="44" t="s">
        <v>38</v>
      </c>
      <c r="AI1033" s="128">
        <v>1059.6703305636952</v>
      </c>
      <c r="AJ1033" s="128">
        <v>26.0</v>
      </c>
      <c r="AK1033" s="128">
        <v>1058.5580399434418</v>
      </c>
      <c r="AL1033" s="44" t="s">
        <v>27</v>
      </c>
      <c r="AM1033" s="128">
        <v>1162.4681404790103</v>
      </c>
      <c r="AN1033" s="128">
        <v>27.0</v>
      </c>
      <c r="AO1033" s="128">
        <v>1161.4788866493057</v>
      </c>
      <c r="AP1033" s="128">
        <v>15.0</v>
      </c>
      <c r="AQ1033" s="128">
        <v>13.0</v>
      </c>
      <c r="AT1033" s="44">
        <v>1032.0</v>
      </c>
      <c r="AU1033" s="44"/>
      <c r="AW1033" s="93"/>
      <c r="AY1033" s="93"/>
      <c r="AZ1033" s="93"/>
      <c r="BA1033" s="93"/>
      <c r="BB1033" s="155"/>
      <c r="BC1033" s="93"/>
      <c r="BE1033" s="93"/>
      <c r="BG1033" s="93"/>
      <c r="BH1033" s="93"/>
      <c r="BI1033" s="93"/>
      <c r="BJ1033" s="155"/>
      <c r="BK1033" s="93"/>
    </row>
    <row r="1034">
      <c r="A1034" s="166">
        <v>44621.01733853009</v>
      </c>
      <c r="B1034" s="44" t="s">
        <v>123</v>
      </c>
      <c r="C1034" s="128">
        <v>825.6877997800535</v>
      </c>
      <c r="D1034" s="128">
        <v>12.0</v>
      </c>
      <c r="E1034" s="128">
        <v>821.5593700547347</v>
      </c>
      <c r="F1034" s="44" t="s">
        <v>112</v>
      </c>
      <c r="G1034" s="128">
        <v>1013.2190611420624</v>
      </c>
      <c r="H1034" s="128">
        <v>16.0</v>
      </c>
      <c r="I1034" s="128">
        <v>1009.5812739838711</v>
      </c>
      <c r="J1034" s="44" t="s">
        <v>92</v>
      </c>
      <c r="K1034" s="128">
        <v>1043.8073671072548</v>
      </c>
      <c r="L1034" s="128">
        <v>28.0</v>
      </c>
      <c r="M1034" s="128">
        <v>1042.883500368975</v>
      </c>
      <c r="N1034" s="44" t="s">
        <v>47</v>
      </c>
      <c r="O1034" s="128">
        <v>1054.8775805303283</v>
      </c>
      <c r="P1034" s="128">
        <v>22.0</v>
      </c>
      <c r="Q1034" s="128">
        <v>1052.567664152118</v>
      </c>
      <c r="V1034" s="44" t="s">
        <v>125</v>
      </c>
      <c r="W1034" s="128">
        <v>726.9339574169842</v>
      </c>
      <c r="X1034" s="128">
        <v>17.0</v>
      </c>
      <c r="Y1034" s="128">
        <v>729.7357717165927</v>
      </c>
      <c r="Z1034" s="44" t="s">
        <v>88</v>
      </c>
      <c r="AA1034" s="128">
        <v>960.0801539928284</v>
      </c>
      <c r="AB1034" s="128">
        <v>13.0</v>
      </c>
      <c r="AC1034" s="128">
        <v>961.2439306463474</v>
      </c>
      <c r="AD1034" s="44" t="s">
        <v>38</v>
      </c>
      <c r="AE1034" s="128">
        <v>1058.5580399434418</v>
      </c>
      <c r="AF1034" s="128">
        <v>25.0</v>
      </c>
      <c r="AG1034" s="128">
        <v>1062.3345770346318</v>
      </c>
      <c r="AH1034" s="44" t="s">
        <v>27</v>
      </c>
      <c r="AI1034" s="128">
        <v>1161.4788866493057</v>
      </c>
      <c r="AJ1034" s="128">
        <v>23.0</v>
      </c>
      <c r="AK1034" s="128">
        <v>1164.7367586049882</v>
      </c>
      <c r="AP1034" s="128">
        <v>13.0</v>
      </c>
      <c r="AQ1034" s="128">
        <v>15.0</v>
      </c>
      <c r="AT1034" s="44">
        <v>1033.0</v>
      </c>
      <c r="AU1034" s="44"/>
      <c r="AW1034" s="93"/>
      <c r="AY1034" s="93"/>
      <c r="AZ1034" s="93"/>
      <c r="BA1034" s="93"/>
      <c r="BB1034" s="155"/>
      <c r="BC1034" s="93"/>
      <c r="BE1034" s="93"/>
      <c r="BG1034" s="93"/>
      <c r="BH1034" s="93"/>
      <c r="BI1034" s="93"/>
      <c r="BJ1034" s="155"/>
      <c r="BK1034" s="93"/>
    </row>
    <row r="1035">
      <c r="A1035" s="166">
        <v>44622.003965474534</v>
      </c>
      <c r="B1035" s="44" t="s">
        <v>486</v>
      </c>
      <c r="C1035" s="128">
        <v>921.3460654419355</v>
      </c>
      <c r="D1035" s="128">
        <v>17.0</v>
      </c>
      <c r="E1035" s="128">
        <v>928.1870050648986</v>
      </c>
      <c r="F1035" s="44" t="s">
        <v>38</v>
      </c>
      <c r="G1035" s="128">
        <v>1062.3345770346318</v>
      </c>
      <c r="H1035" s="128">
        <v>20.0</v>
      </c>
      <c r="I1035" s="128">
        <v>1070.4936374116687</v>
      </c>
      <c r="J1035" s="44"/>
      <c r="K1035" s="128"/>
      <c r="L1035" s="128"/>
      <c r="M1035" s="128"/>
      <c r="N1035" s="44"/>
      <c r="O1035" s="128"/>
      <c r="P1035" s="128"/>
      <c r="Q1035" s="128"/>
      <c r="V1035" s="44" t="s">
        <v>125</v>
      </c>
      <c r="W1035" s="128">
        <v>729.7357717165927</v>
      </c>
      <c r="X1035" s="128">
        <v>6.0</v>
      </c>
      <c r="Y1035" s="128">
        <v>717.3169517012711</v>
      </c>
      <c r="Z1035" s="44" t="s">
        <v>27</v>
      </c>
      <c r="AA1035" s="128">
        <v>1164.7367586049882</v>
      </c>
      <c r="AB1035" s="128">
        <v>25.0</v>
      </c>
      <c r="AC1035" s="128">
        <v>1162.1555786203096</v>
      </c>
      <c r="AD1035" s="44"/>
      <c r="AE1035" s="128"/>
      <c r="AF1035" s="128"/>
      <c r="AG1035" s="128"/>
      <c r="AH1035" s="44"/>
      <c r="AI1035" s="128"/>
      <c r="AJ1035" s="128"/>
      <c r="AK1035" s="128"/>
      <c r="AP1035" s="128">
        <v>16.0</v>
      </c>
      <c r="AQ1035" s="128">
        <v>12.0</v>
      </c>
      <c r="AT1035" s="44">
        <v>1034.0</v>
      </c>
      <c r="AU1035" s="44"/>
      <c r="AW1035" s="93"/>
      <c r="AY1035" s="93"/>
      <c r="AZ1035" s="93"/>
      <c r="BA1035" s="93"/>
      <c r="BB1035" s="155"/>
      <c r="BC1035" s="93"/>
      <c r="BE1035" s="93"/>
      <c r="BG1035" s="93"/>
      <c r="BH1035" s="93"/>
      <c r="BI1035" s="93"/>
      <c r="BJ1035" s="155"/>
      <c r="BK1035" s="93"/>
    </row>
    <row r="1036">
      <c r="A1036" s="166">
        <v>44622.94046372685</v>
      </c>
      <c r="B1036" s="44" t="s">
        <v>582</v>
      </c>
      <c r="C1036" s="128">
        <v>883.4781000556305</v>
      </c>
      <c r="D1036" s="128">
        <v>8.0</v>
      </c>
      <c r="E1036" s="128">
        <v>874.3454270247685</v>
      </c>
      <c r="F1036" s="44" t="s">
        <v>100</v>
      </c>
      <c r="G1036" s="128">
        <v>949.2782925059447</v>
      </c>
      <c r="H1036" s="128">
        <v>16.0</v>
      </c>
      <c r="I1036" s="128">
        <v>943.2198175608257</v>
      </c>
      <c r="J1036" s="44" t="s">
        <v>92</v>
      </c>
      <c r="K1036" s="128">
        <v>1042.883500368975</v>
      </c>
      <c r="L1036" s="128">
        <v>19.0</v>
      </c>
      <c r="M1036" s="128">
        <v>1037.8355799161066</v>
      </c>
      <c r="N1036" s="44" t="s">
        <v>27</v>
      </c>
      <c r="O1036" s="128">
        <v>1162.1555786203096</v>
      </c>
      <c r="P1036" s="128">
        <v>32.0</v>
      </c>
      <c r="Q1036" s="128">
        <v>1162.1455786203096</v>
      </c>
      <c r="V1036" s="44" t="s">
        <v>125</v>
      </c>
      <c r="W1036" s="128">
        <v>717.3169517012711</v>
      </c>
      <c r="X1036" s="128">
        <v>13.0</v>
      </c>
      <c r="Y1036" s="128">
        <v>721.0055979238452</v>
      </c>
      <c r="Z1036" s="44" t="s">
        <v>61</v>
      </c>
      <c r="AA1036" s="128">
        <v>1016.2245402100358</v>
      </c>
      <c r="AB1036" s="128">
        <v>23.0</v>
      </c>
      <c r="AC1036" s="128">
        <v>1022.6004220796799</v>
      </c>
      <c r="AD1036" s="44" t="s">
        <v>38</v>
      </c>
      <c r="AE1036" s="128">
        <v>1070.4936374116687</v>
      </c>
      <c r="AF1036" s="128">
        <v>21.0</v>
      </c>
      <c r="AG1036" s="128">
        <v>1075.934059109755</v>
      </c>
      <c r="AH1036" s="44" t="s">
        <v>31</v>
      </c>
      <c r="AI1036" s="128">
        <v>1236.4088022002095</v>
      </c>
      <c r="AJ1036" s="128">
        <v>19.0</v>
      </c>
      <c r="AK1036" s="128">
        <v>1240.903852409905</v>
      </c>
      <c r="AP1036" s="128">
        <v>12.0</v>
      </c>
      <c r="AQ1036" s="128">
        <v>16.0</v>
      </c>
      <c r="AT1036" s="44">
        <v>1035.0</v>
      </c>
      <c r="AU1036" s="44"/>
      <c r="AW1036" s="93"/>
      <c r="AY1036" s="93"/>
      <c r="AZ1036" s="93"/>
      <c r="BA1036" s="93"/>
      <c r="BB1036" s="155"/>
      <c r="BC1036" s="93"/>
      <c r="BE1036" s="93"/>
      <c r="BG1036" s="93"/>
      <c r="BH1036" s="93"/>
      <c r="BI1036" s="93"/>
      <c r="BJ1036" s="155"/>
      <c r="BK1036" s="93"/>
    </row>
    <row r="1037">
      <c r="A1037" s="166">
        <v>44622.98297884259</v>
      </c>
      <c r="B1037" s="44" t="s">
        <v>125</v>
      </c>
      <c r="C1037" s="128">
        <v>721.0055979238452</v>
      </c>
      <c r="D1037" s="128">
        <v>13.0</v>
      </c>
      <c r="E1037" s="128">
        <v>727.2210633403973</v>
      </c>
      <c r="F1037" s="44" t="s">
        <v>38</v>
      </c>
      <c r="G1037" s="128">
        <v>1075.934059109755</v>
      </c>
      <c r="H1037" s="128">
        <v>21.0</v>
      </c>
      <c r="I1037" s="128">
        <v>1085.2757416699146</v>
      </c>
      <c r="J1037" s="44" t="s">
        <v>27</v>
      </c>
      <c r="K1037" s="128">
        <v>1162.1455786203096</v>
      </c>
      <c r="L1037" s="128">
        <v>24.0</v>
      </c>
      <c r="M1037" s="128">
        <v>1173.5884306435978</v>
      </c>
      <c r="N1037" s="44"/>
      <c r="O1037" s="128"/>
      <c r="P1037" s="128"/>
      <c r="Q1037" s="128"/>
      <c r="V1037" s="44" t="s">
        <v>112</v>
      </c>
      <c r="W1037" s="128">
        <v>1009.5812739838711</v>
      </c>
      <c r="X1037" s="128">
        <v>13.0</v>
      </c>
      <c r="Y1037" s="128">
        <v>997.6380803721039</v>
      </c>
      <c r="Z1037" s="44" t="s">
        <v>61</v>
      </c>
      <c r="AA1037" s="128">
        <v>1022.6004220796799</v>
      </c>
      <c r="AB1037" s="128">
        <v>13.0</v>
      </c>
      <c r="AC1037" s="128">
        <v>1010.6109332167036</v>
      </c>
      <c r="AD1037" s="44" t="s">
        <v>34</v>
      </c>
      <c r="AE1037" s="128">
        <v>1047.790199705115</v>
      </c>
      <c r="AF1037" s="128">
        <v>25.0</v>
      </c>
      <c r="AG1037" s="128">
        <v>1044.7228821798585</v>
      </c>
      <c r="AH1037" s="44"/>
      <c r="AI1037" s="128"/>
      <c r="AJ1037" s="128"/>
      <c r="AK1037" s="128"/>
      <c r="AP1037" s="128">
        <v>17.0</v>
      </c>
      <c r="AQ1037" s="128">
        <v>11.0</v>
      </c>
      <c r="AT1037" s="44">
        <v>1036.0</v>
      </c>
      <c r="AU1037" s="44"/>
      <c r="AW1037" s="93"/>
      <c r="AY1037" s="93"/>
      <c r="AZ1037" s="93"/>
      <c r="BA1037" s="93"/>
      <c r="BB1037" s="155"/>
      <c r="BC1037" s="93"/>
      <c r="BE1037" s="93"/>
      <c r="BG1037" s="93"/>
      <c r="BH1037" s="93"/>
      <c r="BI1037" s="93"/>
      <c r="BJ1037" s="155"/>
      <c r="BK1037" s="93"/>
    </row>
    <row r="1038">
      <c r="A1038" s="166">
        <v>44625.99954712963</v>
      </c>
      <c r="B1038" s="44" t="s">
        <v>125</v>
      </c>
      <c r="C1038" s="128">
        <v>727.2210633403973</v>
      </c>
      <c r="D1038" s="128">
        <v>17.0</v>
      </c>
      <c r="E1038" s="128">
        <v>736.4605561691928</v>
      </c>
      <c r="F1038" s="44" t="s">
        <v>98</v>
      </c>
      <c r="G1038" s="128">
        <v>964.9952820204578</v>
      </c>
      <c r="H1038" s="128">
        <v>26.0</v>
      </c>
      <c r="I1038" s="128">
        <v>979.0644183237854</v>
      </c>
      <c r="J1038" s="44" t="s">
        <v>61</v>
      </c>
      <c r="K1038" s="128">
        <v>1010.6109332167036</v>
      </c>
      <c r="L1038" s="128">
        <v>26.0</v>
      </c>
      <c r="M1038" s="128">
        <v>1024.3923869945427</v>
      </c>
      <c r="N1038" s="44" t="s">
        <v>27</v>
      </c>
      <c r="O1038" s="128">
        <v>1173.5884306435978</v>
      </c>
      <c r="P1038" s="128">
        <v>15.0</v>
      </c>
      <c r="Q1038" s="128">
        <v>1177.4983477336357</v>
      </c>
      <c r="V1038" s="44" t="s">
        <v>582</v>
      </c>
      <c r="W1038" s="128">
        <v>874.3454270247685</v>
      </c>
      <c r="X1038" s="128">
        <v>6.0</v>
      </c>
      <c r="Y1038" s="128">
        <v>857.3652366298802</v>
      </c>
      <c r="Z1038" s="44" t="s">
        <v>88</v>
      </c>
      <c r="AA1038" s="128">
        <v>961.2439306463474</v>
      </c>
      <c r="AB1038" s="128">
        <v>21.0</v>
      </c>
      <c r="AC1038" s="128">
        <v>956.5385554469209</v>
      </c>
      <c r="AD1038" s="44" t="s">
        <v>112</v>
      </c>
      <c r="AE1038" s="128">
        <v>997.6380803721039</v>
      </c>
      <c r="AF1038" s="128">
        <v>3.0</v>
      </c>
      <c r="AG1038" s="128">
        <v>977.3947411564975</v>
      </c>
      <c r="AH1038" s="44" t="s">
        <v>47</v>
      </c>
      <c r="AI1038" s="128">
        <v>1052.567664152118</v>
      </c>
      <c r="AJ1038" s="128">
        <v>28.0</v>
      </c>
      <c r="AK1038" s="128">
        <v>1052.557664152118</v>
      </c>
      <c r="AP1038" s="128">
        <v>19.0</v>
      </c>
      <c r="AQ1038" s="128">
        <v>9.0</v>
      </c>
      <c r="AT1038" s="44">
        <v>1037.0</v>
      </c>
      <c r="AU1038" s="44"/>
      <c r="AW1038" s="93"/>
      <c r="AY1038" s="93"/>
      <c r="AZ1038" s="93"/>
      <c r="BA1038" s="93"/>
      <c r="BB1038" s="155"/>
      <c r="BC1038" s="93"/>
      <c r="BE1038" s="93"/>
      <c r="BG1038" s="93"/>
      <c r="BH1038" s="93"/>
      <c r="BI1038" s="93"/>
      <c r="BJ1038" s="155"/>
      <c r="BK1038" s="93"/>
    </row>
    <row r="1039">
      <c r="A1039" s="166">
        <v>44626.03732017361</v>
      </c>
      <c r="B1039" s="44" t="s">
        <v>125</v>
      </c>
      <c r="C1039" s="128">
        <v>736.4605561691928</v>
      </c>
      <c r="D1039" s="128">
        <v>11.0</v>
      </c>
      <c r="E1039" s="128">
        <v>736.7485506366098</v>
      </c>
      <c r="F1039" s="44" t="s">
        <v>245</v>
      </c>
      <c r="G1039" s="128">
        <v>1053.6146911678434</v>
      </c>
      <c r="H1039" s="128">
        <v>29.0</v>
      </c>
      <c r="I1039" s="128">
        <v>1054.7017367432372</v>
      </c>
      <c r="J1039" s="44" t="s">
        <v>27</v>
      </c>
      <c r="K1039" s="128">
        <v>1177.4983477336357</v>
      </c>
      <c r="L1039" s="128">
        <v>21.0</v>
      </c>
      <c r="M1039" s="128">
        <v>1178.123307690825</v>
      </c>
      <c r="N1039" s="44"/>
      <c r="O1039" s="128"/>
      <c r="P1039" s="128"/>
      <c r="Q1039" s="128"/>
      <c r="V1039" s="44" t="s">
        <v>88</v>
      </c>
      <c r="W1039" s="128">
        <v>956.5385554469209</v>
      </c>
      <c r="X1039" s="128">
        <v>13.0</v>
      </c>
      <c r="Y1039" s="128">
        <v>955.6477622732467</v>
      </c>
      <c r="Z1039" s="44" t="s">
        <v>61</v>
      </c>
      <c r="AA1039" s="128">
        <v>1024.3923869945427</v>
      </c>
      <c r="AB1039" s="128">
        <v>17.0</v>
      </c>
      <c r="AC1039" s="128">
        <v>1023.7021084227384</v>
      </c>
      <c r="AD1039" s="44" t="s">
        <v>47</v>
      </c>
      <c r="AE1039" s="128">
        <v>1052.557664152118</v>
      </c>
      <c r="AF1039" s="128">
        <v>22.0</v>
      </c>
      <c r="AG1039" s="128">
        <v>1052.1387358975965</v>
      </c>
      <c r="AH1039" s="44"/>
      <c r="AI1039" s="128"/>
      <c r="AJ1039" s="128"/>
      <c r="AK1039" s="128"/>
      <c r="AP1039" s="128">
        <v>14.0</v>
      </c>
      <c r="AQ1039" s="128">
        <v>14.0</v>
      </c>
      <c r="AT1039" s="44">
        <v>1038.0</v>
      </c>
      <c r="AU1039" s="44"/>
      <c r="AW1039" s="93"/>
      <c r="AY1039" s="93"/>
      <c r="AZ1039" s="93"/>
      <c r="BA1039" s="93"/>
      <c r="BB1039" s="155"/>
      <c r="BC1039" s="93"/>
      <c r="BE1039" s="93"/>
      <c r="BG1039" s="93"/>
      <c r="BH1039" s="93"/>
      <c r="BI1039" s="93"/>
      <c r="BJ1039" s="155"/>
      <c r="BK1039" s="93"/>
    </row>
    <row r="1040">
      <c r="A1040" s="166">
        <v>44626.95541934027</v>
      </c>
      <c r="B1040" s="44" t="s">
        <v>582</v>
      </c>
      <c r="C1040" s="128">
        <v>857.3652366298802</v>
      </c>
      <c r="D1040" s="128">
        <v>9.0</v>
      </c>
      <c r="E1040" s="128">
        <v>852.029854628342</v>
      </c>
      <c r="F1040" s="44" t="s">
        <v>486</v>
      </c>
      <c r="G1040" s="128">
        <v>928.1870050648986</v>
      </c>
      <c r="H1040" s="128">
        <v>7.0</v>
      </c>
      <c r="I1040" s="128">
        <v>922.0364590947989</v>
      </c>
      <c r="J1040" s="44" t="s">
        <v>100</v>
      </c>
      <c r="K1040" s="128">
        <v>943.2198175608257</v>
      </c>
      <c r="L1040" s="128">
        <v>17.0</v>
      </c>
      <c r="M1040" s="128">
        <v>940.2041067940044</v>
      </c>
      <c r="N1040" s="44" t="s">
        <v>61</v>
      </c>
      <c r="O1040" s="128">
        <v>1023.7021084227384</v>
      </c>
      <c r="P1040" s="128">
        <v>12.0</v>
      </c>
      <c r="Q1040" s="128">
        <v>1018.9716188711494</v>
      </c>
      <c r="R1040" s="44" t="s">
        <v>27</v>
      </c>
      <c r="S1040" s="128">
        <v>1178.123307690825</v>
      </c>
      <c r="T1040" s="128">
        <v>28.0</v>
      </c>
      <c r="U1040" s="128">
        <v>1178.113307690825</v>
      </c>
      <c r="V1040" s="44" t="s">
        <v>123</v>
      </c>
      <c r="W1040" s="128">
        <v>821.5593700547347</v>
      </c>
      <c r="X1040" s="128">
        <v>14.0</v>
      </c>
      <c r="Y1040" s="128">
        <v>824.0151538664807</v>
      </c>
      <c r="Z1040" s="44" t="s">
        <v>88</v>
      </c>
      <c r="AA1040" s="128">
        <v>955.6477622732467</v>
      </c>
      <c r="AB1040" s="128">
        <v>22.0</v>
      </c>
      <c r="AC1040" s="128">
        <v>960.164017884231</v>
      </c>
      <c r="AD1040" s="44" t="s">
        <v>92</v>
      </c>
      <c r="AE1040" s="128">
        <v>1037.8355799161066</v>
      </c>
      <c r="AF1040" s="128">
        <v>17.0</v>
      </c>
      <c r="AG1040" s="128">
        <v>1040.6013971377172</v>
      </c>
      <c r="AH1040" s="44" t="s">
        <v>34</v>
      </c>
      <c r="AI1040" s="128">
        <v>1044.7228821798585</v>
      </c>
      <c r="AJ1040" s="128">
        <v>22.0</v>
      </c>
      <c r="AK1040" s="128">
        <v>1049.061883709785</v>
      </c>
      <c r="AL1040" s="44" t="s">
        <v>38</v>
      </c>
      <c r="AM1040" s="128">
        <v>1085.2757416699146</v>
      </c>
      <c r="AN1040" s="128">
        <v>24.0</v>
      </c>
      <c r="AO1040" s="128">
        <v>1090.1988834956471</v>
      </c>
      <c r="AP1040" s="128">
        <v>11.0</v>
      </c>
      <c r="AQ1040" s="128">
        <v>17.0</v>
      </c>
      <c r="AT1040" s="44">
        <v>1039.0</v>
      </c>
      <c r="AU1040" s="44"/>
      <c r="AW1040" s="93"/>
      <c r="AY1040" s="93"/>
      <c r="AZ1040" s="93"/>
      <c r="BA1040" s="93"/>
      <c r="BB1040" s="155"/>
      <c r="BC1040" s="93"/>
      <c r="BE1040" s="93"/>
      <c r="BG1040" s="93"/>
      <c r="BH1040" s="93"/>
      <c r="BI1040" s="93"/>
      <c r="BJ1040" s="155"/>
      <c r="BK1040" s="93"/>
    </row>
    <row r="1041">
      <c r="A1041" s="166">
        <v>44626.99889606482</v>
      </c>
      <c r="B1041" s="44" t="s">
        <v>125</v>
      </c>
      <c r="C1041" s="128">
        <v>736.7485506366098</v>
      </c>
      <c r="D1041" s="128">
        <v>11.0</v>
      </c>
      <c r="E1041" s="128">
        <v>738.5175292623024</v>
      </c>
      <c r="F1041" s="44" t="s">
        <v>123</v>
      </c>
      <c r="G1041" s="128">
        <v>824.0151538664807</v>
      </c>
      <c r="H1041" s="128">
        <v>8.0</v>
      </c>
      <c r="I1041" s="128">
        <v>824.310380659761</v>
      </c>
      <c r="J1041" s="44" t="s">
        <v>34</v>
      </c>
      <c r="K1041" s="128">
        <v>1049.061883709785</v>
      </c>
      <c r="L1041" s="128">
        <v>25.0</v>
      </c>
      <c r="M1041" s="128">
        <v>1054.3175909911986</v>
      </c>
      <c r="N1041" s="44" t="s">
        <v>38</v>
      </c>
      <c r="O1041" s="128">
        <v>1090.1988834956471</v>
      </c>
      <c r="P1041" s="128">
        <v>26.0</v>
      </c>
      <c r="Q1041" s="128">
        <v>1095.735299397885</v>
      </c>
      <c r="R1041" s="44" t="s">
        <v>27</v>
      </c>
      <c r="S1041" s="128">
        <v>1178.113307690825</v>
      </c>
      <c r="T1041" s="128">
        <v>31.0</v>
      </c>
      <c r="U1041" s="128">
        <v>1185.2569790882005</v>
      </c>
      <c r="V1041" s="44" t="s">
        <v>486</v>
      </c>
      <c r="W1041" s="128">
        <v>922.0364590947989</v>
      </c>
      <c r="X1041" s="128">
        <v>13.0</v>
      </c>
      <c r="Y1041" s="128">
        <v>916.2333822413808</v>
      </c>
      <c r="Z1041" s="44" t="s">
        <v>100</v>
      </c>
      <c r="AA1041" s="128">
        <v>940.2041067940044</v>
      </c>
      <c r="AB1041" s="128">
        <v>17.0</v>
      </c>
      <c r="AC1041" s="128">
        <v>935.681640433753</v>
      </c>
      <c r="AD1041" s="44" t="s">
        <v>88</v>
      </c>
      <c r="AE1041" s="128">
        <v>960.164017884231</v>
      </c>
      <c r="AF1041" s="128">
        <v>24.0</v>
      </c>
      <c r="AG1041" s="128">
        <v>957.9222556516307</v>
      </c>
      <c r="AH1041" s="44" t="s">
        <v>61</v>
      </c>
      <c r="AI1041" s="128">
        <v>1018.9716188711494</v>
      </c>
      <c r="AJ1041" s="128">
        <v>26.0</v>
      </c>
      <c r="AK1041" s="128">
        <v>1017.272573662416</v>
      </c>
      <c r="AL1041" s="44" t="s">
        <v>92</v>
      </c>
      <c r="AM1041" s="128">
        <v>1040.6013971377172</v>
      </c>
      <c r="AN1041" s="128">
        <v>14.0</v>
      </c>
      <c r="AO1041" s="128">
        <v>1034.8677477927204</v>
      </c>
      <c r="AP1041" s="128">
        <v>16.0</v>
      </c>
      <c r="AQ1041" s="128">
        <v>12.0</v>
      </c>
      <c r="AT1041" s="44">
        <v>1040.0</v>
      </c>
      <c r="AU1041" s="44"/>
      <c r="AW1041" s="93"/>
      <c r="AY1041" s="93"/>
      <c r="AZ1041" s="93"/>
      <c r="BA1041" s="93"/>
      <c r="BB1041" s="155"/>
      <c r="BC1041" s="93"/>
      <c r="BE1041" s="93"/>
      <c r="BG1041" s="93"/>
      <c r="BH1041" s="93"/>
      <c r="BI1041" s="93"/>
      <c r="BJ1041" s="155"/>
      <c r="BK1041" s="93"/>
    </row>
    <row r="1042">
      <c r="A1042" s="166">
        <v>44627.67844517361</v>
      </c>
      <c r="B1042" s="44" t="s">
        <v>123</v>
      </c>
      <c r="C1042" s="128">
        <v>824.310380659761</v>
      </c>
      <c r="D1042" s="128">
        <v>7.0</v>
      </c>
      <c r="E1042" s="128">
        <v>802.5125709389935</v>
      </c>
      <c r="F1042" s="44" t="s">
        <v>486</v>
      </c>
      <c r="G1042" s="128">
        <v>916.2333822413808</v>
      </c>
      <c r="H1042" s="128">
        <v>13.0</v>
      </c>
      <c r="I1042" s="128">
        <v>900.6665041842989</v>
      </c>
      <c r="J1042" s="44" t="s">
        <v>34</v>
      </c>
      <c r="K1042" s="128">
        <v>1054.3175909911986</v>
      </c>
      <c r="L1042" s="128">
        <v>22.0</v>
      </c>
      <c r="M1042" s="128">
        <v>1048.682278769048</v>
      </c>
      <c r="N1042" s="44"/>
      <c r="O1042" s="128"/>
      <c r="P1042" s="128"/>
      <c r="Q1042" s="128"/>
      <c r="V1042" s="44" t="s">
        <v>125</v>
      </c>
      <c r="W1042" s="128">
        <v>738.5175292623024</v>
      </c>
      <c r="X1042" s="128">
        <v>15.0</v>
      </c>
      <c r="Y1042" s="128">
        <v>748.002519558709</v>
      </c>
      <c r="Z1042" s="44" t="s">
        <v>100</v>
      </c>
      <c r="AA1042" s="128">
        <v>935.681640433753</v>
      </c>
      <c r="AB1042" s="128">
        <v>27.0</v>
      </c>
      <c r="AC1042" s="128">
        <v>956.0348100848666</v>
      </c>
      <c r="AD1042" s="44" t="s">
        <v>38</v>
      </c>
      <c r="AE1042" s="128">
        <v>1095.735299397885</v>
      </c>
      <c r="AF1042" s="128">
        <v>22.0</v>
      </c>
      <c r="AG1042" s="128">
        <v>1108.8971394503649</v>
      </c>
      <c r="AH1042" s="44"/>
      <c r="AI1042" s="128"/>
      <c r="AJ1042" s="128"/>
      <c r="AK1042" s="128"/>
      <c r="AP1042" s="128">
        <v>8.0</v>
      </c>
      <c r="AQ1042" s="128">
        <v>20.0</v>
      </c>
      <c r="AT1042" s="44">
        <v>1041.0</v>
      </c>
      <c r="AU1042" s="44"/>
      <c r="AW1042" s="93"/>
      <c r="AY1042" s="93"/>
      <c r="AZ1042" s="93"/>
      <c r="BA1042" s="93"/>
      <c r="BB1042" s="155"/>
      <c r="BC1042" s="93"/>
      <c r="BE1042" s="93"/>
      <c r="BG1042" s="93"/>
      <c r="BH1042" s="93"/>
      <c r="BI1042" s="93"/>
      <c r="BJ1042" s="155"/>
      <c r="BK1042" s="93"/>
    </row>
    <row r="1043">
      <c r="A1043" s="166">
        <v>44627.684339513886</v>
      </c>
      <c r="B1043" s="44" t="s">
        <v>125</v>
      </c>
      <c r="C1043" s="128">
        <v>748.002519558709</v>
      </c>
      <c r="D1043" s="128">
        <v>12.0</v>
      </c>
      <c r="E1043" s="128">
        <v>744.9784353663995</v>
      </c>
      <c r="F1043" s="44" t="s">
        <v>100</v>
      </c>
      <c r="G1043" s="128">
        <v>956.0348100848666</v>
      </c>
      <c r="H1043" s="128">
        <v>14.0</v>
      </c>
      <c r="I1043" s="128">
        <v>953.0588942771761</v>
      </c>
      <c r="J1043" s="44"/>
      <c r="K1043" s="128"/>
      <c r="L1043" s="128"/>
      <c r="M1043" s="128"/>
      <c r="N1043" s="44"/>
      <c r="O1043" s="128"/>
      <c r="P1043" s="128"/>
      <c r="Q1043" s="128"/>
      <c r="V1043" s="44" t="s">
        <v>486</v>
      </c>
      <c r="W1043" s="128">
        <v>900.6665041842989</v>
      </c>
      <c r="X1043" s="128">
        <v>13.0</v>
      </c>
      <c r="Y1043" s="128">
        <v>902.4396322332339</v>
      </c>
      <c r="Z1043" s="44" t="s">
        <v>38</v>
      </c>
      <c r="AA1043" s="128">
        <v>1108.8971394503649</v>
      </c>
      <c r="AB1043" s="128">
        <v>24.0</v>
      </c>
      <c r="AC1043" s="128">
        <v>1113.12401140143</v>
      </c>
      <c r="AD1043" s="44"/>
      <c r="AE1043" s="128"/>
      <c r="AF1043" s="128"/>
      <c r="AG1043" s="128"/>
      <c r="AH1043" s="44"/>
      <c r="AI1043" s="128"/>
      <c r="AJ1043" s="128"/>
      <c r="AK1043" s="128"/>
      <c r="AP1043" s="128">
        <v>11.0</v>
      </c>
      <c r="AQ1043" s="128">
        <v>16.0</v>
      </c>
      <c r="AT1043" s="44">
        <v>1042.0</v>
      </c>
      <c r="AU1043" s="44"/>
      <c r="AW1043" s="93"/>
      <c r="AY1043" s="93"/>
      <c r="AZ1043" s="93"/>
      <c r="BA1043" s="93"/>
      <c r="BB1043" s="155"/>
      <c r="BC1043" s="93"/>
      <c r="BE1043" s="93"/>
      <c r="BG1043" s="93"/>
      <c r="BH1043" s="93"/>
      <c r="BI1043" s="93"/>
      <c r="BJ1043" s="155"/>
      <c r="BK1043" s="93"/>
    </row>
    <row r="1044">
      <c r="A1044" s="166">
        <v>44627.686032997684</v>
      </c>
      <c r="B1044" s="44" t="s">
        <v>486</v>
      </c>
      <c r="C1044" s="128">
        <v>902.4396322332339</v>
      </c>
      <c r="D1044" s="128">
        <v>17.0</v>
      </c>
      <c r="E1044" s="128">
        <v>912.1957614003543</v>
      </c>
      <c r="F1044" s="44" t="s">
        <v>100</v>
      </c>
      <c r="G1044" s="128">
        <v>953.0588942771761</v>
      </c>
      <c r="H1044" s="128">
        <v>18.0</v>
      </c>
      <c r="I1044" s="128">
        <v>963.3027651100557</v>
      </c>
      <c r="J1044" s="44"/>
      <c r="K1044" s="128"/>
      <c r="L1044" s="128"/>
      <c r="M1044" s="128"/>
      <c r="N1044" s="44"/>
      <c r="O1044" s="128"/>
      <c r="P1044" s="128"/>
      <c r="Q1044" s="128"/>
      <c r="V1044" s="44" t="s">
        <v>125</v>
      </c>
      <c r="W1044" s="128">
        <v>744.9784353663995</v>
      </c>
      <c r="X1044" s="128">
        <v>13.0</v>
      </c>
      <c r="Y1044" s="128">
        <v>733.6747173848022</v>
      </c>
      <c r="Z1044" s="44" t="s">
        <v>38</v>
      </c>
      <c r="AA1044" s="128">
        <v>1113.12401140143</v>
      </c>
      <c r="AB1044" s="128">
        <v>19.0</v>
      </c>
      <c r="AC1044" s="128">
        <v>1104.427729383027</v>
      </c>
      <c r="AD1044" s="44"/>
      <c r="AE1044" s="128"/>
      <c r="AF1044" s="128"/>
      <c r="AG1044" s="128"/>
      <c r="AH1044" s="44"/>
      <c r="AI1044" s="128"/>
      <c r="AJ1044" s="128"/>
      <c r="AK1044" s="128"/>
      <c r="AP1044" s="128">
        <v>15.0</v>
      </c>
      <c r="AQ1044" s="128">
        <v>12.0</v>
      </c>
      <c r="AT1044" s="44">
        <v>1043.0</v>
      </c>
      <c r="AU1044" s="44"/>
      <c r="AW1044" s="93"/>
      <c r="AY1044" s="93"/>
      <c r="AZ1044" s="93"/>
      <c r="BA1044" s="93"/>
      <c r="BB1044" s="155"/>
      <c r="BC1044" s="93"/>
      <c r="BE1044" s="93"/>
      <c r="BG1044" s="93"/>
      <c r="BH1044" s="93"/>
      <c r="BI1044" s="93"/>
      <c r="BJ1044" s="155"/>
      <c r="BK1044" s="93"/>
    </row>
    <row r="1045">
      <c r="A1045" s="166">
        <v>44628.97367792824</v>
      </c>
      <c r="B1045" s="44" t="s">
        <v>88</v>
      </c>
      <c r="C1045" s="128">
        <v>957.9222556516307</v>
      </c>
      <c r="D1045" s="128">
        <v>22.0</v>
      </c>
      <c r="E1045" s="128">
        <v>953.5473517679203</v>
      </c>
      <c r="F1045" s="44" t="s">
        <v>100</v>
      </c>
      <c r="G1045" s="128">
        <v>963.3027651100557</v>
      </c>
      <c r="H1045" s="128">
        <v>7.0</v>
      </c>
      <c r="I1045" s="128">
        <v>946.4016565405744</v>
      </c>
      <c r="J1045" s="44" t="s">
        <v>61</v>
      </c>
      <c r="K1045" s="128">
        <v>1017.272573662416</v>
      </c>
      <c r="L1045" s="128">
        <v>12.0</v>
      </c>
      <c r="M1045" s="128">
        <v>1004.3158115830815</v>
      </c>
      <c r="N1045" s="44" t="s">
        <v>27</v>
      </c>
      <c r="O1045" s="128">
        <v>1185.2569790882005</v>
      </c>
      <c r="P1045" s="128">
        <v>21.0</v>
      </c>
      <c r="Q1045" s="128">
        <v>1179.4897536207266</v>
      </c>
      <c r="V1045" s="44" t="s">
        <v>112</v>
      </c>
      <c r="W1045" s="128">
        <v>977.3947411564975</v>
      </c>
      <c r="X1045" s="128">
        <v>26.0</v>
      </c>
      <c r="Y1045" s="128">
        <v>991.3848780807772</v>
      </c>
      <c r="Z1045" s="44" t="s">
        <v>110</v>
      </c>
      <c r="AA1045" s="128">
        <v>990.0876678556018</v>
      </c>
      <c r="AB1045" s="128">
        <v>18.0</v>
      </c>
      <c r="AC1045" s="128">
        <v>997.3361445734027</v>
      </c>
      <c r="AD1045" s="44" t="s">
        <v>47</v>
      </c>
      <c r="AE1045" s="128">
        <v>1052.1387358975965</v>
      </c>
      <c r="AF1045" s="128">
        <v>11.0</v>
      </c>
      <c r="AG1045" s="128">
        <v>1053.2642454522083</v>
      </c>
      <c r="AH1045" s="44" t="s">
        <v>38</v>
      </c>
      <c r="AI1045" s="128">
        <v>1104.427729383027</v>
      </c>
      <c r="AJ1045" s="128">
        <v>31.0</v>
      </c>
      <c r="AK1045" s="128">
        <v>1122.0636061863345</v>
      </c>
      <c r="AP1045" s="128">
        <v>8.0</v>
      </c>
      <c r="AQ1045" s="128">
        <v>20.0</v>
      </c>
      <c r="AT1045" s="44">
        <v>1044.0</v>
      </c>
      <c r="AU1045" s="44"/>
      <c r="AW1045" s="93"/>
      <c r="AY1045" s="93"/>
      <c r="AZ1045" s="93"/>
      <c r="BA1045" s="93"/>
      <c r="BB1045" s="155"/>
      <c r="BC1045" s="93"/>
      <c r="BE1045" s="93"/>
      <c r="BG1045" s="93"/>
      <c r="BH1045" s="93"/>
      <c r="BI1045" s="93"/>
      <c r="BJ1045" s="155"/>
      <c r="BK1045" s="93"/>
    </row>
    <row r="1046">
      <c r="A1046" s="166">
        <v>44629.00246905093</v>
      </c>
      <c r="B1046" s="44" t="s">
        <v>125</v>
      </c>
      <c r="C1046" s="128">
        <v>733.6747173848022</v>
      </c>
      <c r="D1046" s="128">
        <v>8.0</v>
      </c>
      <c r="E1046" s="128">
        <v>726.0850181036227</v>
      </c>
      <c r="F1046" s="44" t="s">
        <v>88</v>
      </c>
      <c r="G1046" s="128">
        <v>953.5473517679203</v>
      </c>
      <c r="H1046" s="128">
        <v>16.0</v>
      </c>
      <c r="I1046" s="128">
        <v>948.3571781377716</v>
      </c>
      <c r="J1046" s="44" t="s">
        <v>38</v>
      </c>
      <c r="K1046" s="128">
        <v>1122.0636061863345</v>
      </c>
      <c r="L1046" s="128">
        <v>19.0</v>
      </c>
      <c r="M1046" s="128">
        <v>1117.8446163940896</v>
      </c>
      <c r="N1046" s="44" t="s">
        <v>27</v>
      </c>
      <c r="O1046" s="128">
        <v>1179.4897536207266</v>
      </c>
      <c r="P1046" s="128">
        <v>22.0</v>
      </c>
      <c r="Q1046" s="128">
        <v>1176.4886163242995</v>
      </c>
      <c r="V1046" s="44" t="s">
        <v>100</v>
      </c>
      <c r="W1046" s="128">
        <v>946.4016565405744</v>
      </c>
      <c r="X1046" s="128">
        <v>20.0</v>
      </c>
      <c r="Y1046" s="128">
        <v>951.0326400723917</v>
      </c>
      <c r="Z1046" s="44" t="s">
        <v>112</v>
      </c>
      <c r="AA1046" s="128">
        <v>991.3848780807772</v>
      </c>
      <c r="AB1046" s="128">
        <v>18.0</v>
      </c>
      <c r="AC1046" s="128">
        <v>995.0390847334925</v>
      </c>
      <c r="AD1046" s="44" t="s">
        <v>61</v>
      </c>
      <c r="AE1046" s="128">
        <v>1004.3158115830815</v>
      </c>
      <c r="AF1046" s="128">
        <v>21.0</v>
      </c>
      <c r="AG1046" s="128">
        <v>1009.1852357273982</v>
      </c>
      <c r="AH1046" s="44" t="s">
        <v>47</v>
      </c>
      <c r="AI1046" s="128">
        <v>1053.2642454522083</v>
      </c>
      <c r="AJ1046" s="128">
        <v>26.0</v>
      </c>
      <c r="AK1046" s="128">
        <v>1060.1096311233591</v>
      </c>
      <c r="AP1046" s="128">
        <v>10.0</v>
      </c>
      <c r="AQ1046" s="128">
        <v>18.0</v>
      </c>
      <c r="AT1046" s="44">
        <v>1045.0</v>
      </c>
      <c r="AU1046" s="44"/>
      <c r="AW1046" s="93"/>
      <c r="AY1046" s="93"/>
      <c r="AZ1046" s="93"/>
      <c r="BA1046" s="93"/>
      <c r="BB1046" s="155"/>
      <c r="BC1046" s="93"/>
      <c r="BE1046" s="93"/>
      <c r="BG1046" s="93"/>
      <c r="BH1046" s="93"/>
      <c r="BI1046" s="93"/>
      <c r="BJ1046" s="155"/>
      <c r="BK1046" s="93"/>
    </row>
    <row r="1047">
      <c r="A1047" s="166">
        <v>44630.915738842596</v>
      </c>
      <c r="B1047" s="44" t="s">
        <v>123</v>
      </c>
      <c r="C1047" s="128">
        <v>802.5125709389935</v>
      </c>
      <c r="D1047" s="128">
        <v>8.0</v>
      </c>
      <c r="E1047" s="128">
        <v>803.3696116697362</v>
      </c>
      <c r="F1047" s="44" t="s">
        <v>92</v>
      </c>
      <c r="G1047" s="128">
        <v>1034.8677477927204</v>
      </c>
      <c r="H1047" s="128">
        <v>21.0</v>
      </c>
      <c r="I1047" s="128">
        <v>1041.7696497296283</v>
      </c>
      <c r="J1047" s="44" t="s">
        <v>27</v>
      </c>
      <c r="K1047" s="128">
        <v>1176.4886163242995</v>
      </c>
      <c r="L1047" s="128">
        <v>31.0</v>
      </c>
      <c r="M1047" s="128">
        <v>1188.7296736566486</v>
      </c>
      <c r="N1047" s="44"/>
      <c r="O1047" s="128"/>
      <c r="P1047" s="128"/>
      <c r="Q1047" s="128"/>
      <c r="V1047" s="44" t="s">
        <v>486</v>
      </c>
      <c r="W1047" s="128">
        <v>912.1957614003543</v>
      </c>
      <c r="X1047" s="128">
        <v>22.0</v>
      </c>
      <c r="Y1047" s="128">
        <v>908.5982179098633</v>
      </c>
      <c r="Z1047" s="44" t="s">
        <v>34</v>
      </c>
      <c r="AA1047" s="128">
        <v>1048.682278769048</v>
      </c>
      <c r="AB1047" s="128">
        <v>19.0</v>
      </c>
      <c r="AC1047" s="128">
        <v>1042.9919135852965</v>
      </c>
      <c r="AD1047" s="44" t="s">
        <v>47</v>
      </c>
      <c r="AE1047" s="128">
        <v>1060.1096311233591</v>
      </c>
      <c r="AF1047" s="128">
        <v>10.0</v>
      </c>
      <c r="AG1047" s="128">
        <v>1049.3975397976017</v>
      </c>
      <c r="AH1047" s="44"/>
      <c r="AI1047" s="128"/>
      <c r="AJ1047" s="128"/>
      <c r="AK1047" s="128"/>
      <c r="AP1047" s="128">
        <v>16.0</v>
      </c>
      <c r="AQ1047" s="128">
        <v>12.0</v>
      </c>
      <c r="AT1047" s="44">
        <v>1046.0</v>
      </c>
      <c r="AU1047" s="44"/>
      <c r="AW1047" s="93"/>
      <c r="AY1047" s="93"/>
      <c r="AZ1047" s="93"/>
      <c r="BA1047" s="93"/>
      <c r="BB1047" s="155"/>
      <c r="BC1047" s="93"/>
      <c r="BE1047" s="93"/>
      <c r="BG1047" s="93"/>
      <c r="BH1047" s="93"/>
      <c r="BI1047" s="93"/>
      <c r="BJ1047" s="155"/>
      <c r="BK1047" s="93"/>
    </row>
    <row r="1048">
      <c r="A1048" s="166">
        <v>44630.95837644676</v>
      </c>
      <c r="B1048" s="44" t="s">
        <v>123</v>
      </c>
      <c r="C1048" s="128">
        <v>803.3696116697362</v>
      </c>
      <c r="D1048" s="128">
        <v>20.0</v>
      </c>
      <c r="E1048" s="128">
        <v>803.0790310032821</v>
      </c>
      <c r="F1048" s="44" t="s">
        <v>92</v>
      </c>
      <c r="G1048" s="128">
        <v>1041.7696497296283</v>
      </c>
      <c r="H1048" s="128">
        <v>18.0</v>
      </c>
      <c r="I1048" s="128">
        <v>1041.3645358149258</v>
      </c>
      <c r="J1048" s="44" t="s">
        <v>27</v>
      </c>
      <c r="K1048" s="128">
        <v>1188.7296736566486</v>
      </c>
      <c r="L1048" s="128">
        <v>22.0</v>
      </c>
      <c r="M1048" s="128">
        <v>1188.4253682378053</v>
      </c>
      <c r="N1048" s="44"/>
      <c r="O1048" s="128"/>
      <c r="P1048" s="128"/>
      <c r="Q1048" s="128"/>
      <c r="V1048" s="44" t="s">
        <v>486</v>
      </c>
      <c r="W1048" s="128">
        <v>908.5982179098633</v>
      </c>
      <c r="X1048" s="128">
        <v>22.0</v>
      </c>
      <c r="Y1048" s="128">
        <v>908.9772467675801</v>
      </c>
      <c r="Z1048" s="44" t="s">
        <v>34</v>
      </c>
      <c r="AA1048" s="128">
        <v>1042.9919135852965</v>
      </c>
      <c r="AB1048" s="128">
        <v>18.0</v>
      </c>
      <c r="AC1048" s="128">
        <v>1043.2333542127328</v>
      </c>
      <c r="AD1048" s="44" t="s">
        <v>47</v>
      </c>
      <c r="AE1048" s="128">
        <v>1049.3975397976017</v>
      </c>
      <c r="AF1048" s="128">
        <v>23.0</v>
      </c>
      <c r="AG1048" s="128">
        <v>1049.7770703124484</v>
      </c>
      <c r="AH1048" s="44"/>
      <c r="AI1048" s="128"/>
      <c r="AJ1048" s="128"/>
      <c r="AK1048" s="128"/>
      <c r="AP1048" s="128">
        <v>21.0</v>
      </c>
      <c r="AQ1048" s="128">
        <v>21.0</v>
      </c>
      <c r="AT1048" s="44">
        <v>1047.0</v>
      </c>
      <c r="AU1048" s="44"/>
      <c r="AW1048" s="93"/>
      <c r="AY1048" s="93"/>
      <c r="AZ1048" s="93"/>
      <c r="BA1048" s="93"/>
      <c r="BB1048" s="155"/>
      <c r="BC1048" s="93"/>
      <c r="BE1048" s="93"/>
      <c r="BG1048" s="93"/>
      <c r="BH1048" s="93"/>
      <c r="BI1048" s="93"/>
      <c r="BJ1048" s="155"/>
      <c r="BK1048" s="93"/>
    </row>
    <row r="1049">
      <c r="A1049" s="166">
        <v>44630.992710266204</v>
      </c>
      <c r="B1049" s="44" t="s">
        <v>123</v>
      </c>
      <c r="C1049" s="128">
        <v>803.0790310032821</v>
      </c>
      <c r="D1049" s="128">
        <v>11.0</v>
      </c>
      <c r="E1049" s="128">
        <v>795.6488603640943</v>
      </c>
      <c r="F1049" s="44" t="s">
        <v>88</v>
      </c>
      <c r="G1049" s="128">
        <v>948.3571781377716</v>
      </c>
      <c r="H1049" s="128">
        <v>13.0</v>
      </c>
      <c r="I1049" s="128">
        <v>941.2127796720307</v>
      </c>
      <c r="J1049" s="44" t="s">
        <v>34</v>
      </c>
      <c r="K1049" s="128">
        <v>1043.2333542127328</v>
      </c>
      <c r="L1049" s="128">
        <v>25.0</v>
      </c>
      <c r="M1049" s="128">
        <v>1041.1197552675446</v>
      </c>
      <c r="N1049" s="44" t="s">
        <v>47</v>
      </c>
      <c r="O1049" s="128">
        <v>1049.7770703124484</v>
      </c>
      <c r="P1049" s="128">
        <v>20.0</v>
      </c>
      <c r="Q1049" s="128">
        <v>1045.4652383625653</v>
      </c>
      <c r="V1049" s="44" t="s">
        <v>125</v>
      </c>
      <c r="W1049" s="128">
        <v>726.0850181036227</v>
      </c>
      <c r="X1049" s="128">
        <v>13.0</v>
      </c>
      <c r="Y1049" s="128">
        <v>728.3216695696229</v>
      </c>
      <c r="Z1049" s="44" t="s">
        <v>486</v>
      </c>
      <c r="AA1049" s="128">
        <v>908.9772467675801</v>
      </c>
      <c r="AB1049" s="128">
        <v>20.0</v>
      </c>
      <c r="AC1049" s="128">
        <v>913.0926782323135</v>
      </c>
      <c r="AD1049" s="44" t="s">
        <v>61</v>
      </c>
      <c r="AE1049" s="128">
        <v>1009.1852357273982</v>
      </c>
      <c r="AF1049" s="128">
        <v>32.0</v>
      </c>
      <c r="AG1049" s="128">
        <v>1018.1747117841693</v>
      </c>
      <c r="AH1049" s="44" t="s">
        <v>27</v>
      </c>
      <c r="AI1049" s="128">
        <v>1188.4253682378053</v>
      </c>
      <c r="AJ1049" s="128">
        <v>25.0</v>
      </c>
      <c r="AK1049" s="128">
        <v>1194.0838092503006</v>
      </c>
      <c r="AP1049" s="128">
        <v>12.0</v>
      </c>
      <c r="AQ1049" s="128">
        <v>16.0</v>
      </c>
      <c r="AT1049" s="44">
        <v>1048.0</v>
      </c>
      <c r="AU1049" s="44"/>
      <c r="AW1049" s="93"/>
      <c r="AY1049" s="93"/>
      <c r="AZ1049" s="93"/>
      <c r="BA1049" s="93"/>
      <c r="BB1049" s="155"/>
      <c r="BC1049" s="93"/>
      <c r="BE1049" s="93"/>
      <c r="BG1049" s="93"/>
      <c r="BH1049" s="93"/>
      <c r="BI1049" s="93"/>
      <c r="BJ1049" s="155"/>
      <c r="BK1049" s="93"/>
    </row>
    <row r="1050">
      <c r="A1050" s="166">
        <v>44631.991263344906</v>
      </c>
      <c r="B1050" s="44" t="s">
        <v>125</v>
      </c>
      <c r="C1050" s="128">
        <v>728.3216695696229</v>
      </c>
      <c r="D1050" s="128">
        <v>9.0</v>
      </c>
      <c r="E1050" s="128">
        <v>730.107325495994</v>
      </c>
      <c r="F1050" s="44" t="s">
        <v>38</v>
      </c>
      <c r="G1050" s="128">
        <v>1117.8446163940896</v>
      </c>
      <c r="H1050" s="128">
        <v>24.0</v>
      </c>
      <c r="I1050" s="128">
        <v>1125.692652260403</v>
      </c>
      <c r="J1050" s="44" t="s">
        <v>27</v>
      </c>
      <c r="K1050" s="128">
        <v>1194.0838092503006</v>
      </c>
      <c r="L1050" s="128">
        <v>27.0</v>
      </c>
      <c r="M1050" s="128">
        <v>1203.4501174576162</v>
      </c>
      <c r="N1050" s="44"/>
      <c r="O1050" s="128"/>
      <c r="P1050" s="128"/>
      <c r="Q1050" s="128"/>
      <c r="V1050" s="44" t="s">
        <v>98</v>
      </c>
      <c r="W1050" s="128">
        <v>979.0644183237854</v>
      </c>
      <c r="X1050" s="128">
        <v>8.0</v>
      </c>
      <c r="Y1050" s="128">
        <v>969.7951724115464</v>
      </c>
      <c r="Z1050" s="44" t="s">
        <v>112</v>
      </c>
      <c r="AA1050" s="128">
        <v>995.0390847334925</v>
      </c>
      <c r="AB1050" s="128">
        <v>20.0</v>
      </c>
      <c r="AC1050" s="128">
        <v>992.0672274427179</v>
      </c>
      <c r="AD1050" s="44" t="s">
        <v>47</v>
      </c>
      <c r="AE1050" s="128">
        <v>1045.4652383625653</v>
      </c>
      <c r="AF1050" s="128">
        <v>13.0</v>
      </c>
      <c r="AG1050" s="128">
        <v>1038.706341565579</v>
      </c>
      <c r="AH1050" s="44"/>
      <c r="AI1050" s="128"/>
      <c r="AJ1050" s="128"/>
      <c r="AK1050" s="128"/>
      <c r="AP1050" s="128">
        <v>18.0</v>
      </c>
      <c r="AQ1050" s="128">
        <v>10.0</v>
      </c>
      <c r="AT1050" s="44">
        <v>1049.0</v>
      </c>
      <c r="AU1050" s="44"/>
      <c r="AW1050" s="93"/>
      <c r="AY1050" s="93"/>
      <c r="AZ1050" s="93"/>
      <c r="BA1050" s="93"/>
      <c r="BB1050" s="155"/>
      <c r="BC1050" s="93"/>
      <c r="BE1050" s="93"/>
      <c r="BG1050" s="93"/>
      <c r="BH1050" s="93"/>
      <c r="BI1050" s="93"/>
      <c r="BJ1050" s="155"/>
      <c r="BK1050" s="93"/>
    </row>
    <row r="1051">
      <c r="A1051" s="166">
        <v>44632.01442568287</v>
      </c>
      <c r="B1051" s="44" t="s">
        <v>125</v>
      </c>
      <c r="C1051" s="128">
        <v>730.107325495994</v>
      </c>
      <c r="D1051" s="128">
        <v>10.0</v>
      </c>
      <c r="E1051" s="128">
        <v>732.4400563581742</v>
      </c>
      <c r="F1051" s="44" t="s">
        <v>38</v>
      </c>
      <c r="G1051" s="128">
        <v>1125.692652260403</v>
      </c>
      <c r="H1051" s="128">
        <v>19.0</v>
      </c>
      <c r="I1051" s="128">
        <v>1130.6913008710887</v>
      </c>
      <c r="J1051" s="44" t="s">
        <v>27</v>
      </c>
      <c r="K1051" s="128">
        <v>1203.4501174576162</v>
      </c>
      <c r="L1051" s="128">
        <v>29.0</v>
      </c>
      <c r="M1051" s="128">
        <v>1213.1187379847504</v>
      </c>
      <c r="N1051" s="44"/>
      <c r="O1051" s="128"/>
      <c r="P1051" s="128"/>
      <c r="Q1051" s="128"/>
      <c r="V1051" s="44" t="s">
        <v>98</v>
      </c>
      <c r="W1051" s="128">
        <v>969.7951724115464</v>
      </c>
      <c r="X1051" s="128">
        <v>17.0</v>
      </c>
      <c r="Y1051" s="128">
        <v>964.8235504345247</v>
      </c>
      <c r="Z1051" s="44" t="s">
        <v>112</v>
      </c>
      <c r="AA1051" s="128">
        <v>992.0672274427179</v>
      </c>
      <c r="AB1051" s="128">
        <v>16.0</v>
      </c>
      <c r="AC1051" s="128">
        <v>986.5704175595142</v>
      </c>
      <c r="AD1051" s="44" t="s">
        <v>47</v>
      </c>
      <c r="AE1051" s="128">
        <v>1038.706341565579</v>
      </c>
      <c r="AF1051" s="128">
        <v>14.0</v>
      </c>
      <c r="AG1051" s="128">
        <v>1032.1747734258045</v>
      </c>
      <c r="AH1051" s="44"/>
      <c r="AI1051" s="128"/>
      <c r="AJ1051" s="128"/>
      <c r="AK1051" s="128"/>
      <c r="AP1051" s="128">
        <v>16.0</v>
      </c>
      <c r="AQ1051" s="128">
        <v>12.0</v>
      </c>
      <c r="AT1051" s="44">
        <v>1050.0</v>
      </c>
      <c r="AU1051" s="44"/>
      <c r="AW1051" s="93"/>
      <c r="AY1051" s="93"/>
      <c r="AZ1051" s="93"/>
      <c r="BA1051" s="93"/>
      <c r="BB1051" s="155"/>
      <c r="BC1051" s="93"/>
      <c r="BE1051" s="93"/>
      <c r="BG1051" s="93"/>
      <c r="BH1051" s="93"/>
      <c r="BI1051" s="93"/>
      <c r="BJ1051" s="155"/>
      <c r="BK1051" s="93"/>
    </row>
    <row r="1052">
      <c r="A1052" s="166">
        <v>44632.04735311343</v>
      </c>
      <c r="B1052" s="44" t="s">
        <v>125</v>
      </c>
      <c r="C1052" s="128">
        <v>732.4400563581742</v>
      </c>
      <c r="D1052" s="128">
        <v>18.0</v>
      </c>
      <c r="E1052" s="128">
        <v>739.7803040278864</v>
      </c>
      <c r="F1052" s="44" t="s">
        <v>47</v>
      </c>
      <c r="G1052" s="128">
        <v>1032.1747734258045</v>
      </c>
      <c r="H1052" s="128">
        <v>29.0</v>
      </c>
      <c r="I1052" s="128">
        <v>1046.4511835484225</v>
      </c>
      <c r="J1052" s="44" t="s">
        <v>38</v>
      </c>
      <c r="K1052" s="128">
        <v>1130.6913008710887</v>
      </c>
      <c r="L1052" s="128">
        <v>25.0</v>
      </c>
      <c r="M1052" s="128">
        <v>1141.0746430787585</v>
      </c>
      <c r="N1052" s="44"/>
      <c r="O1052" s="128"/>
      <c r="P1052" s="128"/>
      <c r="Q1052" s="128"/>
      <c r="V1052" s="44" t="s">
        <v>129</v>
      </c>
      <c r="W1052" s="128">
        <v>689.3081578708527</v>
      </c>
      <c r="X1052" s="128">
        <v>6.0</v>
      </c>
      <c r="Y1052" s="128">
        <v>673.6590372917551</v>
      </c>
      <c r="Z1052" s="44" t="s">
        <v>121</v>
      </c>
      <c r="AA1052" s="128">
        <v>923.5433976377162</v>
      </c>
      <c r="AB1052" s="128">
        <v>14.0</v>
      </c>
      <c r="AC1052" s="128">
        <v>913.4658964421487</v>
      </c>
      <c r="AD1052" s="44" t="s">
        <v>27</v>
      </c>
      <c r="AE1052" s="128">
        <v>1213.1187379847504</v>
      </c>
      <c r="AF1052" s="128">
        <v>19.0</v>
      </c>
      <c r="AG1052" s="128">
        <v>1206.8453597594155</v>
      </c>
      <c r="AH1052" s="44"/>
      <c r="AI1052" s="128"/>
      <c r="AJ1052" s="128"/>
      <c r="AK1052" s="128"/>
      <c r="AP1052" s="128">
        <v>22.0</v>
      </c>
      <c r="AQ1052" s="128">
        <v>6.0</v>
      </c>
      <c r="AT1052" s="44">
        <v>1051.0</v>
      </c>
      <c r="AU1052" s="44"/>
      <c r="AW1052" s="93"/>
      <c r="AY1052" s="93"/>
      <c r="AZ1052" s="93"/>
      <c r="BA1052" s="93"/>
      <c r="BB1052" s="155"/>
      <c r="BC1052" s="93"/>
      <c r="BE1052" s="93"/>
      <c r="BG1052" s="93"/>
      <c r="BH1052" s="93"/>
      <c r="BI1052" s="93"/>
      <c r="BJ1052" s="155"/>
      <c r="BK1052" s="93"/>
    </row>
    <row r="1053">
      <c r="A1053" s="166">
        <v>44632.975317627315</v>
      </c>
      <c r="B1053" s="44" t="s">
        <v>125</v>
      </c>
      <c r="C1053" s="128">
        <v>739.7803040278864</v>
      </c>
      <c r="D1053" s="128">
        <v>16.0</v>
      </c>
      <c r="E1053" s="128">
        <v>742.0531730511132</v>
      </c>
      <c r="F1053" s="44" t="s">
        <v>38</v>
      </c>
      <c r="G1053" s="128">
        <v>1141.0746430787585</v>
      </c>
      <c r="H1053" s="128">
        <v>19.0</v>
      </c>
      <c r="I1053" s="128">
        <v>1143.3930036040224</v>
      </c>
      <c r="J1053" s="44" t="s">
        <v>27</v>
      </c>
      <c r="K1053" s="128">
        <v>1206.8453597594155</v>
      </c>
      <c r="L1053" s="128">
        <v>24.0</v>
      </c>
      <c r="M1053" s="128">
        <v>1210.2541302109248</v>
      </c>
      <c r="N1053" s="44"/>
      <c r="O1053" s="128"/>
      <c r="P1053" s="128"/>
      <c r="Q1053" s="128"/>
      <c r="V1053" s="44" t="s">
        <v>88</v>
      </c>
      <c r="W1053" s="128">
        <v>941.2127796720307</v>
      </c>
      <c r="X1053" s="128">
        <v>16.0</v>
      </c>
      <c r="Y1053" s="128">
        <v>938.5321382029817</v>
      </c>
      <c r="Z1053" s="44" t="s">
        <v>61</v>
      </c>
      <c r="AA1053" s="128">
        <v>1018.1747117841693</v>
      </c>
      <c r="AB1053" s="128">
        <v>15.0</v>
      </c>
      <c r="AC1053" s="128">
        <v>1015.192599059554</v>
      </c>
      <c r="AD1053" s="44" t="s">
        <v>47</v>
      </c>
      <c r="AE1053" s="128">
        <v>1046.4511835484225</v>
      </c>
      <c r="AF1053" s="128">
        <v>18.0</v>
      </c>
      <c r="AG1053" s="128">
        <v>1044.1139377420866</v>
      </c>
      <c r="AH1053" s="44"/>
      <c r="AI1053" s="128"/>
      <c r="AJ1053" s="128"/>
      <c r="AK1053" s="128"/>
      <c r="AP1053" s="128">
        <v>15.0</v>
      </c>
      <c r="AQ1053" s="128">
        <v>13.0</v>
      </c>
      <c r="AT1053" s="44">
        <v>1052.0</v>
      </c>
      <c r="AU1053" s="44"/>
      <c r="AW1053" s="93"/>
      <c r="AY1053" s="93"/>
      <c r="AZ1053" s="93"/>
      <c r="BA1053" s="93"/>
      <c r="BB1053" s="155"/>
      <c r="BC1053" s="93"/>
      <c r="BE1053" s="93"/>
      <c r="BG1053" s="93"/>
      <c r="BH1053" s="93"/>
      <c r="BI1053" s="93"/>
      <c r="BJ1053" s="155"/>
      <c r="BK1053" s="93"/>
    </row>
    <row r="1054">
      <c r="A1054" s="166">
        <v>44633.02118001158</v>
      </c>
      <c r="B1054" s="44" t="s">
        <v>125</v>
      </c>
      <c r="C1054" s="128">
        <v>742.0531730511132</v>
      </c>
      <c r="D1054" s="128">
        <v>20.0</v>
      </c>
      <c r="E1054" s="128">
        <v>744.0042677086375</v>
      </c>
      <c r="F1054" s="44" t="s">
        <v>38</v>
      </c>
      <c r="G1054" s="128">
        <v>1143.3930036040224</v>
      </c>
      <c r="H1054" s="128">
        <v>23.0</v>
      </c>
      <c r="I1054" s="128">
        <v>1145.2085862585147</v>
      </c>
      <c r="J1054" s="44" t="s">
        <v>27</v>
      </c>
      <c r="K1054" s="128">
        <v>1210.2541302109248</v>
      </c>
      <c r="L1054" s="128">
        <v>34.0</v>
      </c>
      <c r="M1054" s="128">
        <v>1214.4874528989083</v>
      </c>
      <c r="N1054" s="44"/>
      <c r="O1054" s="128"/>
      <c r="P1054" s="128"/>
      <c r="Q1054" s="128"/>
      <c r="V1054" s="44" t="s">
        <v>88</v>
      </c>
      <c r="W1054" s="128">
        <v>938.5321382029817</v>
      </c>
      <c r="X1054" s="128">
        <v>28.0</v>
      </c>
      <c r="Y1054" s="128">
        <v>935.9813515760402</v>
      </c>
      <c r="Z1054" s="44" t="s">
        <v>34</v>
      </c>
      <c r="AA1054" s="128">
        <v>1041.1197552675446</v>
      </c>
      <c r="AB1054" s="128">
        <v>24.0</v>
      </c>
      <c r="AC1054" s="128">
        <v>1037.5081128018924</v>
      </c>
      <c r="AD1054" s="44" t="s">
        <v>47</v>
      </c>
      <c r="AE1054" s="128">
        <v>1044.1139377420866</v>
      </c>
      <c r="AF1054" s="128">
        <v>32.0</v>
      </c>
      <c r="AG1054" s="128">
        <v>1042.2763668346804</v>
      </c>
      <c r="AH1054" s="44"/>
      <c r="AI1054" s="128"/>
      <c r="AJ1054" s="128"/>
      <c r="AK1054" s="128"/>
      <c r="AP1054" s="128">
        <v>22.0</v>
      </c>
      <c r="AQ1054" s="128">
        <v>20.0</v>
      </c>
      <c r="AT1054" s="44">
        <v>1053.0</v>
      </c>
      <c r="AU1054" s="44"/>
      <c r="AW1054" s="93"/>
      <c r="AY1054" s="93"/>
      <c r="AZ1054" s="93"/>
      <c r="BA1054" s="93"/>
      <c r="BB1054" s="155"/>
      <c r="BC1054" s="93"/>
      <c r="BE1054" s="93"/>
      <c r="BG1054" s="93"/>
      <c r="BH1054" s="93"/>
      <c r="BI1054" s="93"/>
      <c r="BJ1054" s="155"/>
      <c r="BK1054" s="93"/>
    </row>
    <row r="1055">
      <c r="A1055" s="166">
        <v>44633.05203855324</v>
      </c>
      <c r="B1055" s="44" t="s">
        <v>125</v>
      </c>
      <c r="C1055" s="128">
        <v>744.0042677086375</v>
      </c>
      <c r="D1055" s="128">
        <v>5.0</v>
      </c>
      <c r="E1055" s="128">
        <v>729.293364186427</v>
      </c>
      <c r="F1055" s="44" t="s">
        <v>27</v>
      </c>
      <c r="G1055" s="128">
        <v>1214.4874528989083</v>
      </c>
      <c r="H1055" s="128">
        <v>18.0</v>
      </c>
      <c r="I1055" s="128">
        <v>1209.1983564211187</v>
      </c>
      <c r="J1055" s="44"/>
      <c r="K1055" s="128"/>
      <c r="L1055" s="128"/>
      <c r="M1055" s="128"/>
      <c r="N1055" s="44"/>
      <c r="O1055" s="128"/>
      <c r="P1055" s="128"/>
      <c r="Q1055" s="128"/>
      <c r="V1055" s="44" t="s">
        <v>88</v>
      </c>
      <c r="W1055" s="128">
        <v>935.9813515760402</v>
      </c>
      <c r="X1055" s="128">
        <v>20.0</v>
      </c>
      <c r="Y1055" s="128">
        <v>946.1733032335396</v>
      </c>
      <c r="Z1055" s="44" t="s">
        <v>61</v>
      </c>
      <c r="AA1055" s="128">
        <v>1015.192599059554</v>
      </c>
      <c r="AB1055" s="128">
        <v>20.0</v>
      </c>
      <c r="AC1055" s="128">
        <v>1025.0006474020545</v>
      </c>
      <c r="AD1055" s="44"/>
      <c r="AE1055" s="128"/>
      <c r="AF1055" s="128"/>
      <c r="AG1055" s="128"/>
      <c r="AH1055" s="44"/>
      <c r="AI1055" s="128"/>
      <c r="AJ1055" s="128"/>
      <c r="AK1055" s="128"/>
      <c r="AP1055" s="128">
        <v>10.0</v>
      </c>
      <c r="AQ1055" s="128">
        <v>18.0</v>
      </c>
      <c r="AT1055" s="44">
        <v>1054.0</v>
      </c>
      <c r="AU1055" s="44"/>
      <c r="AW1055" s="93"/>
      <c r="AY1055" s="93"/>
      <c r="AZ1055" s="93"/>
      <c r="BA1055" s="93"/>
      <c r="BB1055" s="155"/>
      <c r="BC1055" s="93"/>
      <c r="BE1055" s="93"/>
      <c r="BG1055" s="93"/>
      <c r="BH1055" s="93"/>
      <c r="BI1055" s="93"/>
      <c r="BJ1055" s="155"/>
      <c r="BK1055" s="93"/>
    </row>
    <row r="1056">
      <c r="A1056" s="166">
        <v>44635.03177209491</v>
      </c>
      <c r="B1056" s="44" t="s">
        <v>486</v>
      </c>
      <c r="C1056" s="128">
        <v>913.0926782323135</v>
      </c>
      <c r="D1056" s="128">
        <v>13.0</v>
      </c>
      <c r="E1056" s="128">
        <v>917.4320064094253</v>
      </c>
      <c r="F1056" s="44" t="s">
        <v>88</v>
      </c>
      <c r="G1056" s="128">
        <v>946.1733032335396</v>
      </c>
      <c r="H1056" s="128">
        <v>25.0</v>
      </c>
      <c r="I1056" s="128">
        <v>956.417521674463</v>
      </c>
      <c r="J1056" s="44" t="s">
        <v>38</v>
      </c>
      <c r="K1056" s="128">
        <v>1145.2085862585147</v>
      </c>
      <c r="L1056" s="44">
        <v>22.0</v>
      </c>
      <c r="M1056" s="44">
        <v>1154.62503964048</v>
      </c>
      <c r="N1056" s="44"/>
      <c r="O1056" s="128"/>
      <c r="P1056" s="128"/>
      <c r="Q1056" s="128"/>
      <c r="V1056" s="44" t="s">
        <v>125</v>
      </c>
      <c r="W1056" s="128">
        <v>729.293364186427</v>
      </c>
      <c r="X1056" s="128">
        <v>14.0</v>
      </c>
      <c r="Y1056" s="128">
        <v>722.1222679228827</v>
      </c>
      <c r="Z1056" s="44" t="s">
        <v>61</v>
      </c>
      <c r="AA1056" s="128">
        <v>1025.0006474020545</v>
      </c>
      <c r="AB1056" s="128">
        <v>18.0</v>
      </c>
      <c r="AC1056" s="128">
        <v>1018.6902758216946</v>
      </c>
      <c r="AD1056" s="44" t="s">
        <v>27</v>
      </c>
      <c r="AE1056" s="128">
        <v>1209.1983564211187</v>
      </c>
      <c r="AF1056" s="128">
        <v>22.0</v>
      </c>
      <c r="AG1056" s="128">
        <v>1204.6798242650227</v>
      </c>
      <c r="AH1056" s="44"/>
      <c r="AI1056" s="128"/>
      <c r="AJ1056" s="128"/>
      <c r="AK1056" s="128"/>
      <c r="AP1056" s="128">
        <v>16.0</v>
      </c>
      <c r="AQ1056" s="128">
        <v>12.0</v>
      </c>
      <c r="AT1056" s="44">
        <v>1055.0</v>
      </c>
      <c r="AU1056" s="44"/>
      <c r="AW1056" s="93"/>
      <c r="AY1056" s="93"/>
      <c r="AZ1056" s="93"/>
      <c r="BA1056" s="93"/>
      <c r="BB1056" s="155"/>
      <c r="BC1056" s="93"/>
      <c r="BE1056" s="93"/>
      <c r="BG1056" s="93"/>
      <c r="BH1056" s="93"/>
      <c r="BI1056" s="93"/>
      <c r="BJ1056" s="155"/>
      <c r="BK1056" s="93"/>
    </row>
    <row r="1057">
      <c r="A1057" s="166">
        <v>44635.06607532407</v>
      </c>
      <c r="B1057" s="44" t="s">
        <v>125</v>
      </c>
      <c r="C1057" s="128">
        <v>722.1222679228827</v>
      </c>
      <c r="D1057" s="128">
        <v>11.0</v>
      </c>
      <c r="E1057" s="128">
        <v>716.5624074017243</v>
      </c>
      <c r="F1057" s="44" t="s">
        <v>27</v>
      </c>
      <c r="G1057" s="128">
        <v>1204.6798242650227</v>
      </c>
      <c r="H1057" s="128">
        <v>19.0</v>
      </c>
      <c r="I1057" s="128">
        <v>1201.239684786181</v>
      </c>
      <c r="J1057" s="44"/>
      <c r="K1057" s="128"/>
      <c r="L1057" s="128"/>
      <c r="M1057" s="128"/>
      <c r="N1057" s="44"/>
      <c r="O1057" s="128"/>
      <c r="P1057" s="128"/>
      <c r="Q1057" s="128"/>
      <c r="V1057" s="44" t="s">
        <v>88</v>
      </c>
      <c r="W1057" s="128">
        <v>956.417521674463</v>
      </c>
      <c r="X1057" s="128">
        <v>24.0</v>
      </c>
      <c r="Y1057" s="128">
        <v>963.2231209752233</v>
      </c>
      <c r="Z1057" s="44" t="s">
        <v>61</v>
      </c>
      <c r="AA1057" s="128">
        <v>1018.6902758216946</v>
      </c>
      <c r="AB1057" s="128">
        <v>12.0</v>
      </c>
      <c r="AC1057" s="128">
        <v>1020.8846765209344</v>
      </c>
      <c r="AD1057" s="44"/>
      <c r="AE1057" s="128"/>
      <c r="AF1057" s="128"/>
      <c r="AG1057" s="128"/>
      <c r="AH1057" s="44"/>
      <c r="AI1057" s="128"/>
      <c r="AJ1057" s="128"/>
      <c r="AK1057" s="128"/>
      <c r="AP1057" s="128">
        <v>13.0</v>
      </c>
      <c r="AQ1057" s="128">
        <v>15.0</v>
      </c>
      <c r="AT1057" s="44">
        <v>1056.0</v>
      </c>
      <c r="AU1057" s="44"/>
      <c r="AW1057" s="93"/>
      <c r="AY1057" s="93"/>
      <c r="AZ1057" s="93"/>
      <c r="BA1057" s="93"/>
      <c r="BB1057" s="155"/>
      <c r="BC1057" s="93"/>
      <c r="BE1057" s="93"/>
      <c r="BG1057" s="93"/>
      <c r="BH1057" s="93"/>
      <c r="BI1057" s="93"/>
      <c r="BJ1057" s="155"/>
      <c r="BK1057" s="93"/>
    </row>
    <row r="1058">
      <c r="A1058" s="166">
        <v>44636.00001773148</v>
      </c>
      <c r="B1058" s="44" t="s">
        <v>125</v>
      </c>
      <c r="C1058" s="128">
        <v>716.5624074017243</v>
      </c>
      <c r="D1058" s="128">
        <v>7.0</v>
      </c>
      <c r="E1058" s="128">
        <v>710.3486925200374</v>
      </c>
      <c r="F1058" s="44" t="s">
        <v>34</v>
      </c>
      <c r="G1058" s="128">
        <v>1037.5081128018924</v>
      </c>
      <c r="H1058" s="128">
        <v>21.0</v>
      </c>
      <c r="I1058" s="128">
        <v>1034.8614606704732</v>
      </c>
      <c r="J1058" s="44" t="s">
        <v>27</v>
      </c>
      <c r="K1058" s="128">
        <v>1201.239684786181</v>
      </c>
      <c r="L1058" s="128">
        <v>23.0</v>
      </c>
      <c r="M1058" s="128">
        <v>1199.100051799287</v>
      </c>
      <c r="N1058" s="44"/>
      <c r="O1058" s="128"/>
      <c r="P1058" s="128"/>
      <c r="Q1058" s="128"/>
      <c r="V1058" s="44" t="s">
        <v>123</v>
      </c>
      <c r="W1058" s="128">
        <v>795.6488603640943</v>
      </c>
      <c r="X1058" s="128">
        <v>13.0</v>
      </c>
      <c r="Y1058" s="128">
        <v>797.3434402662679</v>
      </c>
      <c r="Z1058" s="44" t="s">
        <v>88</v>
      </c>
      <c r="AA1058" s="128">
        <v>963.2231209752233</v>
      </c>
      <c r="AB1058" s="128">
        <v>12.0</v>
      </c>
      <c r="AC1058" s="128">
        <v>964.1679211910407</v>
      </c>
      <c r="AD1058" s="44" t="s">
        <v>38</v>
      </c>
      <c r="AE1058" s="128">
        <v>1154.62503964048</v>
      </c>
      <c r="AF1058" s="128">
        <v>37.0</v>
      </c>
      <c r="AG1058" s="128">
        <v>1162.9856595224892</v>
      </c>
      <c r="AH1058" s="44"/>
      <c r="AI1058" s="128"/>
      <c r="AJ1058" s="128"/>
      <c r="AK1058" s="128"/>
      <c r="AP1058" s="128">
        <v>13.0</v>
      </c>
      <c r="AQ1058" s="128">
        <v>15.0</v>
      </c>
      <c r="AT1058" s="44">
        <v>1057.0</v>
      </c>
      <c r="AU1058" s="44"/>
      <c r="AW1058" s="93"/>
      <c r="AY1058" s="93"/>
      <c r="AZ1058" s="93"/>
      <c r="BA1058" s="93"/>
      <c r="BB1058" s="155"/>
      <c r="BC1058" s="93"/>
      <c r="BE1058" s="93"/>
      <c r="BG1058" s="93"/>
      <c r="BH1058" s="93"/>
      <c r="BI1058" s="93"/>
      <c r="BJ1058" s="155"/>
      <c r="BK1058" s="93"/>
    </row>
    <row r="1059">
      <c r="A1059" s="166">
        <v>44636.05175791666</v>
      </c>
      <c r="B1059" s="44" t="s">
        <v>125</v>
      </c>
      <c r="C1059" s="128">
        <v>710.3486925200374</v>
      </c>
      <c r="D1059" s="128">
        <v>15.0</v>
      </c>
      <c r="E1059" s="128">
        <v>704.9813412598676</v>
      </c>
      <c r="F1059" s="44" t="s">
        <v>34</v>
      </c>
      <c r="G1059" s="128">
        <v>1034.8614606704732</v>
      </c>
      <c r="H1059" s="128">
        <v>14.0</v>
      </c>
      <c r="I1059" s="128">
        <v>1028.0916854877473</v>
      </c>
      <c r="J1059" s="44" t="s">
        <v>27</v>
      </c>
      <c r="K1059" s="128">
        <v>1199.100051799287</v>
      </c>
      <c r="L1059" s="128">
        <v>27.0</v>
      </c>
      <c r="M1059" s="128">
        <v>1197.2371782421828</v>
      </c>
      <c r="N1059" s="44"/>
      <c r="O1059" s="128"/>
      <c r="P1059" s="128"/>
      <c r="Q1059" s="128"/>
      <c r="V1059" s="44" t="s">
        <v>486</v>
      </c>
      <c r="W1059" s="128">
        <v>917.4320064094253</v>
      </c>
      <c r="X1059" s="128">
        <v>22.0</v>
      </c>
      <c r="Y1059" s="128">
        <v>922.5386497132321</v>
      </c>
      <c r="Z1059" s="44" t="s">
        <v>88</v>
      </c>
      <c r="AA1059" s="128">
        <v>964.1679211910407</v>
      </c>
      <c r="AB1059" s="128">
        <v>18.0</v>
      </c>
      <c r="AC1059" s="128">
        <v>967.5930371498056</v>
      </c>
      <c r="AD1059" s="44" t="s">
        <v>38</v>
      </c>
      <c r="AE1059" s="128">
        <v>1162.9856595224892</v>
      </c>
      <c r="AF1059" s="128">
        <v>24.0</v>
      </c>
      <c r="AG1059" s="128">
        <v>1168.4539002599174</v>
      </c>
      <c r="AH1059" s="44"/>
      <c r="AI1059" s="128"/>
      <c r="AJ1059" s="128"/>
      <c r="AK1059" s="128"/>
      <c r="AP1059" s="128">
        <v>11.0</v>
      </c>
      <c r="AQ1059" s="128">
        <v>17.0</v>
      </c>
      <c r="AT1059" s="44">
        <v>1058.0</v>
      </c>
      <c r="AU1059" s="44"/>
      <c r="AW1059" s="93"/>
      <c r="AY1059" s="93"/>
      <c r="AZ1059" s="93"/>
      <c r="BA1059" s="93"/>
      <c r="BB1059" s="155"/>
      <c r="BC1059" s="93"/>
      <c r="BE1059" s="93"/>
      <c r="BG1059" s="93"/>
      <c r="BH1059" s="93"/>
      <c r="BI1059" s="93"/>
      <c r="BJ1059" s="155"/>
      <c r="BK1059" s="93"/>
    </row>
    <row r="1060">
      <c r="A1060" s="166">
        <v>44638.98504298611</v>
      </c>
      <c r="B1060" s="44" t="s">
        <v>88</v>
      </c>
      <c r="C1060" s="128">
        <v>967.5930371498056</v>
      </c>
      <c r="D1060" s="128">
        <v>15.0</v>
      </c>
      <c r="E1060" s="128">
        <v>975.0610394817797</v>
      </c>
      <c r="F1060" s="44" t="s">
        <v>61</v>
      </c>
      <c r="G1060" s="128">
        <v>1020.8846765209344</v>
      </c>
      <c r="H1060" s="128">
        <v>26.0</v>
      </c>
      <c r="I1060" s="128">
        <v>1040.4166741889603</v>
      </c>
      <c r="J1060" s="44"/>
      <c r="K1060" s="128"/>
      <c r="L1060" s="128"/>
      <c r="M1060" s="128"/>
      <c r="N1060" s="44"/>
      <c r="O1060" s="128"/>
      <c r="P1060" s="128"/>
      <c r="Q1060" s="128"/>
      <c r="V1060" s="44" t="s">
        <v>125</v>
      </c>
      <c r="W1060" s="128">
        <v>704.9813412598676</v>
      </c>
      <c r="X1060" s="128">
        <v>9.0</v>
      </c>
      <c r="Y1060" s="128">
        <v>688.1854256240312</v>
      </c>
      <c r="Z1060" s="44" t="s">
        <v>38</v>
      </c>
      <c r="AA1060" s="128">
        <v>1168.4539002599174</v>
      </c>
      <c r="AB1060" s="128">
        <v>17.0</v>
      </c>
      <c r="AC1060" s="128">
        <v>1158.2498158957537</v>
      </c>
      <c r="AD1060" s="44"/>
      <c r="AE1060" s="128"/>
      <c r="AF1060" s="128"/>
      <c r="AG1060" s="128"/>
      <c r="AH1060" s="44"/>
      <c r="AI1060" s="128"/>
      <c r="AJ1060" s="128"/>
      <c r="AK1060" s="128"/>
      <c r="AP1060" s="128">
        <v>19.0</v>
      </c>
      <c r="AQ1060" s="128">
        <v>9.0</v>
      </c>
      <c r="AT1060" s="44">
        <v>1059.0</v>
      </c>
      <c r="AU1060" s="44"/>
      <c r="AW1060" s="93"/>
      <c r="AY1060" s="93"/>
      <c r="AZ1060" s="93"/>
      <c r="BA1060" s="93"/>
      <c r="BB1060" s="155"/>
      <c r="BC1060" s="93"/>
      <c r="BE1060" s="93"/>
      <c r="BG1060" s="93"/>
      <c r="BH1060" s="93"/>
      <c r="BI1060" s="93"/>
      <c r="BJ1060" s="155"/>
      <c r="BK1060" s="93"/>
    </row>
    <row r="1061">
      <c r="A1061" s="166">
        <v>44639.035064386575</v>
      </c>
      <c r="B1061" s="44" t="s">
        <v>98</v>
      </c>
      <c r="C1061" s="128">
        <v>964.8235504345247</v>
      </c>
      <c r="D1061" s="128">
        <v>20.0</v>
      </c>
      <c r="E1061" s="128">
        <v>953.8633464444489</v>
      </c>
      <c r="F1061" s="44" t="s">
        <v>88</v>
      </c>
      <c r="G1061" s="128">
        <v>975.0610394817797</v>
      </c>
      <c r="H1061" s="128">
        <v>26.0</v>
      </c>
      <c r="I1061" s="128">
        <v>967.8874356538148</v>
      </c>
      <c r="J1061" s="44" t="s">
        <v>61</v>
      </c>
      <c r="K1061" s="128">
        <v>1040.4166741889603</v>
      </c>
      <c r="L1061" s="128">
        <v>30.0</v>
      </c>
      <c r="M1061" s="128">
        <v>1035.550482007001</v>
      </c>
      <c r="N1061" s="44"/>
      <c r="O1061" s="128"/>
      <c r="P1061" s="128"/>
      <c r="Q1061" s="128"/>
      <c r="V1061" s="44" t="s">
        <v>125</v>
      </c>
      <c r="W1061" s="128">
        <v>688.1854256240312</v>
      </c>
      <c r="X1061" s="128">
        <v>20.0</v>
      </c>
      <c r="Y1061" s="128">
        <v>689.8461075496235</v>
      </c>
      <c r="Z1061" s="44" t="s">
        <v>47</v>
      </c>
      <c r="AA1061" s="128">
        <v>1042.2763668346804</v>
      </c>
      <c r="AB1061" s="128">
        <v>36.0</v>
      </c>
      <c r="AC1061" s="128">
        <v>1050.9090394057762</v>
      </c>
      <c r="AD1061" s="44" t="s">
        <v>27</v>
      </c>
      <c r="AE1061" s="128">
        <v>1197.2371782421828</v>
      </c>
      <c r="AF1061" s="128">
        <v>43.0</v>
      </c>
      <c r="AG1061" s="128">
        <v>1209.9438237454947</v>
      </c>
      <c r="AH1061" s="44"/>
      <c r="AI1061" s="128"/>
      <c r="AJ1061" s="128"/>
      <c r="AK1061" s="128"/>
      <c r="AP1061" s="128">
        <v>16.0</v>
      </c>
      <c r="AQ1061" s="128">
        <v>24.0</v>
      </c>
      <c r="AT1061" s="44">
        <v>1060.0</v>
      </c>
      <c r="AU1061" s="44"/>
      <c r="AW1061" s="93"/>
      <c r="AY1061" s="93"/>
      <c r="AZ1061" s="93"/>
      <c r="BA1061" s="93"/>
      <c r="BB1061" s="155"/>
      <c r="BC1061" s="93"/>
      <c r="BE1061" s="93"/>
      <c r="BG1061" s="93"/>
      <c r="BH1061" s="93"/>
      <c r="BI1061" s="93"/>
      <c r="BJ1061" s="155"/>
      <c r="BK1061" s="93"/>
    </row>
    <row r="1062">
      <c r="A1062" s="166">
        <v>44639.10690886574</v>
      </c>
      <c r="B1062" s="44" t="s">
        <v>125</v>
      </c>
      <c r="C1062" s="128">
        <v>689.8461075496235</v>
      </c>
      <c r="D1062" s="128">
        <v>32.0</v>
      </c>
      <c r="E1062" s="128">
        <v>688.8553249418552</v>
      </c>
      <c r="F1062" s="44" t="s">
        <v>27</v>
      </c>
      <c r="G1062" s="128">
        <v>1209.9438237454947</v>
      </c>
      <c r="H1062" s="128">
        <v>38.0</v>
      </c>
      <c r="I1062" s="128">
        <v>1208.9430380999618</v>
      </c>
      <c r="J1062" s="44" t="s">
        <v>23</v>
      </c>
      <c r="K1062" s="128">
        <v>1280.5319548892094</v>
      </c>
      <c r="L1062" s="128">
        <v>38.0</v>
      </c>
      <c r="M1062" s="128">
        <v>1279.5235231425106</v>
      </c>
      <c r="N1062" s="44"/>
      <c r="O1062" s="128"/>
      <c r="P1062" s="128"/>
      <c r="Q1062" s="128"/>
      <c r="V1062" s="44" t="s">
        <v>88</v>
      </c>
      <c r="W1062" s="128">
        <v>967.8874356538148</v>
      </c>
      <c r="X1062" s="128">
        <v>25.0</v>
      </c>
      <c r="Y1062" s="128">
        <v>967.8974356538148</v>
      </c>
      <c r="Z1062" s="44" t="s">
        <v>61</v>
      </c>
      <c r="AA1062" s="128">
        <v>1035.550482007001</v>
      </c>
      <c r="AB1062" s="128">
        <v>42.0</v>
      </c>
      <c r="AC1062" s="128">
        <v>1036.89770963699</v>
      </c>
      <c r="AD1062" s="44" t="s">
        <v>47</v>
      </c>
      <c r="AE1062" s="128">
        <v>1050.9090394057762</v>
      </c>
      <c r="AF1062" s="128">
        <v>46.0</v>
      </c>
      <c r="AG1062" s="128">
        <v>1052.580429519286</v>
      </c>
      <c r="AH1062" s="44"/>
      <c r="AI1062" s="128"/>
      <c r="AJ1062" s="128"/>
      <c r="AK1062" s="128"/>
      <c r="AP1062" s="128">
        <v>28.0</v>
      </c>
      <c r="AQ1062" s="128">
        <v>28.0</v>
      </c>
      <c r="AT1062" s="44">
        <v>1061.0</v>
      </c>
      <c r="AU1062" s="44"/>
      <c r="AW1062" s="93"/>
      <c r="AY1062" s="93"/>
      <c r="AZ1062" s="93"/>
      <c r="BA1062" s="93"/>
      <c r="BB1062" s="155"/>
      <c r="BC1062" s="93"/>
      <c r="BE1062" s="93"/>
      <c r="BG1062" s="93"/>
      <c r="BH1062" s="93"/>
      <c r="BI1062" s="93"/>
      <c r="BJ1062" s="155"/>
      <c r="BK1062" s="93"/>
    </row>
    <row r="1063">
      <c r="A1063" s="166">
        <v>44643.94099537037</v>
      </c>
      <c r="B1063" s="44" t="s">
        <v>112</v>
      </c>
      <c r="C1063" s="128">
        <v>986.5704175595142</v>
      </c>
      <c r="D1063" s="128">
        <v>20.0</v>
      </c>
      <c r="E1063" s="128">
        <v>990.2206607925433</v>
      </c>
      <c r="F1063" s="44" t="s">
        <v>61</v>
      </c>
      <c r="G1063" s="128">
        <v>1036.89770963699</v>
      </c>
      <c r="H1063" s="128">
        <v>20.0</v>
      </c>
      <c r="I1063" s="128">
        <v>1040.49143090985</v>
      </c>
      <c r="J1063" s="44" t="s">
        <v>92</v>
      </c>
      <c r="K1063" s="128">
        <v>1041.3645358149258</v>
      </c>
      <c r="L1063" s="128">
        <v>17.0</v>
      </c>
      <c r="M1063" s="128">
        <v>1044.1205713090367</v>
      </c>
      <c r="N1063" s="44"/>
      <c r="O1063" s="128"/>
      <c r="P1063" s="128"/>
      <c r="Q1063" s="128"/>
      <c r="V1063" s="44" t="s">
        <v>123</v>
      </c>
      <c r="W1063" s="128">
        <v>797.3434402662679</v>
      </c>
      <c r="X1063" s="128">
        <v>10.0</v>
      </c>
      <c r="Y1063" s="128">
        <v>792.258570304129</v>
      </c>
      <c r="Z1063" s="44" t="s">
        <v>47</v>
      </c>
      <c r="AA1063" s="128">
        <v>1052.580429519286</v>
      </c>
      <c r="AB1063" s="128">
        <v>26.0</v>
      </c>
      <c r="AC1063" s="128">
        <v>1051.5526666748708</v>
      </c>
      <c r="AD1063" s="44" t="s">
        <v>27</v>
      </c>
      <c r="AE1063" s="128">
        <v>1208.9430380999618</v>
      </c>
      <c r="AF1063" s="128">
        <v>16.0</v>
      </c>
      <c r="AG1063" s="128">
        <v>1205.055670906516</v>
      </c>
      <c r="AH1063" s="44"/>
      <c r="AI1063" s="128"/>
      <c r="AJ1063" s="128"/>
      <c r="AK1063" s="128"/>
      <c r="AP1063" s="128">
        <v>15.0</v>
      </c>
      <c r="AQ1063" s="128">
        <v>13.0</v>
      </c>
      <c r="AS1063" s="44" t="s">
        <v>506</v>
      </c>
      <c r="AT1063" s="44">
        <v>1062.0</v>
      </c>
      <c r="AU1063" s="44"/>
      <c r="AW1063" s="93"/>
      <c r="AY1063" s="93"/>
      <c r="AZ1063" s="93"/>
      <c r="BA1063" s="93"/>
      <c r="BB1063" s="155"/>
      <c r="BC1063" s="93"/>
      <c r="BE1063" s="93"/>
      <c r="BG1063" s="93"/>
      <c r="BH1063" s="93"/>
      <c r="BI1063" s="93"/>
      <c r="BJ1063" s="155"/>
      <c r="BK1063" s="93"/>
    </row>
    <row r="1064">
      <c r="A1064" s="166">
        <v>44644.012766203705</v>
      </c>
      <c r="B1064" s="44" t="s">
        <v>123</v>
      </c>
      <c r="C1064" s="128">
        <v>792.258570304129</v>
      </c>
      <c r="D1064" s="128">
        <v>17.0</v>
      </c>
      <c r="E1064" s="128">
        <v>788.543958691894</v>
      </c>
      <c r="F1064" s="44" t="s">
        <v>112</v>
      </c>
      <c r="G1064" s="128">
        <v>990.2206607925433</v>
      </c>
      <c r="H1064" s="128">
        <v>34.0</v>
      </c>
      <c r="I1064" s="128">
        <v>989.0005953985643</v>
      </c>
      <c r="J1064" s="44" t="s">
        <v>34</v>
      </c>
      <c r="K1064" s="128">
        <v>1028.0916854877473</v>
      </c>
      <c r="L1064" s="128">
        <v>33.0</v>
      </c>
      <c r="M1064" s="128">
        <v>1026.6648540101673</v>
      </c>
      <c r="N1064" s="44" t="s">
        <v>92</v>
      </c>
      <c r="O1064" s="128">
        <v>1044.1205713090367</v>
      </c>
      <c r="P1064" s="128">
        <v>29.0</v>
      </c>
      <c r="Q1064" s="128">
        <v>1042.012286524352</v>
      </c>
      <c r="R1064" s="44" t="s">
        <v>27</v>
      </c>
      <c r="S1064" s="128">
        <v>1205.055670906516</v>
      </c>
      <c r="T1064" s="128">
        <v>33.0</v>
      </c>
      <c r="U1064" s="128">
        <v>1203.5254641749946</v>
      </c>
      <c r="V1064" s="44" t="s">
        <v>125</v>
      </c>
      <c r="W1064" s="128">
        <v>688.8553249418552</v>
      </c>
      <c r="X1064" s="128">
        <v>18.0</v>
      </c>
      <c r="Y1064" s="128">
        <v>689.1462174794481</v>
      </c>
      <c r="Z1064" s="44" t="s">
        <v>110</v>
      </c>
      <c r="AA1064" s="128">
        <v>997.3361445734027</v>
      </c>
      <c r="AB1064" s="128">
        <v>24.0</v>
      </c>
      <c r="AC1064" s="128">
        <v>997.9562663312294</v>
      </c>
      <c r="AD1064" s="44" t="s">
        <v>61</v>
      </c>
      <c r="AE1064" s="128">
        <v>1040.49143090985</v>
      </c>
      <c r="AF1064" s="128">
        <v>37.0</v>
      </c>
      <c r="AG1064" s="128">
        <v>1043.2303590925476</v>
      </c>
      <c r="AH1064" s="44" t="s">
        <v>47</v>
      </c>
      <c r="AI1064" s="128">
        <v>1051.5526666748708</v>
      </c>
      <c r="AJ1064" s="128">
        <v>38.0</v>
      </c>
      <c r="AK1064" s="128">
        <v>1054.4476329029428</v>
      </c>
      <c r="AL1064" s="44" t="s">
        <v>23</v>
      </c>
      <c r="AM1064" s="128">
        <v>1279.5235231425106</v>
      </c>
      <c r="AN1064" s="128">
        <v>42.0</v>
      </c>
      <c r="AO1064" s="128">
        <v>1282.9786144363213</v>
      </c>
      <c r="AP1064" s="128">
        <v>19.0</v>
      </c>
      <c r="AQ1064" s="128">
        <v>23.0</v>
      </c>
      <c r="AT1064" s="44">
        <v>1063.0</v>
      </c>
      <c r="AU1064" s="44"/>
      <c r="AW1064" s="93"/>
      <c r="AY1064" s="93"/>
      <c r="AZ1064" s="93"/>
      <c r="BA1064" s="93"/>
      <c r="BB1064" s="155"/>
      <c r="BC1064" s="93"/>
      <c r="BE1064" s="93"/>
      <c r="BG1064" s="93"/>
      <c r="BH1064" s="93"/>
      <c r="BI1064" s="93"/>
      <c r="BJ1064" s="155"/>
      <c r="BK1064" s="93"/>
    </row>
    <row r="1065">
      <c r="A1065" s="166">
        <v>44644.99630290509</v>
      </c>
      <c r="B1065" s="44" t="s">
        <v>110</v>
      </c>
      <c r="C1065" s="128">
        <v>997.9562663312294</v>
      </c>
      <c r="D1065" s="128">
        <v>20.0</v>
      </c>
      <c r="E1065" s="128">
        <v>1010.9535125372748</v>
      </c>
      <c r="F1065" s="44" t="s">
        <v>92</v>
      </c>
      <c r="G1065" s="128">
        <v>1042.012286524352</v>
      </c>
      <c r="H1065" s="128">
        <v>20.0</v>
      </c>
      <c r="I1065" s="128">
        <v>1054.790302133704</v>
      </c>
      <c r="J1065" s="44" t="s">
        <v>47</v>
      </c>
      <c r="K1065" s="128">
        <v>1054.4476329029428</v>
      </c>
      <c r="L1065" s="128">
        <v>23.0</v>
      </c>
      <c r="M1065" s="128">
        <v>1070.6723710875451</v>
      </c>
      <c r="N1065" s="44"/>
      <c r="O1065" s="128"/>
      <c r="P1065" s="128"/>
      <c r="Q1065" s="128"/>
      <c r="V1065" s="44" t="s">
        <v>486</v>
      </c>
      <c r="W1065" s="128">
        <v>922.5386497132321</v>
      </c>
      <c r="X1065" s="128">
        <v>23.0</v>
      </c>
      <c r="Y1065" s="128">
        <v>915.2127659514032</v>
      </c>
      <c r="Z1065" s="44" t="s">
        <v>112</v>
      </c>
      <c r="AA1065" s="128">
        <v>989.0005953985643</v>
      </c>
      <c r="AB1065" s="128">
        <v>12.0</v>
      </c>
      <c r="AC1065" s="128">
        <v>968.4667027487804</v>
      </c>
      <c r="AD1065" s="44" t="s">
        <v>27</v>
      </c>
      <c r="AE1065" s="128">
        <v>1203.5254641749946</v>
      </c>
      <c r="AF1065" s="128">
        <v>18.0</v>
      </c>
      <c r="AG1065" s="128">
        <v>1189.3852405866073</v>
      </c>
      <c r="AH1065" s="44"/>
      <c r="AI1065" s="128"/>
      <c r="AJ1065" s="128"/>
      <c r="AK1065" s="128"/>
      <c r="AP1065" s="128">
        <v>19.0</v>
      </c>
      <c r="AQ1065" s="128">
        <v>9.0</v>
      </c>
      <c r="AT1065" s="44">
        <v>1064.0</v>
      </c>
      <c r="AU1065" s="44"/>
      <c r="AW1065" s="93"/>
      <c r="AY1065" s="93"/>
      <c r="AZ1065" s="93"/>
      <c r="BA1065" s="93"/>
      <c r="BB1065" s="155"/>
      <c r="BC1065" s="93"/>
      <c r="BE1065" s="93"/>
      <c r="BG1065" s="93"/>
      <c r="BH1065" s="93"/>
      <c r="BI1065" s="93"/>
      <c r="BJ1065" s="155"/>
      <c r="BK1065" s="93"/>
    </row>
    <row r="1066">
      <c r="A1066" s="166">
        <v>44646.0222691088</v>
      </c>
      <c r="B1066" s="44" t="s">
        <v>572</v>
      </c>
      <c r="C1066" s="128">
        <v>989.9762648125593</v>
      </c>
      <c r="D1066" s="128">
        <v>9.0</v>
      </c>
      <c r="E1066" s="128">
        <v>991.8567295008421</v>
      </c>
      <c r="F1066" s="44" t="s">
        <v>61</v>
      </c>
      <c r="G1066" s="128">
        <v>1043.2303590925476</v>
      </c>
      <c r="H1066" s="128">
        <v>20.0</v>
      </c>
      <c r="I1066" s="128">
        <v>1052.904440389609</v>
      </c>
      <c r="J1066" s="44" t="s">
        <v>23</v>
      </c>
      <c r="K1066" s="128">
        <v>1282.9786144363213</v>
      </c>
      <c r="L1066" s="128">
        <v>27.0</v>
      </c>
      <c r="M1066" s="128">
        <v>1297.424068450977</v>
      </c>
      <c r="N1066" s="44"/>
      <c r="O1066" s="128"/>
      <c r="P1066" s="128"/>
      <c r="Q1066" s="128"/>
      <c r="V1066" s="44" t="s">
        <v>47</v>
      </c>
      <c r="W1066" s="128">
        <v>1070.6723710875451</v>
      </c>
      <c r="X1066" s="128">
        <v>22.0</v>
      </c>
      <c r="Y1066" s="128">
        <v>1063.5590526896087</v>
      </c>
      <c r="Z1066" s="44" t="s">
        <v>38</v>
      </c>
      <c r="AA1066" s="128">
        <v>1158.2498158957537</v>
      </c>
      <c r="AB1066" s="128">
        <v>20.0</v>
      </c>
      <c r="AC1066" s="128">
        <v>1149.545050885064</v>
      </c>
      <c r="AD1066" s="44" t="s">
        <v>27</v>
      </c>
      <c r="AE1066" s="128">
        <v>1189.3852405866073</v>
      </c>
      <c r="AF1066" s="128">
        <v>18.0</v>
      </c>
      <c r="AG1066" s="128">
        <v>1179.2033239952336</v>
      </c>
      <c r="AH1066" s="44"/>
      <c r="AI1066" s="128"/>
      <c r="AJ1066" s="128"/>
      <c r="AK1066" s="128"/>
      <c r="AP1066" s="128">
        <v>17.0</v>
      </c>
      <c r="AQ1066" s="128">
        <v>11.0</v>
      </c>
      <c r="AT1066" s="44">
        <v>1065.0</v>
      </c>
      <c r="AU1066" s="44"/>
      <c r="AW1066" s="93"/>
      <c r="AY1066" s="93"/>
      <c r="AZ1066" s="93"/>
      <c r="BA1066" s="93"/>
      <c r="BB1066" s="155"/>
      <c r="BC1066" s="93"/>
      <c r="BE1066" s="93"/>
      <c r="BG1066" s="93"/>
      <c r="BH1066" s="93"/>
      <c r="BI1066" s="93"/>
      <c r="BJ1066" s="155"/>
      <c r="BK1066" s="93"/>
    </row>
    <row r="1067">
      <c r="A1067" s="166">
        <v>44651.928302534725</v>
      </c>
      <c r="B1067" s="44" t="s">
        <v>123</v>
      </c>
      <c r="C1067" s="128">
        <v>788.543958691894</v>
      </c>
      <c r="D1067" s="128">
        <v>11.0</v>
      </c>
      <c r="E1067" s="128">
        <v>784.7801190675832</v>
      </c>
      <c r="F1067" s="44" t="s">
        <v>92</v>
      </c>
      <c r="G1067" s="128">
        <v>1054.790302133704</v>
      </c>
      <c r="H1067" s="128">
        <v>16.0</v>
      </c>
      <c r="I1067" s="128">
        <v>1051.8112659172295</v>
      </c>
      <c r="J1067" s="44" t="s">
        <v>27</v>
      </c>
      <c r="K1067" s="128">
        <v>1179.2033239952336</v>
      </c>
      <c r="L1067" s="128">
        <v>24.0</v>
      </c>
      <c r="M1067" s="128">
        <v>1177.9461998360189</v>
      </c>
      <c r="N1067" s="44"/>
      <c r="O1067" s="128"/>
      <c r="P1067" s="128"/>
      <c r="Q1067" s="128"/>
      <c r="V1067" s="44" t="s">
        <v>486</v>
      </c>
      <c r="W1067" s="128">
        <v>915.2127659514032</v>
      </c>
      <c r="X1067" s="128">
        <v>17.0</v>
      </c>
      <c r="Y1067" s="128">
        <v>917.7580542112061</v>
      </c>
      <c r="Z1067" s="44" t="s">
        <v>34</v>
      </c>
      <c r="AA1067" s="128">
        <v>1026.6648540101673</v>
      </c>
      <c r="AB1067" s="128">
        <v>14.0</v>
      </c>
      <c r="AC1067" s="128">
        <v>1028.4269994945082</v>
      </c>
      <c r="AD1067" s="44" t="s">
        <v>38</v>
      </c>
      <c r="AE1067" s="128">
        <v>1149.545050885064</v>
      </c>
      <c r="AF1067" s="128">
        <v>23.0</v>
      </c>
      <c r="AG1067" s="128">
        <v>1153.2376171409203</v>
      </c>
      <c r="AH1067" s="44"/>
      <c r="AI1067" s="128"/>
      <c r="AJ1067" s="128"/>
      <c r="AK1067" s="128"/>
      <c r="AP1067" s="128">
        <v>13.0</v>
      </c>
      <c r="AQ1067" s="128">
        <v>15.0</v>
      </c>
      <c r="AT1067" s="44">
        <v>1066.0</v>
      </c>
      <c r="AU1067" s="44"/>
      <c r="AW1067" s="93"/>
      <c r="AY1067" s="93"/>
      <c r="AZ1067" s="93"/>
      <c r="BA1067" s="93"/>
      <c r="BB1067" s="155"/>
      <c r="BC1067" s="93"/>
      <c r="BE1067" s="93"/>
      <c r="BG1067" s="93"/>
      <c r="BH1067" s="93"/>
      <c r="BI1067" s="93"/>
      <c r="BJ1067" s="155"/>
      <c r="BK1067" s="93"/>
    </row>
    <row r="1068">
      <c r="A1068" s="166">
        <v>44651.96036159722</v>
      </c>
      <c r="B1068" s="44" t="s">
        <v>123</v>
      </c>
      <c r="C1068" s="128">
        <v>784.7801190675832</v>
      </c>
      <c r="D1068" s="128">
        <v>7.0</v>
      </c>
      <c r="E1068" s="128">
        <v>770.4647089704554</v>
      </c>
      <c r="F1068" s="44" t="s">
        <v>38</v>
      </c>
      <c r="G1068" s="128">
        <v>1153.2376171409203</v>
      </c>
      <c r="H1068" s="128">
        <v>19.0</v>
      </c>
      <c r="I1068" s="128">
        <v>1145.740385132019</v>
      </c>
      <c r="J1068" s="44" t="s">
        <v>27</v>
      </c>
      <c r="K1068" s="128">
        <v>1177.9461998360189</v>
      </c>
      <c r="L1068" s="128">
        <v>27.0</v>
      </c>
      <c r="M1068" s="128">
        <v>1175.758841942048</v>
      </c>
      <c r="N1068" s="44"/>
      <c r="O1068" s="128"/>
      <c r="P1068" s="128"/>
      <c r="Q1068" s="128"/>
      <c r="V1068" s="44" t="s">
        <v>88</v>
      </c>
      <c r="W1068" s="128">
        <v>967.8974356538148</v>
      </c>
      <c r="X1068" s="128">
        <v>20.0</v>
      </c>
      <c r="Y1068" s="128">
        <v>976.0403282723262</v>
      </c>
      <c r="Z1068" s="44" t="s">
        <v>34</v>
      </c>
      <c r="AA1068" s="128">
        <v>1028.4269994945082</v>
      </c>
      <c r="AB1068" s="128">
        <v>24.0</v>
      </c>
      <c r="AC1068" s="128">
        <v>1039.051113695912</v>
      </c>
      <c r="AD1068" s="44" t="s">
        <v>92</v>
      </c>
      <c r="AE1068" s="128">
        <v>1051.8112659172295</v>
      </c>
      <c r="AF1068" s="128">
        <v>16.0</v>
      </c>
      <c r="AG1068" s="128">
        <v>1057.0442590973144</v>
      </c>
      <c r="AH1068" s="44"/>
      <c r="AI1068" s="128"/>
      <c r="AJ1068" s="128"/>
      <c r="AK1068" s="128"/>
      <c r="AP1068" s="128">
        <v>12.0</v>
      </c>
      <c r="AQ1068" s="128">
        <v>16.0</v>
      </c>
      <c r="AT1068" s="44">
        <v>1067.0</v>
      </c>
      <c r="AU1068" s="44"/>
      <c r="AW1068" s="93"/>
      <c r="AY1068" s="93"/>
      <c r="AZ1068" s="93"/>
      <c r="BA1068" s="93"/>
      <c r="BB1068" s="155"/>
      <c r="BC1068" s="93"/>
      <c r="BE1068" s="93"/>
      <c r="BG1068" s="93"/>
      <c r="BH1068" s="93"/>
      <c r="BI1068" s="93"/>
      <c r="BJ1068" s="155"/>
      <c r="BK1068" s="93"/>
    </row>
    <row r="1069">
      <c r="A1069" s="166">
        <v>44652.96844575231</v>
      </c>
      <c r="B1069" s="44" t="s">
        <v>486</v>
      </c>
      <c r="C1069" s="128">
        <v>917.7580542112061</v>
      </c>
      <c r="D1069" s="128">
        <v>17.0</v>
      </c>
      <c r="E1069" s="128">
        <v>914.029695034638</v>
      </c>
      <c r="F1069" s="44" t="s">
        <v>88</v>
      </c>
      <c r="G1069" s="128">
        <v>976.0403282723262</v>
      </c>
      <c r="H1069" s="128">
        <v>11.0</v>
      </c>
      <c r="I1069" s="128">
        <v>970.3183134251269</v>
      </c>
      <c r="J1069" s="44" t="s">
        <v>230</v>
      </c>
      <c r="K1069" s="128">
        <v>976.6</v>
      </c>
      <c r="L1069" s="128">
        <v>7.0</v>
      </c>
      <c r="M1069" s="128">
        <v>969.610526584108</v>
      </c>
      <c r="N1069" s="44" t="s">
        <v>47</v>
      </c>
      <c r="O1069" s="128">
        <v>1063.5590526896087</v>
      </c>
      <c r="P1069" s="128">
        <v>16.0</v>
      </c>
      <c r="Q1069" s="128">
        <v>1059.3198148445956</v>
      </c>
      <c r="R1069" s="44" t="s">
        <v>23</v>
      </c>
      <c r="S1069" s="128">
        <v>1297.424068450977</v>
      </c>
      <c r="T1069" s="128">
        <v>35.0</v>
      </c>
      <c r="U1069" s="128">
        <v>1297.414068450977</v>
      </c>
      <c r="V1069" s="44" t="s">
        <v>121</v>
      </c>
      <c r="W1069" s="128">
        <v>913.4658964421487</v>
      </c>
      <c r="X1069" s="128">
        <v>20.0</v>
      </c>
      <c r="Y1069" s="128">
        <v>916.8365856808521</v>
      </c>
      <c r="Z1069" s="44" t="s">
        <v>112</v>
      </c>
      <c r="AA1069" s="128">
        <v>968.4667027487804</v>
      </c>
      <c r="AB1069" s="128">
        <v>22.0</v>
      </c>
      <c r="AC1069" s="128">
        <v>972.3552963736198</v>
      </c>
      <c r="AD1069" s="44" t="s">
        <v>34</v>
      </c>
      <c r="AE1069" s="128">
        <v>1039.051113695912</v>
      </c>
      <c r="AF1069" s="128">
        <v>23.0</v>
      </c>
      <c r="AG1069" s="128">
        <v>1043.1443505226027</v>
      </c>
      <c r="AH1069" s="44" t="s">
        <v>38</v>
      </c>
      <c r="AI1069" s="128">
        <v>1145.740385132019</v>
      </c>
      <c r="AJ1069" s="128">
        <v>20.0</v>
      </c>
      <c r="AK1069" s="128">
        <v>1148.7810546211415</v>
      </c>
      <c r="AL1069" s="44" t="s">
        <v>27</v>
      </c>
      <c r="AM1069" s="128">
        <v>1175.758841942048</v>
      </c>
      <c r="AN1069" s="128">
        <v>25.0</v>
      </c>
      <c r="AO1069" s="128">
        <v>1180.365652762692</v>
      </c>
      <c r="AP1069" s="128">
        <v>11.0</v>
      </c>
      <c r="AQ1069" s="128">
        <v>17.0</v>
      </c>
      <c r="AT1069" s="44">
        <v>1068.0</v>
      </c>
      <c r="AU1069" s="44"/>
      <c r="AW1069" s="93"/>
      <c r="AY1069" s="93"/>
      <c r="AZ1069" s="93"/>
      <c r="BA1069" s="93"/>
      <c r="BB1069" s="155"/>
      <c r="BC1069" s="93"/>
      <c r="BE1069" s="93"/>
      <c r="BG1069" s="93"/>
      <c r="BH1069" s="93"/>
      <c r="BI1069" s="93"/>
      <c r="BJ1069" s="155"/>
      <c r="BK1069" s="93"/>
    </row>
    <row r="1070">
      <c r="A1070" s="166">
        <v>44653.00990222223</v>
      </c>
      <c r="B1070" s="44" t="s">
        <v>486</v>
      </c>
      <c r="C1070" s="128">
        <v>914.029695034638</v>
      </c>
      <c r="D1070" s="128">
        <v>14.0</v>
      </c>
      <c r="E1070" s="128">
        <v>907.2727611480266</v>
      </c>
      <c r="F1070" s="44" t="s">
        <v>121</v>
      </c>
      <c r="G1070" s="128">
        <v>916.8365856808521</v>
      </c>
      <c r="H1070" s="128">
        <v>10.0</v>
      </c>
      <c r="I1070" s="128">
        <v>908.238973299295</v>
      </c>
      <c r="J1070" s="44" t="s">
        <v>100</v>
      </c>
      <c r="K1070" s="128">
        <v>951.0326400723917</v>
      </c>
      <c r="L1070" s="128">
        <v>18.0</v>
      </c>
      <c r="M1070" s="128">
        <v>946.0182848124687</v>
      </c>
      <c r="N1070" s="44" t="s">
        <v>38</v>
      </c>
      <c r="O1070" s="128">
        <v>1148.7810546211415</v>
      </c>
      <c r="P1070" s="128">
        <v>26.0</v>
      </c>
      <c r="Q1070" s="128">
        <v>1147.149956149233</v>
      </c>
      <c r="V1070" s="44" t="s">
        <v>125</v>
      </c>
      <c r="W1070" s="128">
        <v>689.1462174794481</v>
      </c>
      <c r="X1070" s="128">
        <v>18.0</v>
      </c>
      <c r="Y1070" s="128">
        <v>693.4924905266805</v>
      </c>
      <c r="Z1070" s="44" t="s">
        <v>112</v>
      </c>
      <c r="AA1070" s="128">
        <v>972.3552963736198</v>
      </c>
      <c r="AB1070" s="128">
        <v>19.0</v>
      </c>
      <c r="AC1070" s="128">
        <v>975.8277604489983</v>
      </c>
      <c r="AD1070" s="44" t="s">
        <v>47</v>
      </c>
      <c r="AE1070" s="128">
        <v>1059.3198148445956</v>
      </c>
      <c r="AF1070" s="128">
        <v>25.0</v>
      </c>
      <c r="AG1070" s="128">
        <v>1065.3400645180213</v>
      </c>
      <c r="AH1070" s="44" t="s">
        <v>27</v>
      </c>
      <c r="AI1070" s="128">
        <v>1180.365652762692</v>
      </c>
      <c r="AJ1070" s="128">
        <v>30.0</v>
      </c>
      <c r="AK1070" s="128">
        <v>1188.5266659666554</v>
      </c>
      <c r="AP1070" s="128">
        <v>11.0</v>
      </c>
      <c r="AQ1070" s="128">
        <v>17.0</v>
      </c>
      <c r="AT1070" s="44">
        <v>1069.0</v>
      </c>
      <c r="AU1070" s="44"/>
      <c r="AW1070" s="93"/>
      <c r="AY1070" s="93"/>
      <c r="AZ1070" s="93"/>
      <c r="BA1070" s="93"/>
      <c r="BB1070" s="155"/>
      <c r="BC1070" s="93"/>
      <c r="BE1070" s="93"/>
      <c r="BG1070" s="93"/>
      <c r="BH1070" s="93"/>
      <c r="BI1070" s="93"/>
      <c r="BJ1070" s="155"/>
      <c r="BK1070" s="93"/>
    </row>
    <row r="1071">
      <c r="A1071" s="166">
        <v>44654.939504814814</v>
      </c>
      <c r="B1071" s="44" t="s">
        <v>123</v>
      </c>
      <c r="C1071" s="128">
        <v>770.4647089704554</v>
      </c>
      <c r="D1071" s="128">
        <v>10.0</v>
      </c>
      <c r="E1071" s="128">
        <v>766.1098829896218</v>
      </c>
      <c r="F1071" s="44" t="s">
        <v>61</v>
      </c>
      <c r="G1071" s="128">
        <v>1052.904440389609</v>
      </c>
      <c r="H1071" s="128">
        <v>22.0</v>
      </c>
      <c r="I1071" s="128">
        <v>1050.7822907527927</v>
      </c>
      <c r="J1071" s="44" t="s">
        <v>27</v>
      </c>
      <c r="K1071" s="128">
        <v>1188.5266659666554</v>
      </c>
      <c r="L1071" s="128">
        <v>25.0</v>
      </c>
      <c r="M1071" s="128">
        <v>1187.0036415843051</v>
      </c>
      <c r="N1071" s="44"/>
      <c r="O1071" s="128"/>
      <c r="P1071" s="128"/>
      <c r="Q1071" s="128"/>
      <c r="V1071" s="44" t="s">
        <v>100</v>
      </c>
      <c r="W1071" s="128">
        <v>946.0182848124687</v>
      </c>
      <c r="X1071" s="128">
        <v>14.0</v>
      </c>
      <c r="Y1071" s="128">
        <v>947.7860961362084</v>
      </c>
      <c r="Z1071" s="44" t="s">
        <v>112</v>
      </c>
      <c r="AA1071" s="128">
        <v>975.8277604489983</v>
      </c>
      <c r="AB1071" s="128">
        <v>16.0</v>
      </c>
      <c r="AC1071" s="128">
        <v>978.0046837640585</v>
      </c>
      <c r="AD1071" s="44" t="s">
        <v>38</v>
      </c>
      <c r="AE1071" s="128">
        <v>1147.149956149233</v>
      </c>
      <c r="AF1071" s="128">
        <v>25.0</v>
      </c>
      <c r="AG1071" s="128">
        <v>1151.2052215104331</v>
      </c>
      <c r="AH1071" s="44"/>
      <c r="AI1071" s="128"/>
      <c r="AJ1071" s="128"/>
      <c r="AK1071" s="128"/>
      <c r="AP1071" s="128">
        <v>13.0</v>
      </c>
      <c r="AQ1071" s="128">
        <v>15.0</v>
      </c>
      <c r="AT1071" s="44">
        <v>1070.0</v>
      </c>
      <c r="AU1071" s="44"/>
      <c r="AW1071" s="93"/>
      <c r="AY1071" s="93"/>
      <c r="AZ1071" s="93"/>
      <c r="BA1071" s="93"/>
      <c r="BB1071" s="155"/>
      <c r="BC1071" s="93"/>
      <c r="BE1071" s="93"/>
      <c r="BG1071" s="93"/>
      <c r="BH1071" s="93"/>
      <c r="BI1071" s="93"/>
      <c r="BJ1071" s="155"/>
      <c r="BK1071" s="93"/>
    </row>
    <row r="1072">
      <c r="A1072" s="166">
        <v>44654.98848638889</v>
      </c>
      <c r="B1072" s="44" t="s">
        <v>230</v>
      </c>
      <c r="C1072" s="128">
        <v>969.610526584108</v>
      </c>
      <c r="D1072" s="128">
        <v>14.0</v>
      </c>
      <c r="E1072" s="128">
        <v>970.4393982774096</v>
      </c>
      <c r="F1072" s="44" t="s">
        <v>88</v>
      </c>
      <c r="G1072" s="128">
        <v>970.3183134251269</v>
      </c>
      <c r="H1072" s="128">
        <v>32.0</v>
      </c>
      <c r="I1072" s="128">
        <v>974.1464882129782</v>
      </c>
      <c r="J1072" s="44" t="s">
        <v>112</v>
      </c>
      <c r="K1072" s="128">
        <v>978.0046837640585</v>
      </c>
      <c r="L1072" s="128">
        <v>17.0</v>
      </c>
      <c r="M1072" s="128">
        <v>979.3254350836248</v>
      </c>
      <c r="N1072" s="44" t="s">
        <v>61</v>
      </c>
      <c r="O1072" s="128">
        <v>1050.7822907527927</v>
      </c>
      <c r="P1072" s="128">
        <v>21.0</v>
      </c>
      <c r="Q1072" s="128">
        <v>1052.7120349519555</v>
      </c>
      <c r="R1072" s="44" t="s">
        <v>92</v>
      </c>
      <c r="S1072" s="128">
        <v>1057.0442590973144</v>
      </c>
      <c r="T1072" s="128">
        <v>22.0</v>
      </c>
      <c r="U1072" s="128">
        <v>1059.1367170974324</v>
      </c>
      <c r="V1072" s="44" t="s">
        <v>125</v>
      </c>
      <c r="W1072" s="128">
        <v>693.4924905266805</v>
      </c>
      <c r="X1072" s="128">
        <v>27.0</v>
      </c>
      <c r="Y1072" s="128">
        <v>693.0852039687821</v>
      </c>
      <c r="Z1072" s="44" t="s">
        <v>100</v>
      </c>
      <c r="AA1072" s="128">
        <v>947.7860961362084</v>
      </c>
      <c r="AB1072" s="128">
        <v>10.0</v>
      </c>
      <c r="AC1072" s="128">
        <v>944.1410507993909</v>
      </c>
      <c r="AD1072" s="44" t="s">
        <v>34</v>
      </c>
      <c r="AE1072" s="128">
        <v>1043.1443505226027</v>
      </c>
      <c r="AF1072" s="128">
        <v>26.0</v>
      </c>
      <c r="AG1072" s="128">
        <v>1042.0866749963516</v>
      </c>
      <c r="AH1072" s="44" t="s">
        <v>38</v>
      </c>
      <c r="AI1072" s="128">
        <v>1151.2052215104331</v>
      </c>
      <c r="AJ1072" s="128">
        <v>16.0</v>
      </c>
      <c r="AK1072" s="128">
        <v>1148.431448053817</v>
      </c>
      <c r="AL1072" s="44" t="s">
        <v>27</v>
      </c>
      <c r="AM1072" s="128">
        <v>1187.0036415843051</v>
      </c>
      <c r="AN1072" s="128">
        <v>20.0</v>
      </c>
      <c r="AO1072" s="128">
        <v>1184.8874224618885</v>
      </c>
      <c r="AP1072" s="128">
        <v>15.0</v>
      </c>
      <c r="AQ1072" s="128">
        <v>13.0</v>
      </c>
      <c r="AT1072" s="44">
        <v>1071.0</v>
      </c>
      <c r="AU1072" s="44"/>
      <c r="AW1072" s="93"/>
      <c r="AY1072" s="93"/>
      <c r="AZ1072" s="93"/>
      <c r="BA1072" s="93"/>
      <c r="BB1072" s="155"/>
      <c r="BC1072" s="93"/>
      <c r="BE1072" s="93"/>
      <c r="BG1072" s="93"/>
      <c r="BH1072" s="93"/>
      <c r="BI1072" s="93"/>
      <c r="BJ1072" s="155"/>
      <c r="BK1072" s="93"/>
    </row>
    <row r="1073">
      <c r="A1073" s="166">
        <v>44655.06582225695</v>
      </c>
      <c r="B1073" s="44" t="s">
        <v>230</v>
      </c>
      <c r="C1073" s="128">
        <v>970.4393982774096</v>
      </c>
      <c r="D1073" s="128">
        <v>24.0</v>
      </c>
      <c r="E1073" s="128">
        <v>963.8767853486058</v>
      </c>
      <c r="F1073" s="44" t="s">
        <v>88</v>
      </c>
      <c r="G1073" s="128">
        <v>974.1464882129782</v>
      </c>
      <c r="H1073" s="128">
        <v>36.0</v>
      </c>
      <c r="I1073" s="128">
        <v>970.9070012571902</v>
      </c>
      <c r="J1073" s="44" t="s">
        <v>112</v>
      </c>
      <c r="K1073" s="128">
        <v>979.3254350836248</v>
      </c>
      <c r="L1073" s="128">
        <v>47.0</v>
      </c>
      <c r="M1073" s="128">
        <v>979.1275349682165</v>
      </c>
      <c r="N1073" s="44"/>
      <c r="O1073" s="128"/>
      <c r="P1073" s="128"/>
      <c r="Q1073" s="128"/>
      <c r="V1073" s="44" t="s">
        <v>125</v>
      </c>
      <c r="W1073" s="128">
        <v>693.0852039687821</v>
      </c>
      <c r="X1073" s="128">
        <v>22.0</v>
      </c>
      <c r="Y1073" s="128">
        <v>693.0952039687821</v>
      </c>
      <c r="Z1073" s="44" t="s">
        <v>92</v>
      </c>
      <c r="AA1073" s="128">
        <v>1059.1367170974324</v>
      </c>
      <c r="AB1073" s="128">
        <v>51.0</v>
      </c>
      <c r="AC1073" s="128">
        <v>1065.3072967683947</v>
      </c>
      <c r="AD1073" s="44" t="s">
        <v>27</v>
      </c>
      <c r="AE1073" s="128">
        <v>1184.8874224618885</v>
      </c>
      <c r="AF1073" s="128">
        <v>44.0</v>
      </c>
      <c r="AG1073" s="128">
        <v>1188.9525702848432</v>
      </c>
      <c r="AH1073" s="44"/>
      <c r="AI1073" s="128"/>
      <c r="AJ1073" s="128"/>
      <c r="AK1073" s="128"/>
      <c r="AP1073" s="128">
        <v>26.0</v>
      </c>
      <c r="AQ1073" s="128">
        <v>30.0</v>
      </c>
      <c r="AT1073" s="44">
        <v>1072.0</v>
      </c>
      <c r="AU1073" s="44"/>
      <c r="AW1073" s="93"/>
      <c r="AY1073" s="93"/>
      <c r="AZ1073" s="93"/>
      <c r="BA1073" s="93"/>
      <c r="BB1073" s="155"/>
      <c r="BC1073" s="93"/>
      <c r="BE1073" s="93"/>
      <c r="BG1073" s="93"/>
      <c r="BH1073" s="93"/>
      <c r="BI1073" s="93"/>
      <c r="BJ1073" s="155"/>
      <c r="BK1073" s="93"/>
    </row>
    <row r="1074">
      <c r="A1074" s="166">
        <v>44655.96263728009</v>
      </c>
      <c r="B1074" s="44" t="s">
        <v>230</v>
      </c>
      <c r="C1074" s="128">
        <v>963.8767853486058</v>
      </c>
      <c r="D1074" s="128">
        <v>14.0</v>
      </c>
      <c r="E1074" s="128">
        <v>956.0310333448683</v>
      </c>
      <c r="F1074" s="44" t="s">
        <v>88</v>
      </c>
      <c r="G1074" s="128">
        <v>970.9070012571902</v>
      </c>
      <c r="H1074" s="128">
        <v>13.0</v>
      </c>
      <c r="I1074" s="128">
        <v>962.4873177951184</v>
      </c>
      <c r="J1074" s="44" t="s">
        <v>27</v>
      </c>
      <c r="K1074" s="128">
        <v>1188.9525702848432</v>
      </c>
      <c r="L1074" s="128">
        <v>22.0</v>
      </c>
      <c r="M1074" s="128">
        <v>1185.2180057506525</v>
      </c>
      <c r="N1074" s="44"/>
      <c r="O1074" s="128"/>
      <c r="P1074" s="128"/>
      <c r="Q1074" s="128"/>
      <c r="V1074" s="44" t="s">
        <v>50</v>
      </c>
      <c r="W1074" s="128">
        <v>1008.9164803524619</v>
      </c>
      <c r="X1074" s="128">
        <v>26.0</v>
      </c>
      <c r="Y1074" s="128">
        <v>1017.6959103139644</v>
      </c>
      <c r="Z1074" s="44" t="s">
        <v>34</v>
      </c>
      <c r="AA1074" s="128">
        <v>1042.0866749963516</v>
      </c>
      <c r="AB1074" s="128">
        <v>22.0</v>
      </c>
      <c r="AC1074" s="128">
        <v>1048.5562322612675</v>
      </c>
      <c r="AD1074" s="44" t="s">
        <v>92</v>
      </c>
      <c r="AE1074" s="128">
        <v>1065.3072967683947</v>
      </c>
      <c r="AF1074" s="128">
        <v>19.0</v>
      </c>
      <c r="AG1074" s="128">
        <v>1070.0583095419763</v>
      </c>
      <c r="AH1074" s="44"/>
      <c r="AI1074" s="128"/>
      <c r="AJ1074" s="128"/>
      <c r="AK1074" s="128"/>
      <c r="AP1074" s="128">
        <v>11.0</v>
      </c>
      <c r="AQ1074" s="128">
        <v>17.0</v>
      </c>
      <c r="AT1074" s="44">
        <v>1073.0</v>
      </c>
      <c r="AU1074" s="44"/>
      <c r="AW1074" s="93"/>
      <c r="AY1074" s="93"/>
      <c r="AZ1074" s="93"/>
      <c r="BA1074" s="93"/>
      <c r="BB1074" s="155"/>
      <c r="BC1074" s="93"/>
      <c r="BE1074" s="93"/>
      <c r="BG1074" s="93"/>
      <c r="BH1074" s="93"/>
      <c r="BI1074" s="93"/>
      <c r="BJ1074" s="155"/>
      <c r="BK1074" s="93"/>
    </row>
    <row r="1075">
      <c r="A1075" s="166">
        <v>44655.998411458335</v>
      </c>
      <c r="B1075" s="44" t="s">
        <v>100</v>
      </c>
      <c r="C1075" s="128">
        <v>944.1410507993909</v>
      </c>
      <c r="D1075" s="128">
        <v>21.0</v>
      </c>
      <c r="E1075" s="128">
        <v>938.1611444025853</v>
      </c>
      <c r="F1075" s="44" t="s">
        <v>230</v>
      </c>
      <c r="G1075" s="128">
        <v>956.0310333448683</v>
      </c>
      <c r="H1075" s="128">
        <v>11.0</v>
      </c>
      <c r="I1075" s="128">
        <v>943.8967793982134</v>
      </c>
      <c r="J1075" s="44" t="s">
        <v>92</v>
      </c>
      <c r="K1075" s="128">
        <v>1070.0583095419763</v>
      </c>
      <c r="L1075" s="128">
        <v>25.0</v>
      </c>
      <c r="M1075" s="128">
        <v>1066.1724698854368</v>
      </c>
      <c r="N1075" s="44"/>
      <c r="O1075" s="128"/>
      <c r="P1075" s="128"/>
      <c r="Q1075" s="128"/>
      <c r="V1075" s="44" t="s">
        <v>125</v>
      </c>
      <c r="W1075" s="128">
        <v>693.0952039687821</v>
      </c>
      <c r="X1075" s="128">
        <v>13.0</v>
      </c>
      <c r="Y1075" s="128">
        <v>698.0236183775489</v>
      </c>
      <c r="Z1075" s="44" t="s">
        <v>34</v>
      </c>
      <c r="AA1075" s="128">
        <v>1048.5562322612675</v>
      </c>
      <c r="AB1075" s="128">
        <v>19.0</v>
      </c>
      <c r="AC1075" s="128">
        <v>1055.3569518671966</v>
      </c>
      <c r="AD1075" s="44" t="s">
        <v>27</v>
      </c>
      <c r="AE1075" s="128">
        <v>1185.2180057506525</v>
      </c>
      <c r="AF1075" s="128">
        <v>25.0</v>
      </c>
      <c r="AG1075" s="128">
        <v>1195.4888717359568</v>
      </c>
      <c r="AH1075" s="44"/>
      <c r="AI1075" s="128"/>
      <c r="AJ1075" s="128"/>
      <c r="AK1075" s="128"/>
      <c r="AP1075" s="128">
        <v>12.0</v>
      </c>
      <c r="AQ1075" s="128">
        <v>16.0</v>
      </c>
      <c r="AT1075" s="44">
        <v>1074.0</v>
      </c>
      <c r="AU1075" s="44"/>
      <c r="AW1075" s="93"/>
      <c r="AY1075" s="93"/>
      <c r="AZ1075" s="93"/>
      <c r="BA1075" s="93"/>
      <c r="BB1075" s="155"/>
      <c r="BC1075" s="93"/>
      <c r="BE1075" s="93"/>
      <c r="BG1075" s="93"/>
      <c r="BH1075" s="93"/>
      <c r="BI1075" s="93"/>
      <c r="BJ1075" s="155"/>
      <c r="BK1075" s="93"/>
    </row>
    <row r="1076">
      <c r="A1076" s="166">
        <v>44656.97814623843</v>
      </c>
      <c r="B1076" s="44" t="s">
        <v>486</v>
      </c>
      <c r="C1076" s="128">
        <v>907.2727611480266</v>
      </c>
      <c r="D1076" s="128">
        <v>25.0</v>
      </c>
      <c r="E1076" s="128">
        <v>923.4244118428811</v>
      </c>
      <c r="F1076" s="44" t="s">
        <v>121</v>
      </c>
      <c r="G1076" s="128">
        <v>908.238973299295</v>
      </c>
      <c r="H1076" s="128">
        <v>13.0</v>
      </c>
      <c r="I1076" s="128">
        <v>912.0493793318893</v>
      </c>
      <c r="J1076" s="44" t="s">
        <v>38</v>
      </c>
      <c r="K1076" s="128">
        <v>1148.431448053817</v>
      </c>
      <c r="L1076" s="128">
        <v>27.0</v>
      </c>
      <c r="M1076" s="128">
        <v>1165.469391326368</v>
      </c>
      <c r="N1076" s="44"/>
      <c r="O1076" s="128"/>
      <c r="P1076" s="128"/>
      <c r="Q1076" s="128"/>
      <c r="V1076" s="44" t="s">
        <v>127</v>
      </c>
      <c r="W1076" s="128">
        <v>800.0</v>
      </c>
      <c r="X1076" s="128">
        <v>6.0</v>
      </c>
      <c r="Y1076" s="128">
        <v>778.6173947948494</v>
      </c>
      <c r="Z1076" s="44" t="s">
        <v>230</v>
      </c>
      <c r="AA1076" s="128">
        <v>943.8967793982134</v>
      </c>
      <c r="AB1076" s="128">
        <v>14.0</v>
      </c>
      <c r="AC1076" s="128">
        <v>929.7609306631161</v>
      </c>
      <c r="AD1076" s="44" t="s">
        <v>27</v>
      </c>
      <c r="AE1076" s="128">
        <v>1195.4888717359568</v>
      </c>
      <c r="AF1076" s="128">
        <v>27.0</v>
      </c>
      <c r="AG1076" s="128">
        <v>1194.0073256762046</v>
      </c>
      <c r="AH1076" s="44"/>
      <c r="AI1076" s="128"/>
      <c r="AJ1076" s="128"/>
      <c r="AK1076" s="128"/>
      <c r="AP1076" s="128">
        <v>19.0</v>
      </c>
      <c r="AQ1076" s="128">
        <v>9.0</v>
      </c>
      <c r="AT1076" s="44">
        <v>1075.0</v>
      </c>
      <c r="AU1076" s="44"/>
      <c r="AW1076" s="93"/>
      <c r="AY1076" s="93"/>
      <c r="AZ1076" s="93"/>
      <c r="BA1076" s="93"/>
      <c r="BB1076" s="155"/>
      <c r="BC1076" s="93"/>
      <c r="BE1076" s="93"/>
      <c r="BG1076" s="93"/>
      <c r="BH1076" s="93"/>
      <c r="BI1076" s="93"/>
      <c r="BJ1076" s="155"/>
      <c r="BK1076" s="93"/>
    </row>
    <row r="1077">
      <c r="A1077" s="166">
        <v>44657.01565847222</v>
      </c>
      <c r="B1077" s="44" t="s">
        <v>486</v>
      </c>
      <c r="C1077" s="128">
        <v>923.4244118428811</v>
      </c>
      <c r="D1077" s="128">
        <v>25.0</v>
      </c>
      <c r="E1077" s="128">
        <v>919.9003559661071</v>
      </c>
      <c r="F1077" s="44" t="s">
        <v>230</v>
      </c>
      <c r="G1077" s="128">
        <v>929.7609306631161</v>
      </c>
      <c r="H1077" s="128">
        <v>9.0</v>
      </c>
      <c r="I1077" s="128">
        <v>913.317778164108</v>
      </c>
      <c r="J1077" s="44" t="s">
        <v>38</v>
      </c>
      <c r="K1077" s="128">
        <v>1165.469391326368</v>
      </c>
      <c r="L1077" s="128">
        <v>19.0</v>
      </c>
      <c r="M1077" s="128">
        <v>1156.43659970215</v>
      </c>
      <c r="N1077" s="44"/>
      <c r="O1077" s="128"/>
      <c r="P1077" s="128"/>
      <c r="Q1077" s="128"/>
      <c r="V1077" s="44" t="s">
        <v>125</v>
      </c>
      <c r="W1077" s="128">
        <v>698.0236183775489</v>
      </c>
      <c r="X1077" s="128">
        <v>5.0</v>
      </c>
      <c r="Y1077" s="128">
        <v>698.0336183775489</v>
      </c>
      <c r="Z1077" s="44" t="s">
        <v>88</v>
      </c>
      <c r="AA1077" s="128">
        <v>962.4873177951184</v>
      </c>
      <c r="AB1077" s="128">
        <v>22.0</v>
      </c>
      <c r="AC1077" s="128">
        <v>973.0193768613734</v>
      </c>
      <c r="AD1077" s="44" t="s">
        <v>27</v>
      </c>
      <c r="AE1077" s="128">
        <v>1194.0073256762046</v>
      </c>
      <c r="AF1077" s="128">
        <v>34.0</v>
      </c>
      <c r="AG1077" s="128">
        <v>1213.5765517607313</v>
      </c>
      <c r="AH1077" s="44"/>
      <c r="AI1077" s="128"/>
      <c r="AJ1077" s="128"/>
      <c r="AK1077" s="128"/>
      <c r="AP1077" s="128">
        <v>12.0</v>
      </c>
      <c r="AQ1077" s="128">
        <v>16.0</v>
      </c>
      <c r="AT1077" s="44">
        <v>1076.0</v>
      </c>
      <c r="AU1077" s="44"/>
      <c r="AW1077" s="93"/>
      <c r="AY1077" s="93"/>
      <c r="AZ1077" s="93"/>
      <c r="BA1077" s="93"/>
      <c r="BB1077" s="155"/>
      <c r="BC1077" s="93"/>
      <c r="BE1077" s="93"/>
      <c r="BG1077" s="93"/>
      <c r="BH1077" s="93"/>
      <c r="BI1077" s="93"/>
      <c r="BJ1077" s="155"/>
      <c r="BK1077" s="93"/>
    </row>
    <row r="1078">
      <c r="A1078" s="166">
        <v>44657.053081782404</v>
      </c>
      <c r="B1078" s="44" t="s">
        <v>230</v>
      </c>
      <c r="C1078" s="128">
        <v>913.317778164108</v>
      </c>
      <c r="D1078" s="128">
        <v>17.0</v>
      </c>
      <c r="E1078" s="128">
        <v>908.2985208455048</v>
      </c>
      <c r="F1078" s="44" t="s">
        <v>112</v>
      </c>
      <c r="G1078" s="128">
        <v>979.1275349682165</v>
      </c>
      <c r="H1078" s="128">
        <v>15.0</v>
      </c>
      <c r="I1078" s="128">
        <v>973.1871240623427</v>
      </c>
      <c r="J1078" s="44" t="s">
        <v>38</v>
      </c>
      <c r="K1078" s="128">
        <v>1156.43659970215</v>
      </c>
      <c r="L1078" s="128">
        <v>23.0</v>
      </c>
      <c r="M1078" s="128">
        <v>1153.3962679266272</v>
      </c>
      <c r="N1078" s="44"/>
      <c r="O1078" s="128"/>
      <c r="P1078" s="128"/>
      <c r="Q1078" s="128"/>
      <c r="V1078" s="44" t="s">
        <v>125</v>
      </c>
      <c r="W1078" s="128">
        <v>698.0336183775489</v>
      </c>
      <c r="X1078" s="128">
        <v>16.0</v>
      </c>
      <c r="Y1078" s="128">
        <v>701.4303747513914</v>
      </c>
      <c r="Z1078" s="44" t="s">
        <v>88</v>
      </c>
      <c r="AA1078" s="128">
        <v>973.0193768613734</v>
      </c>
      <c r="AB1078" s="128">
        <v>26.0</v>
      </c>
      <c r="AC1078" s="128">
        <v>979.249223636465</v>
      </c>
      <c r="AD1078" s="44" t="s">
        <v>27</v>
      </c>
      <c r="AE1078" s="128">
        <v>1213.5765517607313</v>
      </c>
      <c r="AF1078" s="128">
        <v>22.0</v>
      </c>
      <c r="AG1078" s="128">
        <v>1217.9499486117973</v>
      </c>
      <c r="AH1078" s="44"/>
      <c r="AI1078" s="128"/>
      <c r="AJ1078" s="128"/>
      <c r="AK1078" s="128"/>
      <c r="AP1078" s="128">
        <v>13.0</v>
      </c>
      <c r="AQ1078" s="128">
        <v>15.0</v>
      </c>
      <c r="AS1078" s="44" t="s">
        <v>370</v>
      </c>
      <c r="AT1078" s="44">
        <v>1077.0</v>
      </c>
      <c r="AU1078" s="44"/>
      <c r="AW1078" s="93"/>
      <c r="AY1078" s="93"/>
      <c r="AZ1078" s="93"/>
      <c r="BA1078" s="93"/>
      <c r="BB1078" s="155"/>
      <c r="BC1078" s="93"/>
      <c r="BE1078" s="93"/>
      <c r="BG1078" s="93"/>
      <c r="BH1078" s="93"/>
      <c r="BI1078" s="93"/>
      <c r="BJ1078" s="155"/>
      <c r="BK1078" s="93"/>
    </row>
    <row r="1079">
      <c r="A1079" s="166">
        <v>44658.00207171297</v>
      </c>
      <c r="B1079" s="44" t="s">
        <v>230</v>
      </c>
      <c r="C1079" s="128">
        <v>908.2985208455048</v>
      </c>
      <c r="D1079" s="128">
        <v>19.0</v>
      </c>
      <c r="E1079" s="128">
        <v>910.8934857551127</v>
      </c>
      <c r="F1079" s="44" t="s">
        <v>112</v>
      </c>
      <c r="G1079" s="128">
        <v>973.1871240623427</v>
      </c>
      <c r="H1079" s="128">
        <v>17.0</v>
      </c>
      <c r="I1079" s="128">
        <v>975.2876887876406</v>
      </c>
      <c r="J1079" s="44" t="s">
        <v>61</v>
      </c>
      <c r="K1079" s="128">
        <v>1052.7120349519555</v>
      </c>
      <c r="L1079" s="128">
        <v>18.0</v>
      </c>
      <c r="M1079" s="128">
        <v>1054.9521041073078</v>
      </c>
      <c r="N1079" s="44" t="s">
        <v>92</v>
      </c>
      <c r="O1079" s="128">
        <v>1066.1724698854368</v>
      </c>
      <c r="P1079" s="128">
        <v>22.0</v>
      </c>
      <c r="Q1079" s="128">
        <v>1069.236871095179</v>
      </c>
      <c r="V1079" s="44" t="s">
        <v>125</v>
      </c>
      <c r="W1079" s="128">
        <v>701.4303747513914</v>
      </c>
      <c r="X1079" s="128">
        <v>18.0</v>
      </c>
      <c r="Y1079" s="128">
        <v>699.4057426484418</v>
      </c>
      <c r="Z1079" s="44" t="s">
        <v>486</v>
      </c>
      <c r="AA1079" s="128">
        <v>919.9003559661071</v>
      </c>
      <c r="AB1079" s="128">
        <v>19.0</v>
      </c>
      <c r="AC1079" s="128">
        <v>917.7090994058041</v>
      </c>
      <c r="AD1079" s="44" t="s">
        <v>38</v>
      </c>
      <c r="AE1079" s="128">
        <v>1153.3962679266272</v>
      </c>
      <c r="AF1079" s="128">
        <v>16.0</v>
      </c>
      <c r="AG1079" s="128">
        <v>1150.4081418129936</v>
      </c>
      <c r="AH1079" s="44" t="s">
        <v>27</v>
      </c>
      <c r="AI1079" s="128">
        <v>1217.9499486117973</v>
      </c>
      <c r="AJ1079" s="128">
        <v>17.0</v>
      </c>
      <c r="AK1079" s="128">
        <v>1215.1539633886832</v>
      </c>
      <c r="AP1079" s="128">
        <v>15.0</v>
      </c>
      <c r="AQ1079" s="128">
        <v>13.0</v>
      </c>
      <c r="AS1079" s="44" t="s">
        <v>232</v>
      </c>
      <c r="AT1079" s="44">
        <v>1078.0</v>
      </c>
      <c r="AU1079" s="44"/>
      <c r="AW1079" s="93"/>
      <c r="AY1079" s="93"/>
      <c r="AZ1079" s="93"/>
      <c r="BA1079" s="93"/>
      <c r="BB1079" s="155"/>
      <c r="BC1079" s="93"/>
      <c r="BE1079" s="93"/>
      <c r="BG1079" s="93"/>
      <c r="BH1079" s="93"/>
      <c r="BI1079" s="93"/>
      <c r="BJ1079" s="155"/>
      <c r="BK1079" s="93"/>
    </row>
    <row r="1080">
      <c r="A1080" s="166">
        <v>44658.04834565972</v>
      </c>
      <c r="B1080" s="44" t="s">
        <v>230</v>
      </c>
      <c r="C1080" s="128">
        <v>910.8934857551127</v>
      </c>
      <c r="D1080" s="128">
        <v>18.0</v>
      </c>
      <c r="E1080" s="128">
        <v>898.1227785002792</v>
      </c>
      <c r="F1080" s="44" t="s">
        <v>486</v>
      </c>
      <c r="G1080" s="128">
        <v>917.7090994058041</v>
      </c>
      <c r="H1080" s="128">
        <v>25.0</v>
      </c>
      <c r="I1080" s="128">
        <v>909.3718004327733</v>
      </c>
      <c r="J1080" s="44" t="s">
        <v>61</v>
      </c>
      <c r="K1080" s="128">
        <v>1054.9521041073078</v>
      </c>
      <c r="L1080" s="128">
        <v>36.0</v>
      </c>
      <c r="M1080" s="128">
        <v>1053.060110335172</v>
      </c>
      <c r="N1080" s="44"/>
      <c r="O1080" s="128"/>
      <c r="P1080" s="128"/>
      <c r="Q1080" s="128"/>
      <c r="V1080" s="44" t="s">
        <v>125</v>
      </c>
      <c r="W1080" s="128">
        <v>699.4057426484418</v>
      </c>
      <c r="X1080" s="128">
        <v>12.0</v>
      </c>
      <c r="Y1080" s="128">
        <v>699.4157426484418</v>
      </c>
      <c r="Z1080" s="44" t="s">
        <v>112</v>
      </c>
      <c r="AA1080" s="128">
        <v>975.2876887876406</v>
      </c>
      <c r="AB1080" s="128">
        <v>33.0</v>
      </c>
      <c r="AC1080" s="128">
        <v>984.9434553930436</v>
      </c>
      <c r="AD1080" s="44" t="s">
        <v>38</v>
      </c>
      <c r="AE1080" s="128">
        <v>1150.4081418129936</v>
      </c>
      <c r="AF1080" s="128">
        <v>42.0</v>
      </c>
      <c r="AG1080" s="128">
        <v>1165.2467822068013</v>
      </c>
      <c r="AH1080" s="44"/>
      <c r="AI1080" s="128"/>
      <c r="AJ1080" s="128"/>
      <c r="AK1080" s="128"/>
      <c r="AP1080" s="128">
        <v>18.0</v>
      </c>
      <c r="AQ1080" s="128">
        <v>24.0</v>
      </c>
      <c r="AS1080" s="44" t="s">
        <v>597</v>
      </c>
      <c r="AT1080" s="44">
        <v>1079.0</v>
      </c>
      <c r="AU1080" s="44"/>
      <c r="AW1080" s="93"/>
      <c r="AY1080" s="93"/>
      <c r="AZ1080" s="93"/>
      <c r="BA1080" s="93"/>
      <c r="BB1080" s="155"/>
      <c r="BC1080" s="93"/>
      <c r="BE1080" s="93"/>
      <c r="BG1080" s="93"/>
      <c r="BH1080" s="93"/>
      <c r="BI1080" s="93"/>
      <c r="BJ1080" s="155"/>
      <c r="BK1080" s="93"/>
    </row>
    <row r="1081">
      <c r="A1081" s="166">
        <v>44659.03446011574</v>
      </c>
      <c r="B1081" s="44" t="s">
        <v>230</v>
      </c>
      <c r="C1081" s="128">
        <v>898.1227785002792</v>
      </c>
      <c r="D1081" s="128">
        <v>15.0</v>
      </c>
      <c r="E1081" s="128">
        <v>892.762252312921</v>
      </c>
      <c r="F1081" s="44" t="s">
        <v>61</v>
      </c>
      <c r="G1081" s="128">
        <v>1053.060110335172</v>
      </c>
      <c r="H1081" s="128">
        <v>15.0</v>
      </c>
      <c r="I1081" s="128">
        <v>1047.4206365225302</v>
      </c>
      <c r="J1081" s="44"/>
      <c r="K1081" s="128"/>
      <c r="L1081" s="128"/>
      <c r="M1081" s="128"/>
      <c r="N1081" s="44"/>
      <c r="O1081" s="128"/>
      <c r="P1081" s="128"/>
      <c r="Q1081" s="128"/>
      <c r="V1081" s="44" t="s">
        <v>125</v>
      </c>
      <c r="W1081" s="128">
        <v>699.4157426484418</v>
      </c>
      <c r="X1081" s="128">
        <v>7.0</v>
      </c>
      <c r="Y1081" s="128">
        <v>701.5808320653382</v>
      </c>
      <c r="Z1081" s="44" t="s">
        <v>27</v>
      </c>
      <c r="AA1081" s="128">
        <v>1215.1539633886832</v>
      </c>
      <c r="AB1081" s="128">
        <v>24.0</v>
      </c>
      <c r="AC1081" s="128">
        <v>1223.9888739717867</v>
      </c>
      <c r="AD1081" s="44"/>
      <c r="AE1081" s="128"/>
      <c r="AF1081" s="128"/>
      <c r="AG1081" s="128"/>
      <c r="AH1081" s="44"/>
      <c r="AI1081" s="128"/>
      <c r="AJ1081" s="128"/>
      <c r="AK1081" s="128"/>
      <c r="AP1081" s="128">
        <v>13.0</v>
      </c>
      <c r="AQ1081" s="128">
        <v>15.0</v>
      </c>
      <c r="AT1081" s="44">
        <v>1080.0</v>
      </c>
      <c r="AU1081" s="44"/>
      <c r="AW1081" s="93"/>
      <c r="AY1081" s="93"/>
      <c r="AZ1081" s="93"/>
      <c r="BA1081" s="93"/>
      <c r="BB1081" s="155"/>
      <c r="BC1081" s="93"/>
      <c r="BE1081" s="93"/>
      <c r="BG1081" s="93"/>
      <c r="BH1081" s="93"/>
      <c r="BI1081" s="93"/>
      <c r="BJ1081" s="155"/>
      <c r="BK1081" s="93"/>
    </row>
    <row r="1082">
      <c r="A1082" s="166">
        <v>44659.976638645836</v>
      </c>
      <c r="B1082" s="44" t="s">
        <v>112</v>
      </c>
      <c r="C1082" s="128">
        <v>984.9434553930436</v>
      </c>
      <c r="D1082" s="128">
        <v>17.0</v>
      </c>
      <c r="E1082" s="128">
        <v>982.5076157621864</v>
      </c>
      <c r="F1082" s="44" t="s">
        <v>50</v>
      </c>
      <c r="G1082" s="128">
        <v>1017.6959103139644</v>
      </c>
      <c r="H1082" s="128">
        <v>21.0</v>
      </c>
      <c r="I1082" s="128">
        <v>1016.0122800584858</v>
      </c>
      <c r="J1082" s="44" t="s">
        <v>47</v>
      </c>
      <c r="K1082" s="128">
        <v>1065.3400645180213</v>
      </c>
      <c r="L1082" s="128">
        <v>15.0</v>
      </c>
      <c r="M1082" s="128">
        <v>1062.459534404357</v>
      </c>
      <c r="N1082" s="44"/>
      <c r="O1082" s="128"/>
      <c r="P1082" s="128"/>
      <c r="Q1082" s="128"/>
      <c r="V1082" s="44" t="s">
        <v>98</v>
      </c>
      <c r="W1082" s="128">
        <v>953.8633464444489</v>
      </c>
      <c r="X1082" s="128">
        <v>18.0</v>
      </c>
      <c r="Y1082" s="128">
        <v>955.8044104144033</v>
      </c>
      <c r="Z1082" s="44" t="s">
        <v>88</v>
      </c>
      <c r="AA1082" s="128">
        <v>979.249223636465</v>
      </c>
      <c r="AB1082" s="128">
        <v>20.0</v>
      </c>
      <c r="AC1082" s="128">
        <v>981.552423353836</v>
      </c>
      <c r="AD1082" s="44" t="s">
        <v>27</v>
      </c>
      <c r="AE1082" s="128">
        <v>1223.9888739717867</v>
      </c>
      <c r="AF1082" s="128">
        <v>23.0</v>
      </c>
      <c r="AG1082" s="128">
        <v>1226.7446102844613</v>
      </c>
      <c r="AH1082" s="44"/>
      <c r="AI1082" s="128"/>
      <c r="AJ1082" s="128"/>
      <c r="AK1082" s="128"/>
      <c r="AP1082" s="128">
        <v>13.0</v>
      </c>
      <c r="AQ1082" s="128">
        <v>15.0</v>
      </c>
      <c r="AT1082" s="44">
        <v>1081.0</v>
      </c>
      <c r="AU1082" s="44"/>
      <c r="AW1082" s="93"/>
      <c r="AY1082" s="93"/>
      <c r="AZ1082" s="93"/>
      <c r="BA1082" s="93"/>
      <c r="BB1082" s="155"/>
      <c r="BC1082" s="93"/>
      <c r="BE1082" s="93"/>
      <c r="BG1082" s="93"/>
      <c r="BH1082" s="93"/>
      <c r="BI1082" s="93"/>
      <c r="BJ1082" s="155"/>
      <c r="BK1082" s="93"/>
    </row>
    <row r="1083">
      <c r="A1083" s="166">
        <v>44660.01103981481</v>
      </c>
      <c r="B1083" s="44" t="s">
        <v>125</v>
      </c>
      <c r="C1083" s="128">
        <v>701.5808320653382</v>
      </c>
      <c r="D1083" s="128">
        <v>13.0</v>
      </c>
      <c r="E1083" s="128">
        <v>699.1733247720252</v>
      </c>
      <c r="F1083" s="44" t="s">
        <v>112</v>
      </c>
      <c r="G1083" s="128">
        <v>982.5076157621864</v>
      </c>
      <c r="H1083" s="128">
        <v>22.0</v>
      </c>
      <c r="I1083" s="128">
        <v>981.258953787721</v>
      </c>
      <c r="J1083" s="44" t="s">
        <v>27</v>
      </c>
      <c r="K1083" s="128">
        <v>1226.7446102844613</v>
      </c>
      <c r="L1083" s="128">
        <v>16.0</v>
      </c>
      <c r="M1083" s="128">
        <v>1224.4007795522396</v>
      </c>
      <c r="N1083" s="44"/>
      <c r="O1083" s="128"/>
      <c r="P1083" s="128"/>
      <c r="Q1083" s="128"/>
      <c r="V1083" s="44" t="s">
        <v>88</v>
      </c>
      <c r="W1083" s="128">
        <v>981.552423353836</v>
      </c>
      <c r="X1083" s="128">
        <v>15.0</v>
      </c>
      <c r="Y1083" s="128">
        <v>982.8565613342131</v>
      </c>
      <c r="Z1083" s="44" t="s">
        <v>50</v>
      </c>
      <c r="AA1083" s="128">
        <v>1016.0122800584858</v>
      </c>
      <c r="AB1083" s="128">
        <v>17.0</v>
      </c>
      <c r="AC1083" s="128">
        <v>1017.6242085637638</v>
      </c>
      <c r="AD1083" s="44" t="s">
        <v>47</v>
      </c>
      <c r="AE1083" s="128">
        <v>1062.459534404357</v>
      </c>
      <c r="AF1083" s="128">
        <v>26.0</v>
      </c>
      <c r="AG1083" s="128">
        <v>1065.543467918702</v>
      </c>
      <c r="AH1083" s="44"/>
      <c r="AI1083" s="128"/>
      <c r="AJ1083" s="128"/>
      <c r="AK1083" s="128"/>
      <c r="AP1083" s="128">
        <v>13.0</v>
      </c>
      <c r="AQ1083" s="128">
        <v>15.0</v>
      </c>
      <c r="AT1083" s="44">
        <v>1082.0</v>
      </c>
      <c r="AU1083" s="44"/>
      <c r="AW1083" s="93"/>
      <c r="AY1083" s="93"/>
      <c r="AZ1083" s="93"/>
      <c r="BA1083" s="93"/>
      <c r="BB1083" s="155"/>
      <c r="BC1083" s="93"/>
      <c r="BE1083" s="93"/>
      <c r="BG1083" s="93"/>
      <c r="BH1083" s="93"/>
      <c r="BI1083" s="93"/>
      <c r="BJ1083" s="155"/>
      <c r="BK1083" s="93"/>
    </row>
    <row r="1084">
      <c r="A1084" s="166">
        <v>44660.9223704051</v>
      </c>
      <c r="B1084" s="44" t="s">
        <v>88</v>
      </c>
      <c r="C1084" s="128">
        <v>982.8565613342131</v>
      </c>
      <c r="D1084" s="128">
        <v>19.0</v>
      </c>
      <c r="E1084" s="128">
        <v>982.8665613342131</v>
      </c>
      <c r="F1084" s="44" t="s">
        <v>61</v>
      </c>
      <c r="G1084" s="128">
        <v>1047.4206365225302</v>
      </c>
      <c r="H1084" s="128">
        <v>14.0</v>
      </c>
      <c r="I1084" s="128">
        <v>1047.4306365225302</v>
      </c>
      <c r="J1084" s="44" t="s">
        <v>38</v>
      </c>
      <c r="K1084" s="128">
        <v>1165.2467822068013</v>
      </c>
      <c r="L1084" s="128">
        <v>22.0</v>
      </c>
      <c r="M1084" s="128">
        <v>1165.2567822068013</v>
      </c>
      <c r="N1084" s="44"/>
      <c r="O1084" s="128"/>
      <c r="P1084" s="128"/>
      <c r="Q1084" s="128"/>
      <c r="V1084" s="44" t="s">
        <v>486</v>
      </c>
      <c r="W1084" s="128">
        <v>909.3718004327733</v>
      </c>
      <c r="X1084" s="128">
        <v>15.0</v>
      </c>
      <c r="Y1084" s="128">
        <v>909.3818004327733</v>
      </c>
      <c r="Z1084" s="44" t="s">
        <v>47</v>
      </c>
      <c r="AA1084" s="128">
        <v>1065.543467918702</v>
      </c>
      <c r="AB1084" s="128">
        <v>23.0</v>
      </c>
      <c r="AC1084" s="128">
        <v>1065.553467918702</v>
      </c>
      <c r="AD1084" s="44" t="s">
        <v>27</v>
      </c>
      <c r="AE1084" s="128">
        <v>1224.4007795522396</v>
      </c>
      <c r="AF1084" s="128">
        <v>18.0</v>
      </c>
      <c r="AG1084" s="128">
        <v>1224.4107795522395</v>
      </c>
      <c r="AH1084" s="44"/>
      <c r="AI1084" s="128"/>
      <c r="AJ1084" s="128"/>
      <c r="AK1084" s="128"/>
      <c r="AP1084" s="128">
        <v>14.0</v>
      </c>
      <c r="AQ1084" s="128">
        <v>14.0</v>
      </c>
      <c r="AT1084" s="44">
        <v>1083.0</v>
      </c>
      <c r="AU1084" s="44"/>
      <c r="AW1084" s="93"/>
      <c r="AY1084" s="93"/>
      <c r="AZ1084" s="93"/>
      <c r="BA1084" s="93"/>
      <c r="BB1084" s="155"/>
      <c r="BC1084" s="93"/>
      <c r="BE1084" s="93"/>
      <c r="BG1084" s="93"/>
      <c r="BH1084" s="93"/>
      <c r="BI1084" s="93"/>
      <c r="BJ1084" s="155"/>
      <c r="BK1084" s="93"/>
    </row>
    <row r="1085">
      <c r="A1085" s="166">
        <v>44660.96717174769</v>
      </c>
      <c r="B1085" s="44" t="s">
        <v>486</v>
      </c>
      <c r="C1085" s="128">
        <v>909.3818004327733</v>
      </c>
      <c r="D1085" s="128">
        <v>14.0</v>
      </c>
      <c r="E1085" s="128">
        <v>912.4049739636633</v>
      </c>
      <c r="F1085" s="44" t="s">
        <v>88</v>
      </c>
      <c r="G1085" s="128">
        <v>982.8665613342131</v>
      </c>
      <c r="H1085" s="128">
        <v>19.0</v>
      </c>
      <c r="I1085" s="128">
        <v>987.924667606231</v>
      </c>
      <c r="J1085" s="44" t="s">
        <v>38</v>
      </c>
      <c r="K1085" s="128">
        <v>1165.2567822068013</v>
      </c>
      <c r="L1085" s="128">
        <v>26.0</v>
      </c>
      <c r="M1085" s="128">
        <v>1173.1755024038935</v>
      </c>
      <c r="N1085" s="44"/>
      <c r="O1085" s="128"/>
      <c r="P1085" s="128"/>
      <c r="Q1085" s="128"/>
      <c r="V1085" s="44" t="s">
        <v>125</v>
      </c>
      <c r="W1085" s="128">
        <v>699.1733247720252</v>
      </c>
      <c r="X1085" s="128">
        <v>14.0</v>
      </c>
      <c r="Y1085" s="128">
        <v>693.5113993596246</v>
      </c>
      <c r="Z1085" s="44" t="s">
        <v>47</v>
      </c>
      <c r="AA1085" s="128">
        <v>1065.553467918702</v>
      </c>
      <c r="AB1085" s="128">
        <v>15.0</v>
      </c>
      <c r="AC1085" s="128">
        <v>1059.3309777796503</v>
      </c>
      <c r="AD1085" s="44" t="s">
        <v>27</v>
      </c>
      <c r="AE1085" s="128">
        <v>1224.4107795522395</v>
      </c>
      <c r="AF1085" s="128">
        <v>20.0</v>
      </c>
      <c r="AG1085" s="128">
        <v>1220.2951951036919</v>
      </c>
      <c r="AH1085" s="44"/>
      <c r="AI1085" s="128"/>
      <c r="AJ1085" s="128"/>
      <c r="AK1085" s="128"/>
      <c r="AP1085" s="128">
        <v>17.0</v>
      </c>
      <c r="AQ1085" s="128">
        <v>10.0</v>
      </c>
      <c r="AT1085" s="44">
        <v>1084.0</v>
      </c>
      <c r="AU1085" s="44"/>
      <c r="AW1085" s="93"/>
      <c r="AY1085" s="93"/>
      <c r="AZ1085" s="93"/>
      <c r="BA1085" s="93"/>
      <c r="BB1085" s="155"/>
      <c r="BC1085" s="93"/>
      <c r="BE1085" s="93"/>
      <c r="BG1085" s="93"/>
      <c r="BH1085" s="93"/>
      <c r="BI1085" s="93"/>
      <c r="BJ1085" s="155"/>
      <c r="BK1085" s="93"/>
    </row>
    <row r="1086">
      <c r="A1086" s="166">
        <v>44661.008781006945</v>
      </c>
      <c r="B1086" s="44" t="s">
        <v>486</v>
      </c>
      <c r="C1086" s="128">
        <v>912.4049739636633</v>
      </c>
      <c r="D1086" s="128">
        <v>14.0</v>
      </c>
      <c r="E1086" s="128">
        <v>914.2965881855627</v>
      </c>
      <c r="F1086" s="44" t="s">
        <v>88</v>
      </c>
      <c r="G1086" s="128">
        <v>987.924667606231</v>
      </c>
      <c r="H1086" s="128">
        <v>15.0</v>
      </c>
      <c r="I1086" s="128">
        <v>989.9408254651835</v>
      </c>
      <c r="J1086" s="44" t="s">
        <v>38</v>
      </c>
      <c r="K1086" s="128">
        <v>1173.1755024038935</v>
      </c>
      <c r="L1086" s="128">
        <v>21.0</v>
      </c>
      <c r="M1086" s="128">
        <v>1176.2677303230416</v>
      </c>
      <c r="N1086" s="44"/>
      <c r="O1086" s="128"/>
      <c r="P1086" s="128"/>
      <c r="Q1086" s="128"/>
      <c r="V1086" s="44" t="s">
        <v>125</v>
      </c>
      <c r="W1086" s="128">
        <v>693.5113993596246</v>
      </c>
      <c r="X1086" s="128">
        <v>11.0</v>
      </c>
      <c r="Y1086" s="128">
        <v>690.3393044576933</v>
      </c>
      <c r="Z1086" s="44" t="s">
        <v>47</v>
      </c>
      <c r="AA1086" s="128">
        <v>1059.3309777796503</v>
      </c>
      <c r="AB1086" s="128">
        <v>15.0</v>
      </c>
      <c r="AC1086" s="128">
        <v>1056.4724955526272</v>
      </c>
      <c r="AD1086" s="44" t="s">
        <v>27</v>
      </c>
      <c r="AE1086" s="128">
        <v>1220.2951951036919</v>
      </c>
      <c r="AF1086" s="128">
        <v>25.0</v>
      </c>
      <c r="AG1086" s="128">
        <v>1219.3257722326464</v>
      </c>
      <c r="AH1086" s="44"/>
      <c r="AI1086" s="128"/>
      <c r="AJ1086" s="128"/>
      <c r="AK1086" s="128"/>
      <c r="AP1086" s="128">
        <v>15.0</v>
      </c>
      <c r="AQ1086" s="128">
        <v>13.0</v>
      </c>
      <c r="AT1086" s="44">
        <v>1085.0</v>
      </c>
      <c r="AU1086" s="44"/>
      <c r="AW1086" s="93"/>
      <c r="AY1086" s="93"/>
      <c r="AZ1086" s="93"/>
      <c r="BA1086" s="93"/>
      <c r="BB1086" s="155"/>
      <c r="BC1086" s="93"/>
      <c r="BE1086" s="93"/>
      <c r="BG1086" s="93"/>
      <c r="BH1086" s="93"/>
      <c r="BI1086" s="93"/>
      <c r="BJ1086" s="155"/>
      <c r="BK1086" s="93"/>
    </row>
    <row r="1087">
      <c r="A1087" s="166">
        <v>44662.93823989583</v>
      </c>
      <c r="B1087" s="44" t="s">
        <v>88</v>
      </c>
      <c r="C1087" s="128">
        <v>989.9408254651835</v>
      </c>
      <c r="D1087" s="128">
        <v>20.0</v>
      </c>
      <c r="E1087" s="128">
        <v>996.2281554938643</v>
      </c>
      <c r="F1087" s="44" t="s">
        <v>92</v>
      </c>
      <c r="G1087" s="128">
        <v>1069.236871095179</v>
      </c>
      <c r="H1087" s="128">
        <v>18.0</v>
      </c>
      <c r="I1087" s="128">
        <v>1074.2329882617848</v>
      </c>
      <c r="J1087" s="44" t="s">
        <v>27</v>
      </c>
      <c r="K1087" s="128">
        <v>1219.3257722326464</v>
      </c>
      <c r="L1087" s="128">
        <v>25.0</v>
      </c>
      <c r="M1087" s="128">
        <v>1228.0423250373597</v>
      </c>
      <c r="N1087" s="44"/>
      <c r="O1087" s="128"/>
      <c r="P1087" s="128"/>
      <c r="Q1087" s="128"/>
      <c r="V1087" s="44" t="s">
        <v>61</v>
      </c>
      <c r="W1087" s="128">
        <v>1047.4306365225302</v>
      </c>
      <c r="X1087" s="128">
        <v>23.0</v>
      </c>
      <c r="Y1087" s="128">
        <v>1043.4135920247002</v>
      </c>
      <c r="Z1087" s="44" t="s">
        <v>34</v>
      </c>
      <c r="AA1087" s="128">
        <v>1055.3569518671966</v>
      </c>
      <c r="AB1087" s="128">
        <v>20.0</v>
      </c>
      <c r="AC1087" s="128">
        <v>1049.6593609869951</v>
      </c>
      <c r="AD1087" s="44" t="s">
        <v>38</v>
      </c>
      <c r="AE1087" s="128">
        <v>1176.2677303230416</v>
      </c>
      <c r="AF1087" s="128">
        <v>12.0</v>
      </c>
      <c r="AG1087" s="128">
        <v>1165.982365701073</v>
      </c>
      <c r="AH1087" s="44"/>
      <c r="AI1087" s="128"/>
      <c r="AJ1087" s="128"/>
      <c r="AK1087" s="128"/>
      <c r="AP1087" s="128">
        <v>17.0</v>
      </c>
      <c r="AQ1087" s="128">
        <v>11.0</v>
      </c>
      <c r="AT1087" s="44">
        <v>1086.0</v>
      </c>
      <c r="AU1087" s="44"/>
      <c r="AW1087" s="93"/>
      <c r="AY1087" s="93"/>
      <c r="AZ1087" s="93"/>
      <c r="BA1087" s="93"/>
      <c r="BB1087" s="155"/>
      <c r="BC1087" s="93"/>
      <c r="BE1087" s="93"/>
      <c r="BG1087" s="93"/>
      <c r="BH1087" s="93"/>
      <c r="BI1087" s="93"/>
      <c r="BJ1087" s="155"/>
      <c r="BK1087" s="93"/>
    </row>
    <row r="1088">
      <c r="A1088" s="166">
        <v>44662.987205983794</v>
      </c>
      <c r="B1088" s="44" t="s">
        <v>127</v>
      </c>
      <c r="C1088" s="128">
        <v>778.6173947948494</v>
      </c>
      <c r="D1088" s="128">
        <v>10.0</v>
      </c>
      <c r="E1088" s="128">
        <v>772.9732041694213</v>
      </c>
      <c r="F1088" s="44" t="s">
        <v>121</v>
      </c>
      <c r="G1088" s="128">
        <v>912.0493793318893</v>
      </c>
      <c r="H1088" s="128">
        <v>13.0</v>
      </c>
      <c r="I1088" s="128">
        <v>907.110499445325</v>
      </c>
      <c r="J1088" s="44" t="s">
        <v>88</v>
      </c>
      <c r="K1088" s="128">
        <v>996.2281554938643</v>
      </c>
      <c r="L1088" s="128">
        <v>23.0</v>
      </c>
      <c r="M1088" s="128">
        <v>994.495129741166</v>
      </c>
      <c r="N1088" s="44" t="s">
        <v>92</v>
      </c>
      <c r="O1088" s="128">
        <v>1074.2329882617848</v>
      </c>
      <c r="P1088" s="128">
        <v>24.0</v>
      </c>
      <c r="Q1088" s="128">
        <v>1072.7526181690448</v>
      </c>
      <c r="R1088" s="44" t="s">
        <v>38</v>
      </c>
      <c r="S1088" s="128">
        <v>1165.982365701073</v>
      </c>
      <c r="T1088" s="128">
        <v>10.0</v>
      </c>
      <c r="U1088" s="128">
        <v>1159.7788320585037</v>
      </c>
      <c r="V1088" s="44" t="s">
        <v>125</v>
      </c>
      <c r="W1088" s="128">
        <v>690.3393044576933</v>
      </c>
      <c r="X1088" s="128">
        <v>15.0</v>
      </c>
      <c r="Y1088" s="128">
        <v>693.3325671153068</v>
      </c>
      <c r="Z1088" s="44" t="s">
        <v>486</v>
      </c>
      <c r="AA1088" s="128">
        <v>914.2965881855627</v>
      </c>
      <c r="AB1088" s="128">
        <v>17.0</v>
      </c>
      <c r="AC1088" s="128">
        <v>917.2517694925399</v>
      </c>
      <c r="AD1088" s="44" t="s">
        <v>61</v>
      </c>
      <c r="AE1088" s="128">
        <v>1043.4135920247002</v>
      </c>
      <c r="AF1088" s="128">
        <v>29.0</v>
      </c>
      <c r="AG1088" s="128">
        <v>1050.144518411896</v>
      </c>
      <c r="AH1088" s="44" t="s">
        <v>34</v>
      </c>
      <c r="AI1088" s="128">
        <v>1049.6593609869951</v>
      </c>
      <c r="AJ1088" s="128">
        <v>18.0</v>
      </c>
      <c r="AK1088" s="128">
        <v>1052.7159187522454</v>
      </c>
      <c r="AL1088" s="44" t="s">
        <v>27</v>
      </c>
      <c r="AM1088" s="128">
        <v>1228.0423250373597</v>
      </c>
      <c r="AN1088" s="128">
        <v>22.0</v>
      </c>
      <c r="AO1088" s="128">
        <v>1232.3063969203229</v>
      </c>
      <c r="AP1088" s="128">
        <v>11.0</v>
      </c>
      <c r="AQ1088" s="128">
        <v>17.0</v>
      </c>
      <c r="AT1088" s="44">
        <v>1087.0</v>
      </c>
      <c r="AU1088" s="44"/>
      <c r="AW1088" s="93"/>
      <c r="AY1088" s="93"/>
      <c r="AZ1088" s="93"/>
      <c r="BA1088" s="93"/>
      <c r="BB1088" s="155"/>
      <c r="BC1088" s="93"/>
      <c r="BE1088" s="93"/>
      <c r="BG1088" s="93"/>
      <c r="BH1088" s="93"/>
      <c r="BI1088" s="93"/>
      <c r="BJ1088" s="155"/>
      <c r="BK1088" s="93"/>
    </row>
    <row r="1089">
      <c r="A1089" s="166">
        <v>44663.02171759259</v>
      </c>
      <c r="B1089" s="44" t="s">
        <v>125</v>
      </c>
      <c r="C1089" s="128">
        <v>693.3325671153068</v>
      </c>
      <c r="D1089" s="128">
        <v>10.0</v>
      </c>
      <c r="E1089" s="128">
        <v>695.1220987825135</v>
      </c>
      <c r="F1089" s="44" t="s">
        <v>61</v>
      </c>
      <c r="G1089" s="128">
        <v>1050.144518411896</v>
      </c>
      <c r="H1089" s="128">
        <v>20.0</v>
      </c>
      <c r="I1089" s="128">
        <v>1056.0741201702062</v>
      </c>
      <c r="J1089" s="44" t="s">
        <v>27</v>
      </c>
      <c r="K1089" s="128">
        <v>1232.3063969203229</v>
      </c>
      <c r="L1089" s="128">
        <v>33.0</v>
      </c>
      <c r="M1089" s="128">
        <v>1245.5872634948057</v>
      </c>
      <c r="N1089" s="44"/>
      <c r="O1089" s="128"/>
      <c r="P1089" s="128"/>
      <c r="Q1089" s="128"/>
      <c r="V1089" s="44" t="s">
        <v>486</v>
      </c>
      <c r="W1089" s="128">
        <v>917.2517694925399</v>
      </c>
      <c r="X1089" s="128">
        <v>9.0</v>
      </c>
      <c r="Y1089" s="128">
        <v>905.9680463154401</v>
      </c>
      <c r="Z1089" s="44" t="s">
        <v>88</v>
      </c>
      <c r="AA1089" s="128">
        <v>994.495129741166</v>
      </c>
      <c r="AB1089" s="128">
        <v>20.0</v>
      </c>
      <c r="AC1089" s="128">
        <v>989.4188978947578</v>
      </c>
      <c r="AD1089" s="44" t="s">
        <v>92</v>
      </c>
      <c r="AE1089" s="128">
        <v>1072.7526181690448</v>
      </c>
      <c r="AF1089" s="128">
        <v>21.0</v>
      </c>
      <c r="AG1089" s="128">
        <v>1068.1125731925529</v>
      </c>
      <c r="AH1089" s="44"/>
      <c r="AI1089" s="128"/>
      <c r="AJ1089" s="128"/>
      <c r="AK1089" s="128"/>
      <c r="AP1089" s="128">
        <v>16.0</v>
      </c>
      <c r="AQ1089" s="128">
        <v>12.0</v>
      </c>
      <c r="AT1089" s="44">
        <v>1088.0</v>
      </c>
      <c r="AU1089" s="44"/>
      <c r="AW1089" s="93"/>
      <c r="AY1089" s="93"/>
      <c r="AZ1089" s="93"/>
      <c r="BA1089" s="93"/>
      <c r="BB1089" s="155"/>
      <c r="BC1089" s="93"/>
      <c r="BE1089" s="93"/>
      <c r="BG1089" s="93"/>
      <c r="BH1089" s="93"/>
      <c r="BI1089" s="93"/>
      <c r="BJ1089" s="155"/>
      <c r="BK1089" s="93"/>
    </row>
    <row r="1090">
      <c r="A1090" s="166">
        <v>44665.014826099534</v>
      </c>
      <c r="B1090" s="44" t="s">
        <v>125</v>
      </c>
      <c r="C1090" s="128">
        <v>695.1220987825135</v>
      </c>
      <c r="D1090" s="128">
        <v>15.0</v>
      </c>
      <c r="E1090" s="128">
        <v>699.1641089357332</v>
      </c>
      <c r="F1090" s="44" t="s">
        <v>61</v>
      </c>
      <c r="G1090" s="128">
        <v>1056.0741201702062</v>
      </c>
      <c r="H1090" s="128">
        <v>18.0</v>
      </c>
      <c r="I1090" s="128">
        <v>1060.0458642538824</v>
      </c>
      <c r="J1090" s="44" t="s">
        <v>27</v>
      </c>
      <c r="K1090" s="128">
        <v>1245.5872634948057</v>
      </c>
      <c r="L1090" s="128">
        <v>29.0</v>
      </c>
      <c r="M1090" s="128">
        <v>1254.5735092579098</v>
      </c>
      <c r="N1090" s="44"/>
      <c r="O1090" s="128"/>
      <c r="P1090" s="128"/>
      <c r="Q1090" s="128"/>
      <c r="V1090" s="44" t="s">
        <v>121</v>
      </c>
      <c r="W1090" s="128">
        <v>907.110499445325</v>
      </c>
      <c r="X1090" s="128">
        <v>8.0</v>
      </c>
      <c r="Y1090" s="128">
        <v>898.1338365098443</v>
      </c>
      <c r="Z1090" s="44" t="s">
        <v>112</v>
      </c>
      <c r="AA1090" s="128">
        <v>981.258953787721</v>
      </c>
      <c r="AB1090" s="128">
        <v>11.0</v>
      </c>
      <c r="AC1090" s="128">
        <v>973.5277517764165</v>
      </c>
      <c r="AD1090" s="44" t="s">
        <v>34</v>
      </c>
      <c r="AE1090" s="128">
        <v>1052.7159187522454</v>
      </c>
      <c r="AF1090" s="128">
        <v>27.0</v>
      </c>
      <c r="AG1090" s="128">
        <v>1052.4237836990308</v>
      </c>
      <c r="AH1090" s="44"/>
      <c r="AI1090" s="128"/>
      <c r="AJ1090" s="128"/>
      <c r="AK1090" s="128"/>
      <c r="AP1090" s="128">
        <v>16.0</v>
      </c>
      <c r="AQ1090" s="128">
        <v>12.0</v>
      </c>
      <c r="AT1090" s="44">
        <v>1089.0</v>
      </c>
      <c r="AU1090" s="44"/>
      <c r="AW1090" s="93"/>
      <c r="AY1090" s="93"/>
      <c r="AZ1090" s="93"/>
      <c r="BA1090" s="93"/>
      <c r="BB1090" s="155"/>
      <c r="BC1090" s="93"/>
      <c r="BE1090" s="93"/>
      <c r="BG1090" s="93"/>
      <c r="BH1090" s="93"/>
      <c r="BI1090" s="93"/>
      <c r="BJ1090" s="155"/>
      <c r="BK1090" s="93"/>
    </row>
    <row r="1091">
      <c r="A1091" s="166">
        <v>44666.02649231481</v>
      </c>
      <c r="B1091" s="44" t="s">
        <v>112</v>
      </c>
      <c r="C1091" s="128">
        <v>973.5277517764165</v>
      </c>
      <c r="D1091" s="128">
        <v>15.0</v>
      </c>
      <c r="E1091" s="128">
        <v>965.9306348229983</v>
      </c>
      <c r="F1091" s="44" t="s">
        <v>572</v>
      </c>
      <c r="G1091" s="128">
        <v>991.8567295008421</v>
      </c>
      <c r="H1091" s="128">
        <v>13.0</v>
      </c>
      <c r="I1091" s="128">
        <v>983.2152405603073</v>
      </c>
      <c r="J1091" s="44" t="s">
        <v>34</v>
      </c>
      <c r="K1091" s="128">
        <v>1052.4237836990308</v>
      </c>
      <c r="L1091" s="128">
        <v>27.0</v>
      </c>
      <c r="M1091" s="128">
        <v>1050.6623895929838</v>
      </c>
      <c r="N1091" s="44"/>
      <c r="O1091" s="128"/>
      <c r="P1091" s="128"/>
      <c r="Q1091" s="128"/>
      <c r="V1091" s="44" t="s">
        <v>121</v>
      </c>
      <c r="W1091" s="128">
        <v>898.1338365098443</v>
      </c>
      <c r="X1091" s="128">
        <v>12.0</v>
      </c>
      <c r="Y1091" s="128">
        <v>901.0022196922897</v>
      </c>
      <c r="Z1091" s="44" t="s">
        <v>486</v>
      </c>
      <c r="AA1091" s="128">
        <v>905.9680463154401</v>
      </c>
      <c r="AB1091" s="128">
        <v>21.0</v>
      </c>
      <c r="AC1091" s="128">
        <v>913.3090594086633</v>
      </c>
      <c r="AD1091" s="44" t="s">
        <v>27</v>
      </c>
      <c r="AE1091" s="128">
        <v>1254.5735092579098</v>
      </c>
      <c r="AF1091" s="128">
        <v>23.0</v>
      </c>
      <c r="AG1091" s="128">
        <v>1262.364112982241</v>
      </c>
      <c r="AH1091" s="44"/>
      <c r="AI1091" s="128"/>
      <c r="AJ1091" s="128"/>
      <c r="AK1091" s="128"/>
      <c r="AP1091" s="128">
        <v>12.0</v>
      </c>
      <c r="AQ1091" s="128">
        <v>16.0</v>
      </c>
      <c r="AT1091" s="44">
        <v>1090.0</v>
      </c>
      <c r="AU1091" s="44"/>
      <c r="AW1091" s="93"/>
      <c r="AY1091" s="93"/>
      <c r="AZ1091" s="93"/>
      <c r="BA1091" s="93"/>
      <c r="BB1091" s="155"/>
      <c r="BC1091" s="93"/>
      <c r="BE1091" s="93"/>
      <c r="BG1091" s="93"/>
      <c r="BH1091" s="93"/>
      <c r="BI1091" s="93"/>
      <c r="BJ1091" s="155"/>
      <c r="BK1091" s="93"/>
    </row>
    <row r="1092">
      <c r="A1092" s="166">
        <v>44667.04535998843</v>
      </c>
      <c r="B1092" s="44" t="s">
        <v>112</v>
      </c>
      <c r="C1092" s="128">
        <v>965.9306348229983</v>
      </c>
      <c r="D1092" s="128">
        <v>6.0</v>
      </c>
      <c r="E1092" s="128">
        <v>965.9406348229983</v>
      </c>
      <c r="F1092" s="44" t="s">
        <v>34</v>
      </c>
      <c r="G1092" s="128">
        <v>1050.6623895929838</v>
      </c>
      <c r="H1092" s="128">
        <v>20.0</v>
      </c>
      <c r="I1092" s="128">
        <v>1052.1437030405857</v>
      </c>
      <c r="J1092" s="44" t="s">
        <v>31</v>
      </c>
      <c r="K1092" s="128">
        <v>1240.903852409905</v>
      </c>
      <c r="L1092" s="128">
        <v>30.0</v>
      </c>
      <c r="M1092" s="128">
        <v>1243.4579232019576</v>
      </c>
      <c r="N1092" s="44"/>
      <c r="O1092" s="128"/>
      <c r="P1092" s="128"/>
      <c r="Q1092" s="128"/>
      <c r="V1092" s="44" t="s">
        <v>125</v>
      </c>
      <c r="W1092" s="128">
        <v>699.1641089357332</v>
      </c>
      <c r="X1092" s="128">
        <v>15.0</v>
      </c>
      <c r="Y1092" s="128">
        <v>697.5628144798314</v>
      </c>
      <c r="Z1092" s="44" t="s">
        <v>61</v>
      </c>
      <c r="AA1092" s="128">
        <v>1060.0458642538824</v>
      </c>
      <c r="AB1092" s="128">
        <v>23.0</v>
      </c>
      <c r="AC1092" s="128">
        <v>1059.0328405130626</v>
      </c>
      <c r="AD1092" s="44" t="s">
        <v>27</v>
      </c>
      <c r="AE1092" s="128">
        <v>1262.364112982241</v>
      </c>
      <c r="AF1092" s="128">
        <v>20.0</v>
      </c>
      <c r="AG1092" s="128">
        <v>1260.9784311789626</v>
      </c>
      <c r="AH1092" s="44"/>
      <c r="AI1092" s="128"/>
      <c r="AJ1092" s="128"/>
      <c r="AK1092" s="128"/>
      <c r="AP1092" s="128">
        <v>15.0</v>
      </c>
      <c r="AQ1092" s="128">
        <v>13.0</v>
      </c>
      <c r="AT1092" s="44">
        <v>1091.0</v>
      </c>
      <c r="AU1092" s="44"/>
      <c r="AW1092" s="93"/>
      <c r="AY1092" s="93"/>
      <c r="AZ1092" s="93"/>
      <c r="BA1092" s="93"/>
      <c r="BB1092" s="155"/>
      <c r="BC1092" s="93"/>
      <c r="BE1092" s="93"/>
      <c r="BG1092" s="93"/>
      <c r="BH1092" s="93"/>
      <c r="BI1092" s="93"/>
      <c r="BJ1092" s="155"/>
      <c r="BK1092" s="93"/>
    </row>
    <row r="1093">
      <c r="A1093" s="166">
        <v>44671.00097746528</v>
      </c>
      <c r="B1093" s="44" t="s">
        <v>125</v>
      </c>
      <c r="C1093" s="128">
        <v>697.5628144798314</v>
      </c>
      <c r="D1093" s="128">
        <v>8.0</v>
      </c>
      <c r="E1093" s="128">
        <v>693.5480292767722</v>
      </c>
      <c r="F1093" s="44" t="s">
        <v>112</v>
      </c>
      <c r="G1093" s="128">
        <v>965.9406348229983</v>
      </c>
      <c r="H1093" s="128">
        <v>30.0</v>
      </c>
      <c r="I1093" s="128">
        <v>965.6172471052934</v>
      </c>
      <c r="J1093" s="44" t="s">
        <v>38</v>
      </c>
      <c r="K1093" s="128">
        <v>1159.7788320585037</v>
      </c>
      <c r="L1093" s="128">
        <v>17.0</v>
      </c>
      <c r="M1093" s="128">
        <v>1156.8956851735675</v>
      </c>
      <c r="N1093" s="44" t="s">
        <v>27</v>
      </c>
      <c r="O1093" s="128">
        <v>1260.9784311789626</v>
      </c>
      <c r="P1093" s="128">
        <v>23.0</v>
      </c>
      <c r="Q1093" s="128">
        <v>1259.1997509846628</v>
      </c>
      <c r="V1093" s="44" t="s">
        <v>100</v>
      </c>
      <c r="W1093" s="128">
        <v>938.1611444025853</v>
      </c>
      <c r="X1093" s="128">
        <v>19.0</v>
      </c>
      <c r="Y1093" s="128">
        <v>940.073422420919</v>
      </c>
      <c r="Z1093" s="44" t="s">
        <v>34</v>
      </c>
      <c r="AA1093" s="128">
        <v>1052.1437030405857</v>
      </c>
      <c r="AB1093" s="128">
        <v>22.0</v>
      </c>
      <c r="AC1093" s="128">
        <v>1054.5108104377493</v>
      </c>
      <c r="AD1093" s="44" t="s">
        <v>47</v>
      </c>
      <c r="AE1093" s="128">
        <v>1056.4724955526272</v>
      </c>
      <c r="AF1093" s="128">
        <v>29.0</v>
      </c>
      <c r="AG1093" s="128">
        <v>1060.149124012695</v>
      </c>
      <c r="AH1093" s="44" t="s">
        <v>92</v>
      </c>
      <c r="AI1093" s="128">
        <v>1068.1125731925529</v>
      </c>
      <c r="AJ1093" s="128">
        <v>15.0</v>
      </c>
      <c r="AK1093" s="128">
        <v>1069.1565593169876</v>
      </c>
      <c r="AP1093" s="128">
        <v>13.0</v>
      </c>
      <c r="AQ1093" s="128">
        <v>15.0</v>
      </c>
      <c r="AT1093" s="44">
        <v>1092.0</v>
      </c>
      <c r="AU1093" s="44"/>
      <c r="AW1093" s="93"/>
      <c r="AY1093" s="93"/>
      <c r="AZ1093" s="93"/>
      <c r="BA1093" s="93"/>
      <c r="BB1093" s="155"/>
      <c r="BC1093" s="93"/>
      <c r="BE1093" s="93"/>
      <c r="BG1093" s="93"/>
      <c r="BH1093" s="93"/>
      <c r="BI1093" s="93"/>
      <c r="BJ1093" s="155"/>
      <c r="BK1093" s="93"/>
    </row>
    <row r="1094">
      <c r="A1094" s="166">
        <v>44671.003146620365</v>
      </c>
      <c r="B1094" s="44" t="s">
        <v>100</v>
      </c>
      <c r="C1094" s="128">
        <v>940.073422420919</v>
      </c>
      <c r="D1094" s="128">
        <v>22.0</v>
      </c>
      <c r="E1094" s="128">
        <v>937.6839692371462</v>
      </c>
      <c r="F1094" s="44" t="s">
        <v>112</v>
      </c>
      <c r="G1094" s="128">
        <v>965.6172471052934</v>
      </c>
      <c r="H1094" s="128">
        <v>13.0</v>
      </c>
      <c r="I1094" s="128">
        <v>959.0509758499745</v>
      </c>
      <c r="J1094" s="44" t="s">
        <v>34</v>
      </c>
      <c r="K1094" s="128">
        <v>1054.5108104377493</v>
      </c>
      <c r="L1094" s="128">
        <v>17.0</v>
      </c>
      <c r="M1094" s="128">
        <v>1049.6387395546697</v>
      </c>
      <c r="N1094" s="44" t="s">
        <v>38</v>
      </c>
      <c r="O1094" s="128">
        <v>1156.8956851735675</v>
      </c>
      <c r="P1094" s="128">
        <v>10.0</v>
      </c>
      <c r="Q1094" s="128">
        <v>1148.7234804957386</v>
      </c>
      <c r="V1094" s="44" t="s">
        <v>125</v>
      </c>
      <c r="W1094" s="128">
        <v>693.5480292767722</v>
      </c>
      <c r="X1094" s="128">
        <v>24.0</v>
      </c>
      <c r="Y1094" s="128">
        <v>701.89850684545</v>
      </c>
      <c r="Z1094" s="44" t="s">
        <v>47</v>
      </c>
      <c r="AA1094" s="128">
        <v>1060.149124012695</v>
      </c>
      <c r="AB1094" s="128">
        <v>17.0</v>
      </c>
      <c r="AC1094" s="128">
        <v>1063.994697790596</v>
      </c>
      <c r="AD1094" s="44" t="s">
        <v>92</v>
      </c>
      <c r="AE1094" s="128">
        <v>1069.1565593169876</v>
      </c>
      <c r="AF1094" s="128">
        <v>18.0</v>
      </c>
      <c r="AG1094" s="128">
        <v>1073.4467536473185</v>
      </c>
      <c r="AH1094" s="44" t="s">
        <v>27</v>
      </c>
      <c r="AI1094" s="128">
        <v>1259.1997509846628</v>
      </c>
      <c r="AJ1094" s="128">
        <v>21.0</v>
      </c>
      <c r="AK1094" s="128">
        <v>1264.713505307753</v>
      </c>
      <c r="AP1094" s="128">
        <v>10.0</v>
      </c>
      <c r="AQ1094" s="128">
        <v>18.0</v>
      </c>
      <c r="AT1094" s="44">
        <v>1093.0</v>
      </c>
      <c r="AU1094" s="44"/>
      <c r="AW1094" s="93"/>
      <c r="AY1094" s="93"/>
      <c r="AZ1094" s="93"/>
      <c r="BA1094" s="93"/>
      <c r="BB1094" s="155"/>
      <c r="BC1094" s="93"/>
      <c r="BE1094" s="93"/>
      <c r="BG1094" s="93"/>
      <c r="BH1094" s="93"/>
      <c r="BI1094" s="93"/>
      <c r="BJ1094" s="155"/>
      <c r="BK1094" s="93"/>
    </row>
    <row r="1095">
      <c r="A1095" s="166">
        <v>44671.93571128472</v>
      </c>
      <c r="B1095" s="44" t="s">
        <v>123</v>
      </c>
      <c r="C1095" s="128">
        <v>766.1098829896218</v>
      </c>
      <c r="D1095" s="128">
        <v>11.0</v>
      </c>
      <c r="E1095" s="128">
        <v>759.4922980231003</v>
      </c>
      <c r="F1095" s="44" t="s">
        <v>92</v>
      </c>
      <c r="G1095" s="128">
        <v>1073.4467536473185</v>
      </c>
      <c r="H1095" s="128">
        <v>18.0</v>
      </c>
      <c r="I1095" s="128">
        <v>1068.6618752338966</v>
      </c>
      <c r="J1095" s="44" t="s">
        <v>38</v>
      </c>
      <c r="K1095" s="128">
        <v>1148.7234804957386</v>
      </c>
      <c r="L1095" s="128">
        <v>27.0</v>
      </c>
      <c r="M1095" s="128">
        <v>1147.125943875682</v>
      </c>
      <c r="N1095" s="44"/>
      <c r="O1095" s="128"/>
      <c r="P1095" s="128"/>
      <c r="Q1095" s="128"/>
      <c r="V1095" s="44" t="s">
        <v>88</v>
      </c>
      <c r="W1095" s="128">
        <v>989.4188978947578</v>
      </c>
      <c r="X1095" s="128">
        <v>20.0</v>
      </c>
      <c r="Y1095" s="128">
        <v>994.1802789354643</v>
      </c>
      <c r="Z1095" s="44" t="s">
        <v>61</v>
      </c>
      <c r="AA1095" s="128">
        <v>1059.0328405130626</v>
      </c>
      <c r="AB1095" s="128">
        <v>21.0</v>
      </c>
      <c r="AC1095" s="128">
        <v>1064.0577419321178</v>
      </c>
      <c r="AD1095" s="44" t="s">
        <v>47</v>
      </c>
      <c r="AE1095" s="128">
        <v>1063.994697790596</v>
      </c>
      <c r="AF1095" s="128">
        <v>16.0</v>
      </c>
      <c r="AG1095" s="128">
        <v>1067.2084153308344</v>
      </c>
      <c r="AH1095" s="44"/>
      <c r="AI1095" s="128"/>
      <c r="AJ1095" s="128"/>
      <c r="AK1095" s="128"/>
      <c r="AP1095" s="128">
        <v>12.0</v>
      </c>
      <c r="AQ1095" s="128">
        <v>16.0</v>
      </c>
      <c r="AS1095" s="44" t="s">
        <v>229</v>
      </c>
      <c r="AT1095" s="44">
        <v>1094.0</v>
      </c>
      <c r="AU1095" s="44"/>
      <c r="AW1095" s="93"/>
      <c r="AY1095" s="93"/>
      <c r="AZ1095" s="93"/>
      <c r="BA1095" s="93"/>
      <c r="BB1095" s="155"/>
      <c r="BC1095" s="93"/>
      <c r="BE1095" s="93"/>
      <c r="BG1095" s="93"/>
      <c r="BH1095" s="93"/>
      <c r="BI1095" s="93"/>
      <c r="BJ1095" s="155"/>
      <c r="BK1095" s="93"/>
    </row>
    <row r="1096">
      <c r="A1096" s="166">
        <v>44671.97032541667</v>
      </c>
      <c r="B1096" s="44" t="s">
        <v>123</v>
      </c>
      <c r="C1096" s="128">
        <v>759.4922980231003</v>
      </c>
      <c r="D1096" s="128">
        <v>10.0</v>
      </c>
      <c r="E1096" s="128">
        <v>756.2232481410313</v>
      </c>
      <c r="F1096" s="44" t="s">
        <v>88</v>
      </c>
      <c r="G1096" s="128">
        <v>994.1802789354643</v>
      </c>
      <c r="H1096" s="128">
        <v>21.0</v>
      </c>
      <c r="I1096" s="128">
        <v>992.4575091709431</v>
      </c>
      <c r="J1096" s="44" t="s">
        <v>47</v>
      </c>
      <c r="K1096" s="128">
        <v>1067.2084153308344</v>
      </c>
      <c r="L1096" s="128">
        <v>21.0</v>
      </c>
      <c r="M1096" s="128">
        <v>1065.4388870669513</v>
      </c>
      <c r="N1096" s="44" t="s">
        <v>92</v>
      </c>
      <c r="O1096" s="128">
        <v>1068.6618752338966</v>
      </c>
      <c r="P1096" s="128">
        <v>29.0</v>
      </c>
      <c r="Q1096" s="128">
        <v>1068.224930228072</v>
      </c>
      <c r="R1096" s="44" t="s">
        <v>38</v>
      </c>
      <c r="S1096" s="128">
        <v>1147.125943875682</v>
      </c>
      <c r="T1096" s="128">
        <v>15.0</v>
      </c>
      <c r="U1096" s="128">
        <v>1144.32423679198</v>
      </c>
      <c r="V1096" s="44" t="s">
        <v>125</v>
      </c>
      <c r="W1096" s="128">
        <v>701.89850684545</v>
      </c>
      <c r="X1096" s="128">
        <v>10.0</v>
      </c>
      <c r="Y1096" s="128">
        <v>702.5318034594547</v>
      </c>
      <c r="Z1096" s="44" t="s">
        <v>112</v>
      </c>
      <c r="AA1096" s="128">
        <v>959.0509758499745</v>
      </c>
      <c r="AB1096" s="128">
        <v>25.0</v>
      </c>
      <c r="AC1096" s="128">
        <v>961.7984769070173</v>
      </c>
      <c r="AD1096" s="44" t="s">
        <v>34</v>
      </c>
      <c r="AE1096" s="128">
        <v>1049.6387395546697</v>
      </c>
      <c r="AF1096" s="128">
        <v>23.0</v>
      </c>
      <c r="AG1096" s="128">
        <v>1051.9817548018957</v>
      </c>
      <c r="AH1096" s="44" t="s">
        <v>61</v>
      </c>
      <c r="AI1096" s="128">
        <v>1064.0577419321178</v>
      </c>
      <c r="AJ1096" s="128">
        <v>22.0</v>
      </c>
      <c r="AK1096" s="128">
        <v>1066.2255768935952</v>
      </c>
      <c r="AL1096" s="44" t="s">
        <v>27</v>
      </c>
      <c r="AM1096" s="128">
        <v>1264.713505307753</v>
      </c>
      <c r="AN1096" s="128">
        <v>22.0</v>
      </c>
      <c r="AO1096" s="128">
        <v>1266.821857428002</v>
      </c>
      <c r="AP1096" s="128">
        <v>13.0</v>
      </c>
      <c r="AQ1096" s="128">
        <v>15.0</v>
      </c>
      <c r="AS1096" s="44" t="s">
        <v>266</v>
      </c>
      <c r="AT1096" s="44">
        <v>1095.0</v>
      </c>
      <c r="AU1096" s="44"/>
      <c r="AW1096" s="93"/>
      <c r="AY1096" s="93"/>
      <c r="AZ1096" s="93"/>
      <c r="BA1096" s="93"/>
      <c r="BB1096" s="155"/>
      <c r="BC1096" s="93"/>
      <c r="BE1096" s="93"/>
      <c r="BG1096" s="93"/>
      <c r="BH1096" s="93"/>
      <c r="BI1096" s="93"/>
      <c r="BJ1096" s="155"/>
      <c r="BK1096" s="93"/>
    </row>
    <row r="1097">
      <c r="A1097" s="166">
        <v>44672.00723164352</v>
      </c>
      <c r="B1097" s="44" t="s">
        <v>123</v>
      </c>
      <c r="C1097" s="128">
        <v>756.2232481410313</v>
      </c>
      <c r="D1097" s="128">
        <v>17.0</v>
      </c>
      <c r="E1097" s="128">
        <v>759.1184660631565</v>
      </c>
      <c r="F1097" s="44" t="s">
        <v>112</v>
      </c>
      <c r="G1097" s="128">
        <v>961.7984769070173</v>
      </c>
      <c r="H1097" s="128">
        <v>22.0</v>
      </c>
      <c r="I1097" s="128">
        <v>965.7082022865726</v>
      </c>
      <c r="J1097" s="44" t="s">
        <v>88</v>
      </c>
      <c r="K1097" s="128">
        <v>992.4575091709431</v>
      </c>
      <c r="L1097" s="128">
        <v>17.0</v>
      </c>
      <c r="M1097" s="128">
        <v>994.7292668625302</v>
      </c>
      <c r="N1097" s="44" t="s">
        <v>47</v>
      </c>
      <c r="O1097" s="128">
        <v>1065.4388870669513</v>
      </c>
      <c r="P1097" s="128">
        <v>26.0</v>
      </c>
      <c r="Q1097" s="128">
        <v>1070.4595860892573</v>
      </c>
      <c r="R1097" s="44" t="s">
        <v>27</v>
      </c>
      <c r="S1097" s="128">
        <v>1266.821857428002</v>
      </c>
      <c r="T1097" s="128">
        <v>26.0</v>
      </c>
      <c r="U1097" s="128">
        <v>1271.7244574124284</v>
      </c>
      <c r="V1097" s="44" t="s">
        <v>125</v>
      </c>
      <c r="W1097" s="128">
        <v>702.5318034594547</v>
      </c>
      <c r="X1097" s="128">
        <v>11.0</v>
      </c>
      <c r="Y1097" s="128">
        <v>697.3700508508608</v>
      </c>
      <c r="Z1097" s="44" t="s">
        <v>34</v>
      </c>
      <c r="AA1097" s="128">
        <v>1051.9817548018957</v>
      </c>
      <c r="AB1097" s="128">
        <v>21.0</v>
      </c>
      <c r="AC1097" s="128">
        <v>1049.258659321912</v>
      </c>
      <c r="AD1097" s="44" t="s">
        <v>61</v>
      </c>
      <c r="AE1097" s="128">
        <v>1066.2255768935952</v>
      </c>
      <c r="AF1097" s="128">
        <v>10.0</v>
      </c>
      <c r="AG1097" s="128">
        <v>1060.0059151947473</v>
      </c>
      <c r="AH1097" s="44" t="s">
        <v>92</v>
      </c>
      <c r="AI1097" s="128">
        <v>1068.224930228072</v>
      </c>
      <c r="AJ1097" s="128">
        <v>23.0</v>
      </c>
      <c r="AK1097" s="128">
        <v>1066.120165990559</v>
      </c>
      <c r="AL1097" s="44" t="s">
        <v>38</v>
      </c>
      <c r="AM1097" s="128">
        <v>1144.32423679198</v>
      </c>
      <c r="AN1097" s="128">
        <v>21.0</v>
      </c>
      <c r="AO1097" s="128">
        <v>1141.5335108169184</v>
      </c>
      <c r="AP1097" s="128">
        <v>18.0</v>
      </c>
      <c r="AQ1097" s="128">
        <v>10.0</v>
      </c>
      <c r="AS1097" s="44" t="s">
        <v>598</v>
      </c>
      <c r="AT1097" s="44">
        <v>1096.0</v>
      </c>
      <c r="AU1097" s="44"/>
      <c r="AW1097" s="93"/>
      <c r="AY1097" s="93"/>
      <c r="AZ1097" s="93"/>
      <c r="BA1097" s="93"/>
      <c r="BB1097" s="155"/>
      <c r="BC1097" s="93"/>
      <c r="BE1097" s="93"/>
      <c r="BG1097" s="93"/>
      <c r="BH1097" s="93"/>
      <c r="BI1097" s="93"/>
      <c r="BJ1097" s="155"/>
      <c r="BK1097" s="93"/>
    </row>
    <row r="1098">
      <c r="A1098" s="166">
        <v>44672.98797949074</v>
      </c>
      <c r="B1098" s="44" t="s">
        <v>61</v>
      </c>
      <c r="C1098" s="128">
        <v>1060.0059151947473</v>
      </c>
      <c r="D1098" s="128">
        <v>13.0</v>
      </c>
      <c r="E1098" s="128">
        <v>1054.0091392701406</v>
      </c>
      <c r="F1098" s="44" t="s">
        <v>92</v>
      </c>
      <c r="G1098" s="128">
        <v>1066.120165990559</v>
      </c>
      <c r="H1098" s="128">
        <v>13.0</v>
      </c>
      <c r="I1098" s="128">
        <v>1060.1169419151656</v>
      </c>
      <c r="J1098" s="44"/>
      <c r="K1098" s="128"/>
      <c r="L1098" s="128"/>
      <c r="M1098" s="128"/>
      <c r="N1098" s="44"/>
      <c r="O1098" s="128"/>
      <c r="P1098" s="128"/>
      <c r="Q1098" s="128"/>
      <c r="V1098" s="44" t="s">
        <v>88</v>
      </c>
      <c r="W1098" s="128">
        <v>994.7292668625302</v>
      </c>
      <c r="X1098" s="128">
        <v>17.0</v>
      </c>
      <c r="Y1098" s="128">
        <v>999.8754954513789</v>
      </c>
      <c r="Z1098" s="44" t="s">
        <v>27</v>
      </c>
      <c r="AA1098" s="128">
        <v>1271.7244574124284</v>
      </c>
      <c r="AB1098" s="128">
        <v>21.0</v>
      </c>
      <c r="AC1098" s="128">
        <v>1278.5782288235796</v>
      </c>
      <c r="AD1098" s="44"/>
      <c r="AE1098" s="128"/>
      <c r="AF1098" s="128"/>
      <c r="AG1098" s="128"/>
      <c r="AH1098" s="44"/>
      <c r="AI1098" s="128"/>
      <c r="AJ1098" s="128"/>
      <c r="AK1098" s="128"/>
      <c r="AP1098" s="128">
        <v>10.0</v>
      </c>
      <c r="AQ1098" s="128">
        <v>18.0</v>
      </c>
      <c r="AT1098" s="44">
        <v>1097.0</v>
      </c>
      <c r="AU1098" s="44"/>
      <c r="AW1098" s="93"/>
      <c r="AY1098" s="93"/>
      <c r="AZ1098" s="93"/>
      <c r="BA1098" s="93"/>
      <c r="BB1098" s="155"/>
      <c r="BC1098" s="93"/>
      <c r="BE1098" s="93"/>
      <c r="BG1098" s="93"/>
      <c r="BH1098" s="93"/>
      <c r="BI1098" s="93"/>
      <c r="BJ1098" s="155"/>
      <c r="BK1098" s="93"/>
    </row>
    <row r="1099">
      <c r="A1099" s="166">
        <v>44673.01799487269</v>
      </c>
      <c r="B1099" s="44" t="s">
        <v>88</v>
      </c>
      <c r="C1099" s="128">
        <v>999.8754954513789</v>
      </c>
      <c r="D1099" s="128">
        <v>20.0</v>
      </c>
      <c r="E1099" s="128">
        <v>1010.2535734098943</v>
      </c>
      <c r="F1099" s="44" t="s">
        <v>110</v>
      </c>
      <c r="G1099" s="128">
        <v>1010.9535125372748</v>
      </c>
      <c r="H1099" s="128">
        <v>21.0</v>
      </c>
      <c r="I1099" s="128">
        <v>1022.3034845255279</v>
      </c>
      <c r="J1099" s="44" t="s">
        <v>61</v>
      </c>
      <c r="K1099" s="128">
        <v>1054.0091392701406</v>
      </c>
      <c r="L1099" s="128">
        <v>25.0</v>
      </c>
      <c r="M1099" s="128">
        <v>1069.2810893233723</v>
      </c>
      <c r="N1099" s="44"/>
      <c r="O1099" s="128"/>
      <c r="P1099" s="128"/>
      <c r="Q1099" s="128"/>
      <c r="V1099" s="44" t="s">
        <v>125</v>
      </c>
      <c r="W1099" s="128">
        <v>697.3700508508608</v>
      </c>
      <c r="X1099" s="128">
        <v>20.0</v>
      </c>
      <c r="Y1099" s="128">
        <v>689.2345303040668</v>
      </c>
      <c r="Z1099" s="44" t="s">
        <v>92</v>
      </c>
      <c r="AA1099" s="128">
        <v>1060.1169419151656</v>
      </c>
      <c r="AB1099" s="128">
        <v>16.0</v>
      </c>
      <c r="AC1099" s="128">
        <v>1045.3413193626216</v>
      </c>
      <c r="AD1099" s="44" t="s">
        <v>27</v>
      </c>
      <c r="AE1099" s="128">
        <v>1278.5782288235796</v>
      </c>
      <c r="AF1099" s="128">
        <v>17.0</v>
      </c>
      <c r="AG1099" s="128">
        <v>1264.4893719229178</v>
      </c>
      <c r="AH1099" s="44"/>
      <c r="AI1099" s="128"/>
      <c r="AJ1099" s="128"/>
      <c r="AK1099" s="128"/>
      <c r="AP1099" s="128">
        <v>19.0</v>
      </c>
      <c r="AQ1099" s="128">
        <v>9.0</v>
      </c>
      <c r="AT1099" s="44">
        <v>1098.0</v>
      </c>
      <c r="AU1099" s="44"/>
      <c r="AW1099" s="93"/>
      <c r="AY1099" s="93"/>
      <c r="AZ1099" s="93"/>
      <c r="BA1099" s="93"/>
      <c r="BB1099" s="155"/>
      <c r="BC1099" s="93"/>
      <c r="BE1099" s="93"/>
      <c r="BG1099" s="93"/>
      <c r="BH1099" s="93"/>
      <c r="BI1099" s="93"/>
      <c r="BJ1099" s="155"/>
      <c r="BK1099" s="93"/>
    </row>
    <row r="1100">
      <c r="A1100" s="166">
        <v>44675.96718091435</v>
      </c>
      <c r="B1100" s="44" t="s">
        <v>486</v>
      </c>
      <c r="C1100" s="128">
        <v>913.3090594086633</v>
      </c>
      <c r="D1100" s="128">
        <v>22.0</v>
      </c>
      <c r="E1100" s="128">
        <v>917.8286947584484</v>
      </c>
      <c r="F1100" s="44" t="s">
        <v>88</v>
      </c>
      <c r="G1100" s="128">
        <v>1010.2535734098943</v>
      </c>
      <c r="H1100" s="128">
        <v>15.0</v>
      </c>
      <c r="I1100" s="128">
        <v>1012.2538640164739</v>
      </c>
      <c r="J1100" s="44" t="s">
        <v>31</v>
      </c>
      <c r="K1100" s="128">
        <v>1243.4579232019576</v>
      </c>
      <c r="L1100" s="128">
        <v>26.0</v>
      </c>
      <c r="M1100" s="128">
        <v>1248.937997245593</v>
      </c>
      <c r="N1100" s="44"/>
      <c r="O1100" s="128"/>
      <c r="P1100" s="128"/>
      <c r="Q1100" s="128"/>
      <c r="V1100" s="44" t="s">
        <v>125</v>
      </c>
      <c r="W1100" s="128">
        <v>689.2345303040668</v>
      </c>
      <c r="X1100" s="128">
        <v>16.0</v>
      </c>
      <c r="Y1100" s="128">
        <v>685.0874272094459</v>
      </c>
      <c r="Z1100" s="44" t="s">
        <v>47</v>
      </c>
      <c r="AA1100" s="128">
        <v>1070.4595860892573</v>
      </c>
      <c r="AB1100" s="128">
        <v>21.0</v>
      </c>
      <c r="AC1100" s="128">
        <v>1067.0840707176792</v>
      </c>
      <c r="AD1100" s="44" t="s">
        <v>27</v>
      </c>
      <c r="AE1100" s="128">
        <v>1264.4893719229178</v>
      </c>
      <c r="AF1100" s="128">
        <v>18.0</v>
      </c>
      <c r="AG1100" s="128">
        <v>1260.0119903891168</v>
      </c>
      <c r="AH1100" s="44"/>
      <c r="AI1100" s="128"/>
      <c r="AJ1100" s="128"/>
      <c r="AK1100" s="128"/>
      <c r="AP1100" s="128">
        <v>16.0</v>
      </c>
      <c r="AQ1100" s="128">
        <v>12.0</v>
      </c>
      <c r="AT1100" s="44">
        <v>1099.0</v>
      </c>
      <c r="AU1100" s="44"/>
      <c r="AW1100" s="93"/>
      <c r="AY1100" s="93"/>
      <c r="AZ1100" s="93"/>
      <c r="BA1100" s="93"/>
      <c r="BB1100" s="155"/>
      <c r="BC1100" s="93"/>
      <c r="BE1100" s="93"/>
      <c r="BG1100" s="93"/>
      <c r="BH1100" s="93"/>
      <c r="BI1100" s="93"/>
      <c r="BJ1100" s="155"/>
      <c r="BK1100" s="93"/>
    </row>
    <row r="1101">
      <c r="A1101" s="166">
        <v>44675.99633621528</v>
      </c>
      <c r="B1101" s="44" t="s">
        <v>486</v>
      </c>
      <c r="C1101" s="128">
        <v>917.8286947584484</v>
      </c>
      <c r="D1101" s="128">
        <v>26.0</v>
      </c>
      <c r="E1101" s="128">
        <v>928.6006432039293</v>
      </c>
      <c r="F1101" s="44" t="s">
        <v>88</v>
      </c>
      <c r="G1101" s="128">
        <v>1012.2538640164739</v>
      </c>
      <c r="H1101" s="128">
        <v>15.0</v>
      </c>
      <c r="I1101" s="128">
        <v>1016.6445834383867</v>
      </c>
      <c r="J1101" s="44" t="s">
        <v>47</v>
      </c>
      <c r="K1101" s="128">
        <v>1067.0840707176792</v>
      </c>
      <c r="L1101" s="128">
        <v>16.0</v>
      </c>
      <c r="M1101" s="128">
        <v>1071.9214028502856</v>
      </c>
      <c r="N1101" s="44"/>
      <c r="O1101" s="128"/>
      <c r="P1101" s="128"/>
      <c r="Q1101" s="128"/>
      <c r="V1101" s="44" t="s">
        <v>125</v>
      </c>
      <c r="W1101" s="128">
        <v>685.0874272094459</v>
      </c>
      <c r="X1101" s="128">
        <v>9.0</v>
      </c>
      <c r="Y1101" s="128">
        <v>674.788712200135</v>
      </c>
      <c r="Z1101" s="44" t="s">
        <v>34</v>
      </c>
      <c r="AA1101" s="128">
        <v>1049.258659321912</v>
      </c>
      <c r="AB1101" s="128">
        <v>22.0</v>
      </c>
      <c r="AC1101" s="128">
        <v>1044.78315128014</v>
      </c>
      <c r="AD1101" s="44" t="s">
        <v>27</v>
      </c>
      <c r="AE1101" s="128">
        <v>1260.0119903891168</v>
      </c>
      <c r="AF1101" s="128">
        <v>21.0</v>
      </c>
      <c r="AG1101" s="128">
        <v>1254.7862134401998</v>
      </c>
      <c r="AH1101" s="44"/>
      <c r="AI1101" s="128"/>
      <c r="AJ1101" s="128"/>
      <c r="AK1101" s="128"/>
      <c r="AP1101" s="128">
        <v>17.0</v>
      </c>
      <c r="AQ1101" s="128">
        <v>11.0</v>
      </c>
      <c r="AT1101" s="44">
        <v>1100.0</v>
      </c>
      <c r="AU1101" s="44"/>
      <c r="AW1101" s="93"/>
      <c r="AY1101" s="93"/>
      <c r="AZ1101" s="93"/>
      <c r="BA1101" s="93"/>
      <c r="BB1101" s="155"/>
      <c r="BC1101" s="93"/>
      <c r="BE1101" s="93"/>
      <c r="BG1101" s="93"/>
      <c r="BH1101" s="93"/>
      <c r="BI1101" s="93"/>
      <c r="BJ1101" s="155"/>
      <c r="BK1101" s="93"/>
    </row>
    <row r="1102">
      <c r="A1102" s="166">
        <v>44676.909391493056</v>
      </c>
      <c r="B1102" s="44" t="s">
        <v>486</v>
      </c>
      <c r="C1102" s="128">
        <v>928.6006432039293</v>
      </c>
      <c r="D1102" s="128">
        <v>17.0</v>
      </c>
      <c r="E1102" s="128">
        <v>933.0303894172816</v>
      </c>
      <c r="F1102" s="44" t="s">
        <v>34</v>
      </c>
      <c r="G1102" s="128">
        <v>1044.78315128014</v>
      </c>
      <c r="H1102" s="128">
        <v>22.0</v>
      </c>
      <c r="I1102" s="128">
        <v>1051.3048681177318</v>
      </c>
      <c r="J1102" s="44" t="s">
        <v>92</v>
      </c>
      <c r="K1102" s="128">
        <v>1045.3413193626216</v>
      </c>
      <c r="L1102" s="128">
        <v>21.0</v>
      </c>
      <c r="M1102" s="128">
        <v>1051.3898563116775</v>
      </c>
      <c r="N1102" s="44"/>
      <c r="O1102" s="128"/>
      <c r="P1102" s="128"/>
      <c r="Q1102" s="128"/>
      <c r="V1102" s="44" t="s">
        <v>123</v>
      </c>
      <c r="W1102" s="128">
        <v>759.1184660631565</v>
      </c>
      <c r="X1102" s="128">
        <v>15.0</v>
      </c>
      <c r="Y1102" s="128">
        <v>753.6767061632839</v>
      </c>
      <c r="Z1102" s="44" t="s">
        <v>47</v>
      </c>
      <c r="AA1102" s="128">
        <v>1071.9214028502856</v>
      </c>
      <c r="AB1102" s="128">
        <v>25.0</v>
      </c>
      <c r="AC1102" s="128">
        <v>1070.4249538013873</v>
      </c>
      <c r="AD1102" s="44" t="s">
        <v>38</v>
      </c>
      <c r="AE1102" s="128">
        <v>1141.5335108169184</v>
      </c>
      <c r="AF1102" s="128">
        <v>7.0</v>
      </c>
      <c r="AG1102" s="128">
        <v>1131.4717197656892</v>
      </c>
      <c r="AH1102" s="44"/>
      <c r="AI1102" s="128"/>
      <c r="AJ1102" s="128"/>
      <c r="AK1102" s="128"/>
      <c r="AP1102" s="128">
        <v>17.0</v>
      </c>
      <c r="AQ1102" s="128">
        <v>11.0</v>
      </c>
      <c r="AT1102" s="44">
        <v>1101.0</v>
      </c>
      <c r="AU1102" s="44"/>
      <c r="AW1102" s="93"/>
      <c r="AY1102" s="93"/>
      <c r="AZ1102" s="93"/>
      <c r="BA1102" s="93"/>
      <c r="BB1102" s="155"/>
      <c r="BC1102" s="93"/>
      <c r="BE1102" s="93"/>
      <c r="BG1102" s="93"/>
      <c r="BH1102" s="93"/>
      <c r="BI1102" s="93"/>
      <c r="BJ1102" s="155"/>
      <c r="BK1102" s="93"/>
    </row>
    <row r="1103">
      <c r="A1103" s="166">
        <v>44676.95799784722</v>
      </c>
      <c r="B1103" s="44" t="s">
        <v>486</v>
      </c>
      <c r="C1103" s="128">
        <v>933.0303894172816</v>
      </c>
      <c r="D1103" s="128">
        <v>20.0</v>
      </c>
      <c r="E1103" s="128">
        <v>928.1795168170839</v>
      </c>
      <c r="F1103" s="44" t="s">
        <v>98</v>
      </c>
      <c r="G1103" s="128">
        <v>955.8044104144033</v>
      </c>
      <c r="H1103" s="128">
        <v>9.0</v>
      </c>
      <c r="I1103" s="128">
        <v>943.7352175049874</v>
      </c>
      <c r="J1103" s="44" t="s">
        <v>88</v>
      </c>
      <c r="K1103" s="128">
        <v>1016.6445834383867</v>
      </c>
      <c r="L1103" s="128">
        <v>16.0</v>
      </c>
      <c r="M1103" s="128">
        <v>1008.9728157628183</v>
      </c>
      <c r="N1103" s="44" t="s">
        <v>47</v>
      </c>
      <c r="O1103" s="128">
        <v>1070.4249538013873</v>
      </c>
      <c r="P1103" s="128">
        <v>5.0</v>
      </c>
      <c r="Q1103" s="128">
        <v>1055.5022379808308</v>
      </c>
      <c r="R1103" s="44" t="s">
        <v>27</v>
      </c>
      <c r="S1103" s="128">
        <v>1254.7862134401998</v>
      </c>
      <c r="T1103" s="128">
        <v>29.0</v>
      </c>
      <c r="U1103" s="128">
        <v>1254.7762134401999</v>
      </c>
      <c r="V1103" s="44" t="s">
        <v>123</v>
      </c>
      <c r="W1103" s="128">
        <v>753.6767061632839</v>
      </c>
      <c r="X1103" s="128">
        <v>13.0</v>
      </c>
      <c r="Y1103" s="128">
        <v>756.7718995260408</v>
      </c>
      <c r="Z1103" s="44" t="s">
        <v>34</v>
      </c>
      <c r="AA1103" s="128">
        <v>1051.3048681177318</v>
      </c>
      <c r="AB1103" s="128">
        <v>19.0</v>
      </c>
      <c r="AC1103" s="128">
        <v>1056.8145824467233</v>
      </c>
      <c r="AD1103" s="44" t="s">
        <v>92</v>
      </c>
      <c r="AE1103" s="128">
        <v>1051.3898563116775</v>
      </c>
      <c r="AF1103" s="128">
        <v>26.0</v>
      </c>
      <c r="AG1103" s="128">
        <v>1061.4493548152193</v>
      </c>
      <c r="AH1103" s="44" t="s">
        <v>38</v>
      </c>
      <c r="AI1103" s="128">
        <v>1131.4717197656892</v>
      </c>
      <c r="AJ1103" s="128">
        <v>19.0</v>
      </c>
      <c r="AK1103" s="128">
        <v>1136.8209942046249</v>
      </c>
      <c r="AL1103" s="44" t="s">
        <v>31</v>
      </c>
      <c r="AM1103" s="128">
        <v>1248.937997245593</v>
      </c>
      <c r="AN1103" s="128">
        <v>34.0</v>
      </c>
      <c r="AO1103" s="128">
        <v>1263.924316611367</v>
      </c>
      <c r="AP1103" s="128">
        <v>9.0</v>
      </c>
      <c r="AQ1103" s="128">
        <v>19.0</v>
      </c>
      <c r="AT1103" s="44">
        <v>1102.0</v>
      </c>
      <c r="AU1103" s="44"/>
      <c r="AW1103" s="93"/>
      <c r="AY1103" s="93"/>
      <c r="AZ1103" s="93"/>
      <c r="BA1103" s="93"/>
      <c r="BB1103" s="155"/>
      <c r="BC1103" s="93"/>
      <c r="BE1103" s="93"/>
      <c r="BG1103" s="93"/>
      <c r="BH1103" s="93"/>
      <c r="BI1103" s="93"/>
      <c r="BJ1103" s="155"/>
      <c r="BK1103" s="93"/>
    </row>
    <row r="1104">
      <c r="A1104" s="166">
        <v>44676.998251550925</v>
      </c>
      <c r="B1104" s="44" t="s">
        <v>486</v>
      </c>
      <c r="C1104" s="128">
        <v>928.1795168170839</v>
      </c>
      <c r="D1104" s="128">
        <v>17.0</v>
      </c>
      <c r="E1104" s="128">
        <v>919.6585967945762</v>
      </c>
      <c r="F1104" s="44" t="s">
        <v>47</v>
      </c>
      <c r="G1104" s="128">
        <v>1055.5022379808308</v>
      </c>
      <c r="H1104" s="128">
        <v>25.0</v>
      </c>
      <c r="I1104" s="128">
        <v>1051.8186805576474</v>
      </c>
      <c r="J1104" s="44" t="s">
        <v>34</v>
      </c>
      <c r="K1104" s="128">
        <v>1056.8145824467233</v>
      </c>
      <c r="L1104" s="128">
        <v>17.0</v>
      </c>
      <c r="M1104" s="128">
        <v>1047.9283563600156</v>
      </c>
      <c r="N1104" s="44" t="s">
        <v>92</v>
      </c>
      <c r="O1104" s="128">
        <v>1061.4493548152193</v>
      </c>
      <c r="P1104" s="128">
        <v>19.0</v>
      </c>
      <c r="Q1104" s="128">
        <v>1053.8538636431165</v>
      </c>
      <c r="R1104" s="44" t="s">
        <v>38</v>
      </c>
      <c r="S1104" s="128">
        <v>1136.8209942046249</v>
      </c>
      <c r="T1104" s="128">
        <v>15.0</v>
      </c>
      <c r="U1104" s="128">
        <v>1126.5071889091264</v>
      </c>
      <c r="V1104" s="44" t="s">
        <v>123</v>
      </c>
      <c r="W1104" s="128">
        <v>756.7718995260408</v>
      </c>
      <c r="X1104" s="128">
        <v>20.0</v>
      </c>
      <c r="Y1104" s="128">
        <v>764.453984337313</v>
      </c>
      <c r="Z1104" s="44" t="s">
        <v>112</v>
      </c>
      <c r="AA1104" s="128">
        <v>965.7082022865726</v>
      </c>
      <c r="AB1104" s="128">
        <v>9.0</v>
      </c>
      <c r="AC1104" s="128">
        <v>965.7182022865726</v>
      </c>
      <c r="AD1104" s="44" t="s">
        <v>88</v>
      </c>
      <c r="AE1104" s="128">
        <v>1008.9728157628183</v>
      </c>
      <c r="AF1104" s="128">
        <v>20.0</v>
      </c>
      <c r="AG1104" s="128">
        <v>1015.3378198970998</v>
      </c>
      <c r="AH1104" s="44" t="s">
        <v>27</v>
      </c>
      <c r="AI1104" s="128">
        <v>1254.7762134401999</v>
      </c>
      <c r="AJ1104" s="128">
        <v>24.0</v>
      </c>
      <c r="AK1104" s="128">
        <v>1263.3471260265032</v>
      </c>
      <c r="AL1104" s="44" t="s">
        <v>31</v>
      </c>
      <c r="AM1104" s="128">
        <v>1263.924316611367</v>
      </c>
      <c r="AN1104" s="128">
        <v>37.0</v>
      </c>
      <c r="AO1104" s="128">
        <v>1280.9408887960783</v>
      </c>
      <c r="AP1104" s="128">
        <v>9.0</v>
      </c>
      <c r="AQ1104" s="128">
        <v>19.0</v>
      </c>
      <c r="AT1104" s="44">
        <v>1103.0</v>
      </c>
      <c r="AU1104" s="44"/>
      <c r="AW1104" s="93"/>
      <c r="AY1104" s="93"/>
      <c r="AZ1104" s="93"/>
      <c r="BA1104" s="93"/>
      <c r="BB1104" s="155"/>
      <c r="BC1104" s="93"/>
      <c r="BE1104" s="93"/>
      <c r="BG1104" s="93"/>
      <c r="BH1104" s="93"/>
      <c r="BI1104" s="93"/>
      <c r="BJ1104" s="155"/>
      <c r="BK1104" s="93"/>
    </row>
    <row r="1105">
      <c r="A1105" s="166">
        <v>44677.04902057871</v>
      </c>
      <c r="B1105" s="44" t="s">
        <v>486</v>
      </c>
      <c r="C1105" s="128">
        <v>919.6585967945762</v>
      </c>
      <c r="D1105" s="128">
        <v>23.0</v>
      </c>
      <c r="E1105" s="128">
        <v>918.3395167785618</v>
      </c>
      <c r="F1105" s="44" t="s">
        <v>112</v>
      </c>
      <c r="G1105" s="128">
        <v>965.7182022865726</v>
      </c>
      <c r="H1105" s="128">
        <v>16.0</v>
      </c>
      <c r="I1105" s="128">
        <v>963.3389839466586</v>
      </c>
      <c r="J1105" s="44" t="s">
        <v>88</v>
      </c>
      <c r="K1105" s="128">
        <v>1015.3378198970998</v>
      </c>
      <c r="L1105" s="128">
        <v>23.0</v>
      </c>
      <c r="M1105" s="128">
        <v>1013.9448254758412</v>
      </c>
      <c r="N1105" s="44" t="s">
        <v>27</v>
      </c>
      <c r="O1105" s="128">
        <v>1263.3471260265032</v>
      </c>
      <c r="P1105" s="128">
        <v>20.0</v>
      </c>
      <c r="Q1105" s="128">
        <v>1261.4384188036904</v>
      </c>
      <c r="V1105" s="44" t="s">
        <v>125</v>
      </c>
      <c r="W1105" s="128">
        <v>674.788712200135</v>
      </c>
      <c r="X1105" s="128">
        <v>13.0</v>
      </c>
      <c r="Y1105" s="128">
        <v>675.8694962135296</v>
      </c>
      <c r="Z1105" s="44" t="s">
        <v>599</v>
      </c>
      <c r="AA1105" s="128">
        <v>800.0</v>
      </c>
      <c r="AB1105" s="128">
        <v>13.0</v>
      </c>
      <c r="AC1105" s="128">
        <v>800.8905873692144</v>
      </c>
      <c r="AD1105" s="44" t="s">
        <v>38</v>
      </c>
      <c r="AE1105" s="128">
        <v>1126.5071889091264</v>
      </c>
      <c r="AF1105" s="128">
        <v>17.0</v>
      </c>
      <c r="AG1105" s="128">
        <v>1127.7229811396014</v>
      </c>
      <c r="AH1105" s="44" t="s">
        <v>31</v>
      </c>
      <c r="AI1105" s="128">
        <v>1280.9408887960783</v>
      </c>
      <c r="AJ1105" s="128">
        <v>35.0</v>
      </c>
      <c r="AK1105" s="128">
        <v>1284.7537251829945</v>
      </c>
      <c r="AP1105" s="128">
        <v>14.0</v>
      </c>
      <c r="AQ1105" s="128">
        <v>14.0</v>
      </c>
      <c r="AT1105" s="44">
        <v>1104.0</v>
      </c>
      <c r="AU1105" s="44"/>
      <c r="AW1105" s="93"/>
      <c r="AY1105" s="93"/>
      <c r="AZ1105" s="93"/>
      <c r="BA1105" s="93"/>
      <c r="BB1105" s="155"/>
      <c r="BC1105" s="93"/>
      <c r="BE1105" s="93"/>
      <c r="BG1105" s="93"/>
      <c r="BH1105" s="93"/>
      <c r="BI1105" s="93"/>
      <c r="BJ1105" s="155"/>
      <c r="BK1105" s="93"/>
    </row>
    <row r="1106">
      <c r="A1106" s="166">
        <v>44679.96031393518</v>
      </c>
      <c r="B1106" s="44" t="s">
        <v>123</v>
      </c>
      <c r="C1106" s="128">
        <v>764.453984337313</v>
      </c>
      <c r="D1106" s="128">
        <v>12.0</v>
      </c>
      <c r="E1106" s="128">
        <v>758.8794592349288</v>
      </c>
      <c r="F1106" s="44" t="s">
        <v>88</v>
      </c>
      <c r="G1106" s="128">
        <v>1013.9448254758412</v>
      </c>
      <c r="H1106" s="128">
        <v>26.0</v>
      </c>
      <c r="I1106" s="128">
        <v>1013.3706701977314</v>
      </c>
      <c r="J1106" s="44" t="s">
        <v>61</v>
      </c>
      <c r="K1106" s="128">
        <v>1069.2810893233723</v>
      </c>
      <c r="L1106" s="128">
        <v>6.0</v>
      </c>
      <c r="M1106" s="128">
        <v>1060.728096074381</v>
      </c>
      <c r="N1106" s="44" t="s">
        <v>27</v>
      </c>
      <c r="O1106" s="128">
        <v>1261.4384188036904</v>
      </c>
      <c r="P1106" s="128">
        <v>17.0</v>
      </c>
      <c r="Q1106" s="128">
        <v>1257.1400924331756</v>
      </c>
      <c r="V1106" s="44" t="s">
        <v>112</v>
      </c>
      <c r="W1106" s="128">
        <v>963.3389839466586</v>
      </c>
      <c r="X1106" s="128">
        <v>23.0</v>
      </c>
      <c r="Y1106" s="128">
        <v>968.8066618626484</v>
      </c>
      <c r="Z1106" s="44" t="s">
        <v>34</v>
      </c>
      <c r="AA1106" s="128">
        <v>1047.9283563600156</v>
      </c>
      <c r="AB1106" s="128">
        <v>22.0</v>
      </c>
      <c r="AC1106" s="128">
        <v>1052.841216180309</v>
      </c>
      <c r="AD1106" s="44" t="s">
        <v>92</v>
      </c>
      <c r="AE1106" s="128">
        <v>1053.8538636431165</v>
      </c>
      <c r="AF1106" s="128">
        <v>16.0</v>
      </c>
      <c r="AG1106" s="128">
        <v>1056.3829598292339</v>
      </c>
      <c r="AH1106" s="44" t="s">
        <v>245</v>
      </c>
      <c r="AI1106" s="128">
        <v>1054.7017367432372</v>
      </c>
      <c r="AJ1106" s="128">
        <v>25.0</v>
      </c>
      <c r="AK1106" s="128">
        <v>1060.7921028208366</v>
      </c>
      <c r="AP1106" s="128">
        <v>11.0</v>
      </c>
      <c r="AQ1106" s="128">
        <v>17.0</v>
      </c>
      <c r="AT1106" s="44">
        <v>1105.0</v>
      </c>
      <c r="AU1106" s="44"/>
      <c r="AW1106" s="93"/>
      <c r="AY1106" s="93"/>
      <c r="AZ1106" s="93"/>
      <c r="BA1106" s="93"/>
      <c r="BB1106" s="155"/>
      <c r="BC1106" s="93"/>
      <c r="BE1106" s="93"/>
      <c r="BG1106" s="93"/>
      <c r="BH1106" s="93"/>
      <c r="BI1106" s="93"/>
      <c r="BJ1106" s="155"/>
      <c r="BK1106" s="93"/>
    </row>
    <row r="1107">
      <c r="A1107" s="166">
        <v>44680.002689560184</v>
      </c>
      <c r="B1107" s="44" t="s">
        <v>123</v>
      </c>
      <c r="C1107" s="128">
        <v>758.8794592349288</v>
      </c>
      <c r="D1107" s="128">
        <v>18.0</v>
      </c>
      <c r="E1107" s="128">
        <v>754.9353681501677</v>
      </c>
      <c r="F1107" s="44" t="s">
        <v>88</v>
      </c>
      <c r="G1107" s="128">
        <v>1013.3706701977314</v>
      </c>
      <c r="H1107" s="128">
        <v>13.0</v>
      </c>
      <c r="I1107" s="128">
        <v>1007.1637493990439</v>
      </c>
      <c r="J1107" s="44" t="s">
        <v>50</v>
      </c>
      <c r="K1107" s="128">
        <v>1017.6242085637638</v>
      </c>
      <c r="L1107" s="128">
        <v>17.0</v>
      </c>
      <c r="M1107" s="128">
        <v>1012.7447705275519</v>
      </c>
      <c r="N1107" s="44" t="s">
        <v>34</v>
      </c>
      <c r="O1107" s="128">
        <v>1052.841216180309</v>
      </c>
      <c r="P1107" s="128">
        <v>30.0</v>
      </c>
      <c r="Q1107" s="128">
        <v>1052.2513612738258</v>
      </c>
      <c r="R1107" s="44" t="s">
        <v>27</v>
      </c>
      <c r="S1107" s="128">
        <v>1257.1400924331756</v>
      </c>
      <c r="T1107" s="128">
        <v>19.0</v>
      </c>
      <c r="U1107" s="128">
        <v>1252.7603972593195</v>
      </c>
      <c r="V1107" s="44" t="s">
        <v>125</v>
      </c>
      <c r="W1107" s="128">
        <v>675.8694962135296</v>
      </c>
      <c r="X1107" s="128">
        <v>19.0</v>
      </c>
      <c r="Y1107" s="128">
        <v>680.0486913346949</v>
      </c>
      <c r="Z1107" s="44" t="s">
        <v>110</v>
      </c>
      <c r="AA1107" s="128">
        <v>1022.3034845255279</v>
      </c>
      <c r="AB1107" s="128">
        <v>19.0</v>
      </c>
      <c r="AC1107" s="128">
        <v>1025.4944089157934</v>
      </c>
      <c r="AD1107" s="44" t="s">
        <v>92</v>
      </c>
      <c r="AE1107" s="128">
        <v>1056.3829598292339</v>
      </c>
      <c r="AF1107" s="128">
        <v>14.0</v>
      </c>
      <c r="AG1107" s="128">
        <v>1057.862080386437</v>
      </c>
      <c r="AH1107" s="44" t="s">
        <v>61</v>
      </c>
      <c r="AI1107" s="128">
        <v>1060.728096074381</v>
      </c>
      <c r="AJ1107" s="128">
        <v>24.0</v>
      </c>
      <c r="AK1107" s="128">
        <v>1065.5353849875157</v>
      </c>
      <c r="AL1107" s="44" t="s">
        <v>31</v>
      </c>
      <c r="AM1107" s="128">
        <v>1284.7537251829945</v>
      </c>
      <c r="AN1107" s="128">
        <v>29.0</v>
      </c>
      <c r="AO1107" s="128">
        <v>1291.097196201226</v>
      </c>
      <c r="AP1107" s="128">
        <v>12.0</v>
      </c>
      <c r="AQ1107" s="128">
        <v>16.0</v>
      </c>
      <c r="AT1107" s="44">
        <v>1106.0</v>
      </c>
      <c r="AU1107" s="44"/>
      <c r="AW1107" s="93"/>
      <c r="AY1107" s="93"/>
      <c r="AZ1107" s="93"/>
      <c r="BA1107" s="93"/>
      <c r="BB1107" s="155"/>
      <c r="BC1107" s="93"/>
      <c r="BE1107" s="93"/>
      <c r="BG1107" s="93"/>
      <c r="BH1107" s="93"/>
      <c r="BI1107" s="93"/>
      <c r="BJ1107" s="155"/>
      <c r="BK1107" s="93"/>
    </row>
    <row r="1108">
      <c r="A1108" s="166">
        <v>44680.03810951389</v>
      </c>
      <c r="B1108" s="44" t="s">
        <v>123</v>
      </c>
      <c r="C1108" s="128">
        <v>754.9353681501677</v>
      </c>
      <c r="D1108" s="128">
        <v>10.0</v>
      </c>
      <c r="E1108" s="128">
        <v>748.423102814418</v>
      </c>
      <c r="F1108" s="44" t="s">
        <v>572</v>
      </c>
      <c r="G1108" s="128">
        <v>983.2152405603073</v>
      </c>
      <c r="H1108" s="128">
        <v>7.0</v>
      </c>
      <c r="I1108" s="128">
        <v>974.9137398775074</v>
      </c>
      <c r="J1108" s="44" t="s">
        <v>50</v>
      </c>
      <c r="K1108" s="128">
        <v>1012.7447705275519</v>
      </c>
      <c r="L1108" s="128">
        <v>19.0</v>
      </c>
      <c r="M1108" s="128">
        <v>1009.4009478751112</v>
      </c>
      <c r="N1108" s="44" t="s">
        <v>27</v>
      </c>
      <c r="O1108" s="128">
        <v>1252.7603972593195</v>
      </c>
      <c r="P1108" s="128">
        <v>23.0</v>
      </c>
      <c r="Q1108" s="128">
        <v>1250.9179859303097</v>
      </c>
      <c r="V1108" s="44" t="s">
        <v>125</v>
      </c>
      <c r="W1108" s="128">
        <v>680.0486913346949</v>
      </c>
      <c r="X1108" s="128">
        <v>10.0</v>
      </c>
      <c r="Y1108" s="128">
        <v>681.8927069455677</v>
      </c>
      <c r="Z1108" s="44" t="s">
        <v>112</v>
      </c>
      <c r="AA1108" s="128">
        <v>968.8066618626484</v>
      </c>
      <c r="AB1108" s="128">
        <v>14.0</v>
      </c>
      <c r="AC1108" s="128">
        <v>971.2724993372514</v>
      </c>
      <c r="AD1108" s="44" t="s">
        <v>61</v>
      </c>
      <c r="AE1108" s="128">
        <v>1065.5353849875157</v>
      </c>
      <c r="AF1108" s="128">
        <v>27.0</v>
      </c>
      <c r="AG1108" s="128">
        <v>1073.2468691719805</v>
      </c>
      <c r="AH1108" s="44" t="s">
        <v>31</v>
      </c>
      <c r="AI1108" s="128">
        <v>1291.097196201226</v>
      </c>
      <c r="AJ1108" s="128">
        <v>28.0</v>
      </c>
      <c r="AK1108" s="128">
        <v>1299.0758589312857</v>
      </c>
      <c r="AP1108" s="128">
        <v>12.0</v>
      </c>
      <c r="AQ1108" s="128">
        <v>15.0</v>
      </c>
      <c r="AT1108" s="44">
        <v>1107.0</v>
      </c>
      <c r="AU1108" s="44"/>
      <c r="AW1108" s="93"/>
      <c r="AY1108" s="93"/>
      <c r="AZ1108" s="93"/>
      <c r="BA1108" s="93"/>
      <c r="BB1108" s="155"/>
      <c r="BC1108" s="93"/>
      <c r="BE1108" s="93"/>
      <c r="BG1108" s="93"/>
      <c r="BH1108" s="93"/>
      <c r="BI1108" s="93"/>
      <c r="BJ1108" s="155"/>
      <c r="BK1108" s="93"/>
    </row>
    <row r="1109">
      <c r="A1109" s="166">
        <v>44680.94724849537</v>
      </c>
      <c r="B1109" s="44" t="s">
        <v>125</v>
      </c>
      <c r="C1109" s="128">
        <v>681.8927069455677</v>
      </c>
      <c r="D1109" s="128">
        <v>13.0</v>
      </c>
      <c r="E1109" s="128">
        <v>683.0354455102698</v>
      </c>
      <c r="F1109" s="44" t="s">
        <v>92</v>
      </c>
      <c r="G1109" s="128">
        <v>1057.862080386437</v>
      </c>
      <c r="H1109" s="128">
        <v>14.0</v>
      </c>
      <c r="I1109" s="128">
        <v>1058.5564649199885</v>
      </c>
      <c r="J1109" s="44" t="s">
        <v>61</v>
      </c>
      <c r="K1109" s="128">
        <v>1073.2468691719805</v>
      </c>
      <c r="L1109" s="128">
        <v>18.0</v>
      </c>
      <c r="M1109" s="128">
        <v>1074.7631057320248</v>
      </c>
      <c r="N1109" s="44" t="s">
        <v>23</v>
      </c>
      <c r="O1109" s="128">
        <v>1297.414068450977</v>
      </c>
      <c r="P1109" s="128">
        <v>43.0</v>
      </c>
      <c r="Q1109" s="128">
        <v>1304.0607087926794</v>
      </c>
      <c r="V1109" s="44" t="s">
        <v>123</v>
      </c>
      <c r="W1109" s="128">
        <v>748.423102814418</v>
      </c>
      <c r="X1109" s="128">
        <v>11.0</v>
      </c>
      <c r="Y1109" s="128">
        <v>744.5782207129381</v>
      </c>
      <c r="Z1109" s="44" t="s">
        <v>88</v>
      </c>
      <c r="AA1109" s="128">
        <v>1007.1637493990439</v>
      </c>
      <c r="AB1109" s="128">
        <v>21.0</v>
      </c>
      <c r="AC1109" s="128">
        <v>1005.0234637025331</v>
      </c>
      <c r="AD1109" s="44" t="s">
        <v>47</v>
      </c>
      <c r="AE1109" s="128">
        <v>1051.8186805576474</v>
      </c>
      <c r="AF1109" s="128">
        <v>15.0</v>
      </c>
      <c r="AG1109" s="128">
        <v>1048.3934436316927</v>
      </c>
      <c r="AH1109" s="44" t="s">
        <v>31</v>
      </c>
      <c r="AI1109" s="128">
        <v>1299.0758589312857</v>
      </c>
      <c r="AJ1109" s="128">
        <v>29.0</v>
      </c>
      <c r="AK1109" s="128">
        <v>1298.4862636552311</v>
      </c>
      <c r="AP1109" s="128">
        <v>15.0</v>
      </c>
      <c r="AQ1109" s="128">
        <v>13.0</v>
      </c>
      <c r="AT1109" s="44">
        <v>1108.0</v>
      </c>
      <c r="AU1109" s="44"/>
      <c r="AW1109" s="93"/>
      <c r="AY1109" s="93"/>
      <c r="AZ1109" s="93"/>
      <c r="BA1109" s="93"/>
      <c r="BB1109" s="155"/>
      <c r="BC1109" s="93"/>
      <c r="BE1109" s="93"/>
      <c r="BG1109" s="93"/>
      <c r="BH1109" s="93"/>
      <c r="BI1109" s="93"/>
      <c r="BJ1109" s="155"/>
      <c r="BK1109" s="93"/>
    </row>
    <row r="1110">
      <c r="A1110" s="166">
        <v>44680.98382824074</v>
      </c>
      <c r="B1110" s="44" t="s">
        <v>125</v>
      </c>
      <c r="C1110" s="128">
        <v>683.0354455102698</v>
      </c>
      <c r="D1110" s="128">
        <v>12.0</v>
      </c>
      <c r="E1110" s="128">
        <v>679.611071849751</v>
      </c>
      <c r="F1110" s="44" t="s">
        <v>47</v>
      </c>
      <c r="G1110" s="128">
        <v>1048.3934436316927</v>
      </c>
      <c r="H1110" s="128">
        <v>22.0</v>
      </c>
      <c r="I1110" s="128">
        <v>1046.512359960053</v>
      </c>
      <c r="J1110" s="44" t="s">
        <v>61</v>
      </c>
      <c r="K1110" s="128">
        <v>1074.7631057320248</v>
      </c>
      <c r="L1110" s="128">
        <v>22.0</v>
      </c>
      <c r="M1110" s="128">
        <v>1072.8651280519796</v>
      </c>
      <c r="N1110" s="44" t="s">
        <v>23</v>
      </c>
      <c r="O1110" s="128">
        <v>1304.0607087926794</v>
      </c>
      <c r="P1110" s="128">
        <v>18.0</v>
      </c>
      <c r="Q1110" s="128">
        <v>1301.2641438048831</v>
      </c>
      <c r="V1110" s="44" t="s">
        <v>123</v>
      </c>
      <c r="W1110" s="128">
        <v>744.5782207129381</v>
      </c>
      <c r="X1110" s="128">
        <v>12.0</v>
      </c>
      <c r="Y1110" s="128">
        <v>745.7554739994775</v>
      </c>
      <c r="Z1110" s="44" t="s">
        <v>88</v>
      </c>
      <c r="AA1110" s="128">
        <v>1005.0234637025331</v>
      </c>
      <c r="AB1110" s="128">
        <v>17.0</v>
      </c>
      <c r="AC1110" s="128">
        <v>1006.8396210991718</v>
      </c>
      <c r="AD1110" s="44" t="s">
        <v>92</v>
      </c>
      <c r="AE1110" s="128">
        <v>1058.5564649199885</v>
      </c>
      <c r="AF1110" s="128">
        <v>22.0</v>
      </c>
      <c r="AG1110" s="128">
        <v>1061.370837667836</v>
      </c>
      <c r="AH1110" s="44" t="s">
        <v>31</v>
      </c>
      <c r="AI1110" s="128">
        <v>1298.4862636552311</v>
      </c>
      <c r="AJ1110" s="128">
        <v>29.0</v>
      </c>
      <c r="AK1110" s="128">
        <v>1302.6784802242055</v>
      </c>
      <c r="AP1110" s="128">
        <v>13.0</v>
      </c>
      <c r="AQ1110" s="128">
        <v>15.0</v>
      </c>
      <c r="AT1110" s="44">
        <v>1109.0</v>
      </c>
      <c r="AU1110" s="44"/>
      <c r="AW1110" s="93"/>
      <c r="AY1110" s="93"/>
      <c r="AZ1110" s="93"/>
      <c r="BA1110" s="93"/>
      <c r="BB1110" s="155"/>
      <c r="BC1110" s="93"/>
      <c r="BE1110" s="93"/>
      <c r="BG1110" s="93"/>
      <c r="BH1110" s="93"/>
      <c r="BI1110" s="93"/>
      <c r="BJ1110" s="155"/>
      <c r="BK1110" s="93"/>
    </row>
    <row r="1111">
      <c r="A1111" s="166">
        <v>44681.023894247686</v>
      </c>
      <c r="B1111" s="44" t="s">
        <v>125</v>
      </c>
      <c r="C1111" s="128">
        <v>679.621071849751</v>
      </c>
      <c r="D1111" s="128">
        <v>14.0</v>
      </c>
      <c r="E1111" s="128">
        <v>674.355201960891</v>
      </c>
      <c r="F1111" s="44" t="s">
        <v>34</v>
      </c>
      <c r="G1111" s="128">
        <v>1052.2613612738257</v>
      </c>
      <c r="H1111" s="128">
        <v>11.0</v>
      </c>
      <c r="I1111" s="128">
        <v>1044.7660650329888</v>
      </c>
      <c r="J1111" s="44" t="s">
        <v>61</v>
      </c>
      <c r="K1111" s="128">
        <v>1072.8751280519796</v>
      </c>
      <c r="L1111" s="128">
        <v>20.0</v>
      </c>
      <c r="M1111" s="128">
        <v>1069.106434586827</v>
      </c>
      <c r="N1111" s="44" t="s">
        <v>23</v>
      </c>
      <c r="O1111" s="128">
        <v>1301.2741438048831</v>
      </c>
      <c r="P1111" s="128">
        <v>21.0</v>
      </c>
      <c r="Q1111" s="128">
        <v>1297.804003399733</v>
      </c>
      <c r="V1111" s="44" t="s">
        <v>123</v>
      </c>
      <c r="W1111" s="128">
        <v>745.7654739994775</v>
      </c>
      <c r="X1111" s="128">
        <v>12.0</v>
      </c>
      <c r="Y1111" s="128">
        <v>748.1111912554313</v>
      </c>
      <c r="Z1111" s="44" t="s">
        <v>88</v>
      </c>
      <c r="AA1111" s="128">
        <v>1006.8496210991718</v>
      </c>
      <c r="AB1111" s="128">
        <v>21.0</v>
      </c>
      <c r="AC1111" s="128">
        <v>1012.1436740620633</v>
      </c>
      <c r="AD1111" s="44" t="s">
        <v>47</v>
      </c>
      <c r="AE1111" s="128">
        <v>1046.5223599600529</v>
      </c>
      <c r="AF1111" s="128">
        <v>14.0</v>
      </c>
      <c r="AG1111" s="128">
        <v>1048.8337589871444</v>
      </c>
      <c r="AH1111" s="44" t="s">
        <v>31</v>
      </c>
      <c r="AI1111" s="128">
        <v>1302.6884802242055</v>
      </c>
      <c r="AJ1111" s="128">
        <v>33.0</v>
      </c>
      <c r="AK1111" s="128">
        <v>1312.7373109782686</v>
      </c>
      <c r="AP1111" s="128">
        <v>11.0</v>
      </c>
      <c r="AQ1111" s="128">
        <v>17.0</v>
      </c>
      <c r="AT1111" s="44">
        <v>1110.0</v>
      </c>
      <c r="AU1111" s="44"/>
      <c r="AW1111" s="93"/>
      <c r="AY1111" s="93"/>
      <c r="AZ1111" s="93"/>
      <c r="BA1111" s="93"/>
      <c r="BB1111" s="155"/>
      <c r="BC1111" s="93"/>
      <c r="BE1111" s="93"/>
      <c r="BG1111" s="93"/>
      <c r="BH1111" s="93"/>
      <c r="BI1111" s="93"/>
      <c r="BJ1111" s="155"/>
      <c r="BK1111" s="93"/>
    </row>
    <row r="1112">
      <c r="A1112" s="166">
        <v>44681.06118672453</v>
      </c>
      <c r="B1112" s="44" t="s">
        <v>125</v>
      </c>
      <c r="C1112" s="128">
        <v>674.355201960891</v>
      </c>
      <c r="D1112" s="128">
        <v>12.0</v>
      </c>
      <c r="E1112" s="128">
        <v>667.8971691174877</v>
      </c>
      <c r="F1112" s="44" t="s">
        <v>47</v>
      </c>
      <c r="G1112" s="128">
        <v>1048.8337589871444</v>
      </c>
      <c r="H1112" s="128">
        <v>13.0</v>
      </c>
      <c r="I1112" s="128">
        <v>1041.7412983301401</v>
      </c>
      <c r="J1112" s="44" t="s">
        <v>61</v>
      </c>
      <c r="K1112" s="128">
        <v>1069.106434586827</v>
      </c>
      <c r="L1112" s="128">
        <v>23.0</v>
      </c>
      <c r="M1112" s="128">
        <v>1066.1557851728012</v>
      </c>
      <c r="N1112" s="44" t="s">
        <v>31</v>
      </c>
      <c r="O1112" s="128">
        <v>1312.7373109782686</v>
      </c>
      <c r="P1112" s="128">
        <v>22.0</v>
      </c>
      <c r="Q1112" s="128">
        <v>1309.238453892702</v>
      </c>
      <c r="V1112" s="44" t="s">
        <v>123</v>
      </c>
      <c r="W1112" s="128">
        <v>748.1111912554313</v>
      </c>
      <c r="X1112" s="128">
        <v>15.0</v>
      </c>
      <c r="Y1112" s="128">
        <v>750.7384325967666</v>
      </c>
      <c r="Z1112" s="44" t="s">
        <v>88</v>
      </c>
      <c r="AA1112" s="128">
        <v>1012.1436740620633</v>
      </c>
      <c r="AB1112" s="128">
        <v>15.0</v>
      </c>
      <c r="AC1112" s="128">
        <v>1013.8759147544841</v>
      </c>
      <c r="AD1112" s="44" t="s">
        <v>34</v>
      </c>
      <c r="AE1112" s="128">
        <v>1044.7660650329888</v>
      </c>
      <c r="AF1112" s="128">
        <v>35.0</v>
      </c>
      <c r="AG1112" s="128">
        <v>1054.771439074503</v>
      </c>
      <c r="AH1112" s="44" t="s">
        <v>23</v>
      </c>
      <c r="AI1112" s="128">
        <v>1297.804003399733</v>
      </c>
      <c r="AJ1112" s="128">
        <v>25.0</v>
      </c>
      <c r="AK1112" s="128">
        <v>1303.4391473244625</v>
      </c>
      <c r="AP1112" s="128">
        <v>10.0</v>
      </c>
      <c r="AQ1112" s="128">
        <v>18.0</v>
      </c>
      <c r="AT1112" s="44">
        <v>1111.0</v>
      </c>
      <c r="AU1112" s="44"/>
      <c r="AW1112" s="93"/>
      <c r="AY1112" s="93"/>
      <c r="AZ1112" s="93"/>
      <c r="BA1112" s="93"/>
      <c r="BB1112" s="155"/>
      <c r="BC1112" s="93"/>
      <c r="BE1112" s="93"/>
      <c r="BG1112" s="93"/>
      <c r="BH1112" s="93"/>
      <c r="BI1112" s="93"/>
      <c r="BJ1112" s="155"/>
      <c r="BK1112" s="93"/>
    </row>
    <row r="1113">
      <c r="A1113" s="166">
        <v>44681.95707653935</v>
      </c>
      <c r="B1113" s="44" t="s">
        <v>123</v>
      </c>
      <c r="C1113" s="128">
        <v>750.7384325967666</v>
      </c>
      <c r="D1113" s="128">
        <v>12.0</v>
      </c>
      <c r="E1113" s="128">
        <v>752.608708701776</v>
      </c>
      <c r="F1113" s="44" t="s">
        <v>61</v>
      </c>
      <c r="G1113" s="128">
        <v>1066.1557851728012</v>
      </c>
      <c r="H1113" s="128">
        <v>23.0</v>
      </c>
      <c r="I1113" s="128">
        <v>1070.5418664627778</v>
      </c>
      <c r="J1113" s="44" t="s">
        <v>27</v>
      </c>
      <c r="K1113" s="128">
        <v>1250.9179859303097</v>
      </c>
      <c r="L1113" s="128">
        <v>21.0</v>
      </c>
      <c r="M1113" s="128">
        <v>1254.6616285353236</v>
      </c>
      <c r="N1113" s="44"/>
      <c r="O1113" s="128"/>
      <c r="P1113" s="128"/>
      <c r="Q1113" s="128"/>
      <c r="V1113" s="44" t="s">
        <v>50</v>
      </c>
      <c r="W1113" s="128">
        <v>1009.4009478751112</v>
      </c>
      <c r="X1113" s="128">
        <v>21.0</v>
      </c>
      <c r="Y1113" s="128">
        <v>1006.5435924799654</v>
      </c>
      <c r="Z1113" s="44" t="s">
        <v>88</v>
      </c>
      <c r="AA1113" s="128">
        <v>1013.8759147544841</v>
      </c>
      <c r="AB1113" s="128">
        <v>15.0</v>
      </c>
      <c r="AC1113" s="128">
        <v>1009.3468528075877</v>
      </c>
      <c r="AD1113" s="44" t="s">
        <v>47</v>
      </c>
      <c r="AE1113" s="128">
        <v>1041.7412983301401</v>
      </c>
      <c r="AF1113" s="128">
        <v>22.0</v>
      </c>
      <c r="AG1113" s="128">
        <v>1039.1277156721824</v>
      </c>
      <c r="AH1113" s="44"/>
      <c r="AI1113" s="128"/>
      <c r="AJ1113" s="128"/>
      <c r="AK1113" s="128"/>
      <c r="AP1113" s="128">
        <v>14.0</v>
      </c>
      <c r="AQ1113" s="128">
        <v>13.0</v>
      </c>
      <c r="AT1113" s="44">
        <v>1112.0</v>
      </c>
      <c r="AU1113" s="44"/>
      <c r="AW1113" s="93"/>
      <c r="AY1113" s="93"/>
      <c r="AZ1113" s="93"/>
      <c r="BA1113" s="93"/>
      <c r="BB1113" s="155"/>
      <c r="BC1113" s="93"/>
      <c r="BE1113" s="93"/>
      <c r="BG1113" s="93"/>
      <c r="BH1113" s="93"/>
      <c r="BI1113" s="93"/>
      <c r="BJ1113" s="155"/>
      <c r="BK1113" s="93"/>
    </row>
    <row r="1114">
      <c r="A1114" s="166">
        <v>44681.991690243056</v>
      </c>
      <c r="B1114" s="44" t="s">
        <v>125</v>
      </c>
      <c r="C1114" s="128">
        <v>667.8971691174877</v>
      </c>
      <c r="D1114" s="128">
        <v>7.0</v>
      </c>
      <c r="E1114" s="128">
        <v>660.7804190863119</v>
      </c>
      <c r="F1114" s="44" t="s">
        <v>61</v>
      </c>
      <c r="G1114" s="128">
        <v>1070.5418664627778</v>
      </c>
      <c r="H1114" s="128">
        <v>15.0</v>
      </c>
      <c r="I1114" s="128">
        <v>1066.145316870393</v>
      </c>
      <c r="J1114" s="44" t="s">
        <v>27</v>
      </c>
      <c r="K1114" s="128">
        <v>1254.6616285353236</v>
      </c>
      <c r="L1114" s="128">
        <v>15.0</v>
      </c>
      <c r="M1114" s="128">
        <v>1250.1749281588843</v>
      </c>
      <c r="N1114" s="44"/>
      <c r="O1114" s="128"/>
      <c r="P1114" s="128"/>
      <c r="Q1114" s="128"/>
      <c r="V1114" s="44" t="s">
        <v>50</v>
      </c>
      <c r="W1114" s="128">
        <v>1006.5435924799654</v>
      </c>
      <c r="X1114" s="128">
        <v>24.0</v>
      </c>
      <c r="Y1114" s="128">
        <v>1012.7888418385645</v>
      </c>
      <c r="Z1114" s="44" t="s">
        <v>88</v>
      </c>
      <c r="AA1114" s="128">
        <v>1009.3468528075877</v>
      </c>
      <c r="AB1114" s="128">
        <v>22.0</v>
      </c>
      <c r="AC1114" s="128">
        <v>1014.6973636167322</v>
      </c>
      <c r="AD1114" s="44" t="s">
        <v>47</v>
      </c>
      <c r="AE1114" s="128">
        <v>1039.1277156721824</v>
      </c>
      <c r="AF1114" s="128">
        <v>20.0</v>
      </c>
      <c r="AG1114" s="128">
        <v>1043.5319555044387</v>
      </c>
      <c r="AH1114" s="44"/>
      <c r="AI1114" s="128"/>
      <c r="AJ1114" s="128"/>
      <c r="AK1114" s="128"/>
      <c r="AP1114" s="128">
        <v>10.0</v>
      </c>
      <c r="AQ1114" s="128">
        <v>18.0</v>
      </c>
      <c r="AT1114" s="44">
        <v>1113.0</v>
      </c>
      <c r="AU1114" s="44"/>
      <c r="AW1114" s="93"/>
      <c r="AY1114" s="93"/>
      <c r="AZ1114" s="93"/>
      <c r="BA1114" s="93"/>
      <c r="BB1114" s="155"/>
      <c r="BC1114" s="93"/>
      <c r="BE1114" s="93"/>
      <c r="BG1114" s="93"/>
      <c r="BH1114" s="93"/>
      <c r="BI1114" s="93"/>
      <c r="BJ1114" s="155"/>
      <c r="BK1114" s="93"/>
    </row>
    <row r="1115">
      <c r="A1115" s="166">
        <v>44684.97846212963</v>
      </c>
      <c r="B1115" s="44" t="s">
        <v>125</v>
      </c>
      <c r="C1115" s="128">
        <v>660.7804190863119</v>
      </c>
      <c r="D1115" s="128">
        <v>14.0</v>
      </c>
      <c r="E1115" s="128">
        <v>657.8452293383843</v>
      </c>
      <c r="F1115" s="44" t="s">
        <v>47</v>
      </c>
      <c r="G1115" s="128">
        <v>1043.5319555044387</v>
      </c>
      <c r="H1115" s="128">
        <v>15.0</v>
      </c>
      <c r="I1115" s="128">
        <v>1040.2335897075363</v>
      </c>
      <c r="J1115" s="44" t="s">
        <v>34</v>
      </c>
      <c r="K1115" s="128">
        <v>1054.771439074503</v>
      </c>
      <c r="L1115" s="128">
        <v>26.0</v>
      </c>
      <c r="M1115" s="128">
        <v>1053.7571664107</v>
      </c>
      <c r="N1115" s="44" t="s">
        <v>27</v>
      </c>
      <c r="O1115" s="128">
        <v>1250.1749281588843</v>
      </c>
      <c r="P1115" s="128">
        <v>18.0</v>
      </c>
      <c r="Q1115" s="128">
        <v>1247.4227563675172</v>
      </c>
      <c r="V1115" s="44" t="s">
        <v>123</v>
      </c>
      <c r="W1115" s="128">
        <v>752.608708701776</v>
      </c>
      <c r="X1115" s="128">
        <v>20.0</v>
      </c>
      <c r="Y1115" s="128">
        <v>755.339734258523</v>
      </c>
      <c r="Z1115" s="44" t="s">
        <v>92</v>
      </c>
      <c r="AA1115" s="128">
        <v>1061.370837667836</v>
      </c>
      <c r="AB1115" s="128">
        <v>21.0</v>
      </c>
      <c r="AC1115" s="128">
        <v>1063.8771000897307</v>
      </c>
      <c r="AD1115" s="44" t="s">
        <v>61</v>
      </c>
      <c r="AE1115" s="128">
        <v>1066.145316870393</v>
      </c>
      <c r="AF1115" s="128">
        <v>20.0</v>
      </c>
      <c r="AG1115" s="128">
        <v>1068.439953616494</v>
      </c>
      <c r="AH1115" s="44" t="s">
        <v>38</v>
      </c>
      <c r="AI1115" s="128">
        <v>1127.7229811396014</v>
      </c>
      <c r="AJ1115" s="128">
        <v>21.0</v>
      </c>
      <c r="AK1115" s="128">
        <v>1130.1910564148586</v>
      </c>
      <c r="AP1115" s="128">
        <v>13.0</v>
      </c>
      <c r="AQ1115" s="128">
        <v>15.0</v>
      </c>
      <c r="AT1115" s="44">
        <v>1114.0</v>
      </c>
      <c r="AU1115" s="44"/>
      <c r="AW1115" s="93"/>
      <c r="AY1115" s="93"/>
      <c r="AZ1115" s="93"/>
      <c r="BA1115" s="93"/>
      <c r="BB1115" s="155"/>
      <c r="BC1115" s="93"/>
      <c r="BE1115" s="93"/>
      <c r="BG1115" s="93"/>
      <c r="BH1115" s="93"/>
      <c r="BI1115" s="93"/>
      <c r="BJ1115" s="155"/>
      <c r="BK1115" s="93"/>
    </row>
    <row r="1116">
      <c r="A1116" s="166">
        <v>44685.04136596065</v>
      </c>
      <c r="B1116" s="44" t="s">
        <v>125</v>
      </c>
      <c r="C1116" s="128">
        <v>657.8452293383843</v>
      </c>
      <c r="D1116" s="128">
        <v>24.0</v>
      </c>
      <c r="E1116" s="128">
        <v>655.0402507741427</v>
      </c>
      <c r="F1116" s="44" t="s">
        <v>61</v>
      </c>
      <c r="G1116" s="128">
        <v>1068.439953616494</v>
      </c>
      <c r="H1116" s="128">
        <v>39.0</v>
      </c>
      <c r="I1116" s="128">
        <v>1067.2814075022727</v>
      </c>
      <c r="J1116" s="44" t="s">
        <v>38</v>
      </c>
      <c r="K1116" s="128">
        <v>1130.1910564148586</v>
      </c>
      <c r="L1116" s="128">
        <v>34.0</v>
      </c>
      <c r="M1116" s="128">
        <v>1128.1545810933217</v>
      </c>
      <c r="N1116" s="44"/>
      <c r="O1116" s="128"/>
      <c r="P1116" s="128"/>
      <c r="Q1116" s="128"/>
      <c r="V1116" s="44" t="s">
        <v>47</v>
      </c>
      <c r="W1116" s="128">
        <v>1040.2335897075363</v>
      </c>
      <c r="X1116" s="128">
        <v>34.0</v>
      </c>
      <c r="Y1116" s="128">
        <v>1041.5803021111954</v>
      </c>
      <c r="Z1116" s="44" t="s">
        <v>34</v>
      </c>
      <c r="AA1116" s="128">
        <v>1053.7571664107</v>
      </c>
      <c r="AB1116" s="128">
        <v>40.0</v>
      </c>
      <c r="AC1116" s="128">
        <v>1056.089019333379</v>
      </c>
      <c r="AD1116" s="44" t="s">
        <v>92</v>
      </c>
      <c r="AE1116" s="128">
        <v>1063.8771000897307</v>
      </c>
      <c r="AF1116" s="128">
        <v>40.0</v>
      </c>
      <c r="AG1116" s="128">
        <v>1066.1985347633927</v>
      </c>
      <c r="AH1116" s="44"/>
      <c r="AI1116" s="128"/>
      <c r="AJ1116" s="128"/>
      <c r="AK1116" s="128"/>
      <c r="AP1116" s="128">
        <v>24.0</v>
      </c>
      <c r="AQ1116" s="128">
        <v>32.0</v>
      </c>
      <c r="AT1116" s="44">
        <v>1115.0</v>
      </c>
      <c r="AU1116" s="44"/>
      <c r="AW1116" s="93"/>
      <c r="AY1116" s="93"/>
      <c r="AZ1116" s="93"/>
      <c r="BA1116" s="93"/>
      <c r="BB1116" s="155"/>
      <c r="BC1116" s="93"/>
      <c r="BE1116" s="93"/>
      <c r="BG1116" s="93"/>
      <c r="BH1116" s="93"/>
      <c r="BI1116" s="93"/>
      <c r="BJ1116" s="155"/>
      <c r="BK1116" s="93"/>
    </row>
    <row r="1117">
      <c r="A1117" s="166">
        <v>44685.95895302083</v>
      </c>
      <c r="B1117" s="44" t="s">
        <v>112</v>
      </c>
      <c r="C1117" s="128">
        <v>971.2724993372514</v>
      </c>
      <c r="D1117" s="128">
        <v>16.0</v>
      </c>
      <c r="E1117" s="128">
        <v>967.5322560948904</v>
      </c>
      <c r="F1117" s="44" t="s">
        <v>47</v>
      </c>
      <c r="G1117" s="128">
        <v>1041.5803021111954</v>
      </c>
      <c r="H1117" s="128">
        <v>12.0</v>
      </c>
      <c r="I1117" s="128">
        <v>1036.655007306031</v>
      </c>
      <c r="J1117" s="44" t="s">
        <v>92</v>
      </c>
      <c r="K1117" s="128">
        <v>1066.1985347633927</v>
      </c>
      <c r="L1117" s="128">
        <v>25.0</v>
      </c>
      <c r="M1117" s="128">
        <v>1064.8640728109183</v>
      </c>
      <c r="N1117" s="44"/>
      <c r="O1117" s="128"/>
      <c r="P1117" s="128"/>
      <c r="Q1117" s="128"/>
      <c r="V1117" s="44" t="s">
        <v>50</v>
      </c>
      <c r="W1117" s="128">
        <v>1012.7888418385645</v>
      </c>
      <c r="X1117" s="128">
        <v>18.0</v>
      </c>
      <c r="Y1117" s="128">
        <v>1015.8592726839859</v>
      </c>
      <c r="Z1117" s="44" t="s">
        <v>88</v>
      </c>
      <c r="AA1117" s="128">
        <v>1014.6973636167322</v>
      </c>
      <c r="AB1117" s="128">
        <v>16.0</v>
      </c>
      <c r="AC1117" s="128">
        <v>1017.2101599556753</v>
      </c>
      <c r="AD1117" s="44" t="s">
        <v>34</v>
      </c>
      <c r="AE1117" s="128">
        <v>1056.089019333379</v>
      </c>
      <c r="AF1117" s="128">
        <v>23.0</v>
      </c>
      <c r="AG1117" s="128">
        <v>1060.5057921490145</v>
      </c>
      <c r="AH1117" s="44"/>
      <c r="AI1117" s="128"/>
      <c r="AJ1117" s="128"/>
      <c r="AK1117" s="128"/>
      <c r="AP1117" s="128">
        <v>13.0</v>
      </c>
      <c r="AQ1117" s="128">
        <v>15.0</v>
      </c>
      <c r="AS1117" s="44" t="s">
        <v>231</v>
      </c>
      <c r="AT1117" s="44">
        <v>1116.0</v>
      </c>
      <c r="AU1117" s="44"/>
      <c r="AW1117" s="93"/>
      <c r="AY1117" s="93"/>
      <c r="AZ1117" s="93"/>
      <c r="BA1117" s="93"/>
      <c r="BB1117" s="155"/>
      <c r="BC1117" s="93"/>
      <c r="BE1117" s="93"/>
      <c r="BG1117" s="93"/>
      <c r="BH1117" s="93"/>
      <c r="BI1117" s="93"/>
      <c r="BJ1117" s="155"/>
      <c r="BK1117" s="93"/>
    </row>
    <row r="1118">
      <c r="A1118" s="166">
        <v>44686.00553148148</v>
      </c>
      <c r="B1118" s="44" t="s">
        <v>125</v>
      </c>
      <c r="C1118" s="128">
        <v>655.0402507741427</v>
      </c>
      <c r="D1118" s="128">
        <v>13.0</v>
      </c>
      <c r="E1118" s="128">
        <v>656.5265059725215</v>
      </c>
      <c r="F1118" s="44" t="s">
        <v>112</v>
      </c>
      <c r="G1118" s="128">
        <v>967.5322560948904</v>
      </c>
      <c r="H1118" s="128">
        <v>26.0</v>
      </c>
      <c r="I1118" s="128">
        <v>970.7526671462043</v>
      </c>
      <c r="J1118" s="44" t="s">
        <v>47</v>
      </c>
      <c r="K1118" s="128">
        <v>1036.655007306031</v>
      </c>
      <c r="L1118" s="128">
        <v>23.0</v>
      </c>
      <c r="M1118" s="128">
        <v>1039.3267148298262</v>
      </c>
      <c r="N1118" s="44" t="s">
        <v>245</v>
      </c>
      <c r="O1118" s="128">
        <v>1060.7921028208366</v>
      </c>
      <c r="P1118" s="128">
        <v>25.0</v>
      </c>
      <c r="Q1118" s="128">
        <v>1063.783793414677</v>
      </c>
      <c r="R1118" s="44" t="s">
        <v>38</v>
      </c>
      <c r="S1118" s="128">
        <v>1128.1545810933217</v>
      </c>
      <c r="T1118" s="44">
        <v>10.0</v>
      </c>
      <c r="U1118" s="128">
        <v>1128.1645810933217</v>
      </c>
      <c r="V1118" s="44" t="s">
        <v>123</v>
      </c>
      <c r="W1118" s="128">
        <v>755.339734258523</v>
      </c>
      <c r="X1118" s="128">
        <v>12.0</v>
      </c>
      <c r="Y1118" s="128">
        <v>752.7234902465776</v>
      </c>
      <c r="Z1118" s="44" t="s">
        <v>600</v>
      </c>
      <c r="AA1118" s="128">
        <v>1000.0</v>
      </c>
      <c r="AB1118" s="128">
        <v>9.0</v>
      </c>
      <c r="AC1118" s="128">
        <v>996.626043082044</v>
      </c>
      <c r="AD1118" s="44" t="s">
        <v>50</v>
      </c>
      <c r="AE1118" s="128">
        <v>1015.8592726839859</v>
      </c>
      <c r="AF1118" s="128">
        <v>19.0</v>
      </c>
      <c r="AG1118" s="128">
        <v>1014.1420463580064</v>
      </c>
      <c r="AH1118" s="44" t="s">
        <v>88</v>
      </c>
      <c r="AI1118" s="128">
        <v>1017.2101599556753</v>
      </c>
      <c r="AJ1118" s="128">
        <v>33.0</v>
      </c>
      <c r="AK1118" s="128">
        <v>1017.2001599556753</v>
      </c>
      <c r="AL1118" s="44" t="s">
        <v>34</v>
      </c>
      <c r="AM1118" s="128">
        <v>1060.5057921490145</v>
      </c>
      <c r="AN1118" s="128">
        <v>12.0</v>
      </c>
      <c r="AO1118" s="128">
        <v>1057.5979234087436</v>
      </c>
      <c r="AP1118" s="128">
        <v>15.0</v>
      </c>
      <c r="AQ1118" s="128">
        <v>13.0</v>
      </c>
      <c r="AS1118" s="44" t="s">
        <v>244</v>
      </c>
      <c r="AT1118" s="44">
        <v>1117.0</v>
      </c>
      <c r="AU1118" s="44"/>
      <c r="AW1118" s="93"/>
      <c r="AY1118" s="93"/>
      <c r="AZ1118" s="93"/>
      <c r="BA1118" s="93"/>
      <c r="BB1118" s="155"/>
      <c r="BC1118" s="93"/>
      <c r="BE1118" s="93"/>
      <c r="BG1118" s="93"/>
      <c r="BH1118" s="93"/>
      <c r="BI1118" s="93"/>
      <c r="BJ1118" s="155"/>
      <c r="BK1118" s="93"/>
    </row>
    <row r="1119">
      <c r="A1119" s="166">
        <v>44686.93956672454</v>
      </c>
      <c r="B1119" s="44" t="s">
        <v>486</v>
      </c>
      <c r="C1119" s="128">
        <v>918.3395167785618</v>
      </c>
      <c r="D1119" s="128">
        <v>17.0</v>
      </c>
      <c r="E1119" s="128">
        <v>922.4705147406688</v>
      </c>
      <c r="F1119" s="44" t="s">
        <v>112</v>
      </c>
      <c r="G1119" s="128">
        <v>970.7526671462043</v>
      </c>
      <c r="H1119" s="128">
        <v>20.0</v>
      </c>
      <c r="I1119" s="128">
        <v>976.0107384143199</v>
      </c>
      <c r="J1119" s="44" t="s">
        <v>92</v>
      </c>
      <c r="K1119" s="128">
        <v>1064.8640728109183</v>
      </c>
      <c r="L1119" s="128">
        <v>23.0</v>
      </c>
      <c r="M1119" s="128">
        <v>1071.2127731177172</v>
      </c>
      <c r="N1119" s="44" t="s">
        <v>61</v>
      </c>
      <c r="O1119" s="128">
        <v>1067.2814075022727</v>
      </c>
      <c r="P1119" s="128">
        <v>18.0</v>
      </c>
      <c r="Q1119" s="128">
        <v>1071.543637965251</v>
      </c>
      <c r="V1119" s="44" t="s">
        <v>123</v>
      </c>
      <c r="W1119" s="128">
        <v>752.7234902465776</v>
      </c>
      <c r="X1119" s="128">
        <v>14.0</v>
      </c>
      <c r="Y1119" s="128">
        <v>748.078740198908</v>
      </c>
      <c r="Z1119" s="44" t="s">
        <v>600</v>
      </c>
      <c r="AA1119" s="128">
        <v>996.626043082044</v>
      </c>
      <c r="AB1119" s="128">
        <v>6.0</v>
      </c>
      <c r="AC1119" s="128">
        <v>988.1043575180361</v>
      </c>
      <c r="AD1119" s="44" t="s">
        <v>88</v>
      </c>
      <c r="AE1119" s="128">
        <v>1017.2001599556753</v>
      </c>
      <c r="AF1119" s="128">
        <v>16.0</v>
      </c>
      <c r="AG1119" s="128">
        <v>1012.8179823828559</v>
      </c>
      <c r="AH1119" s="44" t="s">
        <v>27</v>
      </c>
      <c r="AI1119" s="128">
        <v>1247.4227563675172</v>
      </c>
      <c r="AJ1119" s="128">
        <v>21.0</v>
      </c>
      <c r="AK1119" s="128">
        <v>1244.9713695520143</v>
      </c>
      <c r="AP1119" s="128">
        <v>17.0</v>
      </c>
      <c r="AQ1119" s="128">
        <v>11.0</v>
      </c>
      <c r="AS1119" s="44" t="s">
        <v>255</v>
      </c>
      <c r="AT1119" s="44">
        <v>1118.0</v>
      </c>
      <c r="AU1119" s="44"/>
      <c r="AW1119" s="93"/>
      <c r="AY1119" s="93"/>
      <c r="AZ1119" s="93"/>
      <c r="BA1119" s="93"/>
      <c r="BB1119" s="155"/>
      <c r="BC1119" s="93"/>
      <c r="BE1119" s="93"/>
      <c r="BG1119" s="93"/>
      <c r="BH1119" s="93"/>
      <c r="BI1119" s="93"/>
      <c r="BJ1119" s="155"/>
      <c r="BK1119" s="93"/>
    </row>
    <row r="1120">
      <c r="A1120" s="166">
        <v>44686.978037002315</v>
      </c>
      <c r="B1120" s="44" t="s">
        <v>486</v>
      </c>
      <c r="C1120" s="128">
        <v>922.4705147406688</v>
      </c>
      <c r="D1120" s="128">
        <v>22.0</v>
      </c>
      <c r="E1120" s="128">
        <v>920.0193722617397</v>
      </c>
      <c r="F1120" s="44" t="s">
        <v>600</v>
      </c>
      <c r="G1120" s="128">
        <v>988.1043575180361</v>
      </c>
      <c r="H1120" s="128">
        <v>5.0</v>
      </c>
      <c r="I1120" s="128">
        <v>979.5216130616059</v>
      </c>
      <c r="J1120" s="44" t="s">
        <v>88</v>
      </c>
      <c r="K1120" s="128">
        <v>1012.8179823828559</v>
      </c>
      <c r="L1120" s="128">
        <v>15.0</v>
      </c>
      <c r="M1120" s="128">
        <v>1007.7427724359562</v>
      </c>
      <c r="N1120" s="44" t="s">
        <v>61</v>
      </c>
      <c r="O1120" s="128">
        <v>1071.543637965251</v>
      </c>
      <c r="P1120" s="128">
        <v>27.0</v>
      </c>
      <c r="Q1120" s="128">
        <v>1070.6527348475101</v>
      </c>
      <c r="V1120" s="44" t="s">
        <v>123</v>
      </c>
      <c r="W1120" s="128">
        <v>748.078740198908</v>
      </c>
      <c r="X1120" s="128">
        <v>15.0</v>
      </c>
      <c r="Y1120" s="128">
        <v>750.0671670160191</v>
      </c>
      <c r="Z1120" s="44" t="s">
        <v>112</v>
      </c>
      <c r="AA1120" s="128">
        <v>976.0107384143199</v>
      </c>
      <c r="AB1120" s="128">
        <v>29.0</v>
      </c>
      <c r="AC1120" s="128">
        <v>982.2271838001367</v>
      </c>
      <c r="AD1120" s="44" t="s">
        <v>92</v>
      </c>
      <c r="AE1120" s="128">
        <v>1071.2127731177172</v>
      </c>
      <c r="AF1120" s="128">
        <v>33.0</v>
      </c>
      <c r="AG1120" s="128">
        <v>1078.6852753180544</v>
      </c>
      <c r="AH1120" s="44" t="s">
        <v>27</v>
      </c>
      <c r="AI1120" s="128">
        <v>1244.9713695520143</v>
      </c>
      <c r="AJ1120" s="128">
        <v>16.0</v>
      </c>
      <c r="AK1120" s="128">
        <v>1246.293995148749</v>
      </c>
      <c r="AP1120" s="128">
        <v>10.0</v>
      </c>
      <c r="AQ1120" s="128">
        <v>18.0</v>
      </c>
      <c r="AS1120" s="44" t="s">
        <v>253</v>
      </c>
      <c r="AT1120" s="44">
        <v>1119.0</v>
      </c>
      <c r="AU1120" s="44"/>
      <c r="AW1120" s="93"/>
      <c r="AY1120" s="93"/>
      <c r="AZ1120" s="93"/>
      <c r="BA1120" s="93"/>
      <c r="BB1120" s="155"/>
      <c r="BC1120" s="93"/>
      <c r="BE1120" s="93"/>
      <c r="BG1120" s="93"/>
      <c r="BH1120" s="93"/>
      <c r="BI1120" s="93"/>
      <c r="BJ1120" s="155"/>
      <c r="BK1120" s="93"/>
    </row>
    <row r="1121">
      <c r="A1121" s="166">
        <v>44687.01143615741</v>
      </c>
      <c r="B1121" s="44" t="s">
        <v>486</v>
      </c>
      <c r="C1121" s="128">
        <v>920.0193722617397</v>
      </c>
      <c r="D1121" s="128">
        <v>14.0</v>
      </c>
      <c r="E1121" s="128">
        <v>915.037947849881</v>
      </c>
      <c r="F1121" s="44" t="s">
        <v>88</v>
      </c>
      <c r="G1121" s="128">
        <v>1007.7427724359562</v>
      </c>
      <c r="H1121" s="128">
        <v>20.0</v>
      </c>
      <c r="I1121" s="128">
        <v>1004.461311106665</v>
      </c>
      <c r="J1121" s="44" t="s">
        <v>61</v>
      </c>
      <c r="K1121" s="128">
        <v>1070.6527348475101</v>
      </c>
      <c r="L1121" s="128">
        <v>22.0</v>
      </c>
      <c r="M1121" s="128">
        <v>1067.9156205886602</v>
      </c>
      <c r="N1121" s="44"/>
      <c r="O1121" s="128"/>
      <c r="P1121" s="128"/>
      <c r="Q1121" s="128"/>
      <c r="V1121" s="44" t="s">
        <v>123</v>
      </c>
      <c r="W1121" s="128">
        <v>750.0671670160191</v>
      </c>
      <c r="X1121" s="128">
        <v>17.0</v>
      </c>
      <c r="Y1121" s="128">
        <v>753.252479857154</v>
      </c>
      <c r="Z1121" s="44" t="s">
        <v>112</v>
      </c>
      <c r="AA1121" s="128">
        <v>982.2271838001367</v>
      </c>
      <c r="AB1121" s="128">
        <v>23.0</v>
      </c>
      <c r="AC1121" s="128">
        <v>986.6965446789366</v>
      </c>
      <c r="AD1121" s="44" t="s">
        <v>27</v>
      </c>
      <c r="AE1121" s="128">
        <v>1246.293995148749</v>
      </c>
      <c r="AF1121" s="128">
        <v>20.0</v>
      </c>
      <c r="AG1121" s="128">
        <v>1249.6393214288144</v>
      </c>
      <c r="AH1121" s="44"/>
      <c r="AI1121" s="128"/>
      <c r="AJ1121" s="128"/>
      <c r="AK1121" s="128"/>
      <c r="AP1121" s="128">
        <v>13.0</v>
      </c>
      <c r="AQ1121" s="128">
        <v>15.0</v>
      </c>
      <c r="AS1121" s="44" t="s">
        <v>408</v>
      </c>
      <c r="AT1121" s="44">
        <v>1120.0</v>
      </c>
      <c r="AU1121" s="44"/>
      <c r="AW1121" s="93"/>
      <c r="AY1121" s="93"/>
      <c r="AZ1121" s="93"/>
      <c r="BA1121" s="93"/>
      <c r="BB1121" s="155"/>
      <c r="BC1121" s="93"/>
      <c r="BE1121" s="93"/>
      <c r="BG1121" s="93"/>
      <c r="BH1121" s="93"/>
      <c r="BI1121" s="93"/>
      <c r="BJ1121" s="155"/>
      <c r="BK1121" s="93"/>
    </row>
    <row r="1122">
      <c r="A1122" s="166">
        <v>44687.958120219904</v>
      </c>
      <c r="B1122" s="44" t="s">
        <v>230</v>
      </c>
      <c r="C1122" s="128">
        <v>892.762252312921</v>
      </c>
      <c r="D1122" s="128">
        <v>21.0</v>
      </c>
      <c r="E1122" s="128">
        <v>890.1936750963206</v>
      </c>
      <c r="F1122" s="44" t="s">
        <v>486</v>
      </c>
      <c r="G1122" s="128">
        <v>915.037947849881</v>
      </c>
      <c r="H1122" s="128">
        <v>21.0</v>
      </c>
      <c r="I1122" s="128">
        <v>912.4285000798055</v>
      </c>
      <c r="J1122" s="44" t="s">
        <v>110</v>
      </c>
      <c r="K1122" s="128">
        <v>1025.4944089157934</v>
      </c>
      <c r="L1122" s="128">
        <v>11.0</v>
      </c>
      <c r="M1122" s="128">
        <v>1019.6724339024693</v>
      </c>
      <c r="N1122" s="44"/>
      <c r="O1122" s="128"/>
      <c r="P1122" s="128"/>
      <c r="Q1122" s="128"/>
      <c r="V1122" s="44" t="s">
        <v>123</v>
      </c>
      <c r="W1122" s="128">
        <v>753.252479857154</v>
      </c>
      <c r="X1122" s="128">
        <v>19.0</v>
      </c>
      <c r="Y1122" s="128">
        <v>757.1063491264773</v>
      </c>
      <c r="Z1122" s="44" t="s">
        <v>88</v>
      </c>
      <c r="AA1122" s="128">
        <v>1004.461311106665</v>
      </c>
      <c r="AB1122" s="128">
        <v>23.0</v>
      </c>
      <c r="AC1122" s="128">
        <v>1008.9728929976119</v>
      </c>
      <c r="AD1122" s="44" t="s">
        <v>47</v>
      </c>
      <c r="AE1122" s="128">
        <v>1039.3267148298262</v>
      </c>
      <c r="AF1122" s="128">
        <v>17.0</v>
      </c>
      <c r="AG1122" s="128">
        <v>1041.9612636695558</v>
      </c>
      <c r="AH1122" s="44"/>
      <c r="AI1122" s="128"/>
      <c r="AJ1122" s="128"/>
      <c r="AK1122" s="128"/>
      <c r="AP1122" s="128">
        <v>13.0</v>
      </c>
      <c r="AQ1122" s="128">
        <v>15.0</v>
      </c>
      <c r="AT1122" s="44">
        <v>1121.0</v>
      </c>
      <c r="AU1122" s="44"/>
      <c r="AW1122" s="93"/>
      <c r="AY1122" s="93"/>
      <c r="AZ1122" s="93"/>
      <c r="BA1122" s="93"/>
      <c r="BB1122" s="155"/>
      <c r="BC1122" s="93"/>
      <c r="BE1122" s="93"/>
      <c r="BG1122" s="93"/>
      <c r="BH1122" s="93"/>
      <c r="BI1122" s="93"/>
      <c r="BJ1122" s="155"/>
      <c r="BK1122" s="93"/>
    </row>
    <row r="1123">
      <c r="A1123" s="166">
        <v>44688.01092155093</v>
      </c>
      <c r="B1123" s="44" t="s">
        <v>230</v>
      </c>
      <c r="C1123" s="128">
        <v>890.1936750963206</v>
      </c>
      <c r="D1123" s="128">
        <v>14.0</v>
      </c>
      <c r="E1123" s="128">
        <v>890.2036750963206</v>
      </c>
      <c r="F1123" s="44" t="s">
        <v>88</v>
      </c>
      <c r="G1123" s="128">
        <v>1008.9728929976119</v>
      </c>
      <c r="H1123" s="128">
        <v>23.0</v>
      </c>
      <c r="I1123" s="128">
        <v>1008.9828929976119</v>
      </c>
      <c r="J1123" s="44" t="s">
        <v>110</v>
      </c>
      <c r="K1123" s="128">
        <v>1019.6724339024693</v>
      </c>
      <c r="L1123" s="128">
        <v>25.0</v>
      </c>
      <c r="M1123" s="128">
        <v>1019.6824339024693</v>
      </c>
      <c r="N1123" s="44" t="s">
        <v>47</v>
      </c>
      <c r="O1123" s="128">
        <v>1041.9612636695558</v>
      </c>
      <c r="P1123" s="128">
        <v>20.0</v>
      </c>
      <c r="Q1123" s="128">
        <v>1041.9712636695558</v>
      </c>
      <c r="R1123" s="44" t="s">
        <v>92</v>
      </c>
      <c r="S1123" s="128">
        <v>1078.6852753180544</v>
      </c>
      <c r="T1123" s="128">
        <v>23.0</v>
      </c>
      <c r="U1123" s="128">
        <v>1078.6952753180544</v>
      </c>
      <c r="V1123" s="44" t="s">
        <v>123</v>
      </c>
      <c r="W1123" s="128">
        <v>757.1063491264773</v>
      </c>
      <c r="X1123" s="128">
        <v>16.0</v>
      </c>
      <c r="Y1123" s="128">
        <v>757.1163491264773</v>
      </c>
      <c r="Z1123" s="44" t="s">
        <v>100</v>
      </c>
      <c r="AA1123" s="128">
        <v>937.6839692371462</v>
      </c>
      <c r="AB1123" s="128">
        <v>22.0</v>
      </c>
      <c r="AC1123" s="128">
        <v>937.6939692371462</v>
      </c>
      <c r="AD1123" s="44" t="s">
        <v>112</v>
      </c>
      <c r="AE1123" s="128">
        <v>986.6965446789366</v>
      </c>
      <c r="AF1123" s="128">
        <v>37.0</v>
      </c>
      <c r="AG1123" s="128">
        <v>986.7065446789366</v>
      </c>
      <c r="AH1123" s="44" t="s">
        <v>34</v>
      </c>
      <c r="AI1123" s="128">
        <v>1057.5979234087436</v>
      </c>
      <c r="AJ1123" s="128">
        <v>17.0</v>
      </c>
      <c r="AK1123" s="128">
        <v>1057.6079234087435</v>
      </c>
      <c r="AL1123" s="44" t="s">
        <v>23</v>
      </c>
      <c r="AM1123" s="128">
        <v>1303.4391473244625</v>
      </c>
      <c r="AN1123" s="128">
        <v>26.0</v>
      </c>
      <c r="AO1123" s="128">
        <v>1303.4491473244625</v>
      </c>
      <c r="AP1123" s="128">
        <v>14.0</v>
      </c>
      <c r="AQ1123" s="128">
        <v>14.0</v>
      </c>
      <c r="AT1123" s="44">
        <v>1122.0</v>
      </c>
      <c r="AU1123" s="44"/>
      <c r="AV1123" s="44" t="s">
        <v>486</v>
      </c>
      <c r="AW1123" s="145">
        <v>912.43</v>
      </c>
      <c r="AX1123" s="44">
        <v>25.0</v>
      </c>
      <c r="AY1123" s="145">
        <v>912.44</v>
      </c>
      <c r="AZ1123" s="93"/>
      <c r="BA1123" s="93"/>
      <c r="BB1123" s="155"/>
      <c r="BC1123" s="93"/>
      <c r="BD1123" s="44" t="s">
        <v>121</v>
      </c>
      <c r="BE1123" s="145">
        <v>901.0</v>
      </c>
      <c r="BF1123" s="44">
        <v>11.0</v>
      </c>
      <c r="BG1123" s="145">
        <v>901.01</v>
      </c>
      <c r="BH1123" s="93"/>
      <c r="BI1123" s="93"/>
      <c r="BJ1123" s="155"/>
      <c r="BK1123" s="93"/>
    </row>
    <row r="1124">
      <c r="A1124" s="166">
        <v>44688.065197407406</v>
      </c>
      <c r="B1124" s="44" t="s">
        <v>112</v>
      </c>
      <c r="C1124" s="128">
        <v>986.7065446789366</v>
      </c>
      <c r="D1124" s="128">
        <v>30.0</v>
      </c>
      <c r="E1124" s="128">
        <v>998.229002491568</v>
      </c>
      <c r="F1124" s="44" t="s">
        <v>110</v>
      </c>
      <c r="G1124" s="128">
        <v>1019.6824339024693</v>
      </c>
      <c r="H1124" s="128">
        <v>15.0</v>
      </c>
      <c r="I1124" s="128">
        <v>1021.3386740974519</v>
      </c>
      <c r="J1124" s="44" t="s">
        <v>47</v>
      </c>
      <c r="K1124" s="128">
        <v>1041.9712636695558</v>
      </c>
      <c r="L1124" s="128">
        <v>22.0</v>
      </c>
      <c r="M1124" s="128">
        <v>1048.1091241274632</v>
      </c>
      <c r="N1124" s="44" t="s">
        <v>34</v>
      </c>
      <c r="O1124" s="128">
        <v>1057.6079234087435</v>
      </c>
      <c r="P1124" s="128">
        <v>25.0</v>
      </c>
      <c r="Q1124" s="128">
        <v>1065.6524886295574</v>
      </c>
      <c r="R1124" s="44" t="s">
        <v>23</v>
      </c>
      <c r="S1124" s="128">
        <v>1303.4491473244625</v>
      </c>
      <c r="T1124" s="128">
        <v>31.0</v>
      </c>
      <c r="U1124" s="128">
        <v>1315.088023638127</v>
      </c>
      <c r="V1124" s="44" t="s">
        <v>100</v>
      </c>
      <c r="W1124" s="128">
        <v>937.6939692371462</v>
      </c>
      <c r="X1124" s="128">
        <v>20.0</v>
      </c>
      <c r="Y1124" s="128">
        <v>930.105829150051</v>
      </c>
      <c r="Z1124" s="44" t="s">
        <v>88</v>
      </c>
      <c r="AA1124" s="128">
        <v>1008.9828929976119</v>
      </c>
      <c r="AB1124" s="128">
        <v>17.0</v>
      </c>
      <c r="AC1124" s="128">
        <v>999.208036505277</v>
      </c>
      <c r="AD1124" s="44" t="s">
        <v>92</v>
      </c>
      <c r="AE1124" s="128">
        <v>1078.6952753180544</v>
      </c>
      <c r="AF1124" s="128">
        <v>20.0</v>
      </c>
      <c r="AG1124" s="128">
        <v>1070.706205973513</v>
      </c>
      <c r="AH1124" s="44" t="s">
        <v>38</v>
      </c>
      <c r="AI1124" s="128">
        <v>1128.1645810933217</v>
      </c>
      <c r="AJ1124" s="128">
        <v>11.0</v>
      </c>
      <c r="AK1124" s="128">
        <v>1114.244148759335</v>
      </c>
      <c r="AL1124" s="44" t="s">
        <v>27</v>
      </c>
      <c r="AM1124" s="128">
        <v>1249.6393214288144</v>
      </c>
      <c r="AN1124" s="128">
        <v>33.0</v>
      </c>
      <c r="AO1124" s="128">
        <v>1249.6293214288144</v>
      </c>
      <c r="AP1124" s="128">
        <v>20.0</v>
      </c>
      <c r="AQ1124" s="128">
        <v>8.0</v>
      </c>
      <c r="AT1124" s="44">
        <v>1123.0</v>
      </c>
      <c r="AU1124" s="44"/>
      <c r="AV1124" s="44" t="s">
        <v>486</v>
      </c>
      <c r="AW1124" s="145">
        <v>912.44</v>
      </c>
      <c r="AX1124" s="44">
        <v>25.0</v>
      </c>
      <c r="AY1124" s="145">
        <v>920.88</v>
      </c>
      <c r="AZ1124" s="145" t="s">
        <v>123</v>
      </c>
      <c r="BA1124" s="145">
        <v>757.12</v>
      </c>
      <c r="BB1124" s="146" t="s">
        <v>499</v>
      </c>
      <c r="BC1124" s="145">
        <v>759.22</v>
      </c>
      <c r="BD1124" s="44" t="s">
        <v>125</v>
      </c>
      <c r="BE1124" s="145">
        <v>656.53</v>
      </c>
      <c r="BF1124" s="44">
        <v>21.0</v>
      </c>
      <c r="BG1124" s="145">
        <v>648.0</v>
      </c>
      <c r="BH1124" s="145" t="s">
        <v>230</v>
      </c>
      <c r="BI1124" s="145">
        <v>890.2</v>
      </c>
      <c r="BJ1124" s="146" t="s">
        <v>476</v>
      </c>
      <c r="BK1124" s="145">
        <v>877.01</v>
      </c>
    </row>
    <row r="1125">
      <c r="A1125" s="166">
        <v>44689.02637684028</v>
      </c>
      <c r="B1125" s="44" t="s">
        <v>88</v>
      </c>
      <c r="C1125" s="128">
        <v>999.208036505277</v>
      </c>
      <c r="D1125" s="128">
        <v>12.0</v>
      </c>
      <c r="E1125" s="128">
        <v>975.7472248050979</v>
      </c>
      <c r="F1125" s="44" t="s">
        <v>110</v>
      </c>
      <c r="G1125" s="128">
        <v>1021.3386740974519</v>
      </c>
      <c r="H1125" s="128">
        <v>14.0</v>
      </c>
      <c r="I1125" s="128">
        <v>1001.4893784138142</v>
      </c>
      <c r="J1125" s="44" t="s">
        <v>47</v>
      </c>
      <c r="K1125" s="128">
        <v>1048.1091241274632</v>
      </c>
      <c r="L1125" s="128">
        <v>12.0</v>
      </c>
      <c r="M1125" s="128">
        <v>1024.41923151128</v>
      </c>
      <c r="N1125" s="44"/>
      <c r="O1125" s="128"/>
      <c r="P1125" s="128"/>
      <c r="Q1125" s="128"/>
      <c r="V1125" s="44" t="s">
        <v>125</v>
      </c>
      <c r="W1125" s="128">
        <v>648.0</v>
      </c>
      <c r="X1125" s="128">
        <v>12.0</v>
      </c>
      <c r="Y1125" s="128">
        <v>652.9761363384612</v>
      </c>
      <c r="Z1125" s="44" t="s">
        <v>34</v>
      </c>
      <c r="AA1125" s="128">
        <v>1065.6524886295574</v>
      </c>
      <c r="AB1125" s="128">
        <v>35.0</v>
      </c>
      <c r="AC1125" s="128">
        <v>1105.9782895796104</v>
      </c>
      <c r="AD1125" s="44" t="s">
        <v>61</v>
      </c>
      <c r="AE1125" s="128">
        <v>1067.9156205886602</v>
      </c>
      <c r="AF1125" s="128">
        <v>25.0</v>
      </c>
      <c r="AG1125" s="128">
        <v>1089.613683300146</v>
      </c>
      <c r="AH1125" s="44"/>
      <c r="AI1125" s="128"/>
      <c r="AJ1125" s="128"/>
      <c r="AK1125" s="128"/>
      <c r="AP1125" s="128">
        <v>6.0</v>
      </c>
      <c r="AQ1125" s="128">
        <v>22.0</v>
      </c>
      <c r="AT1125" s="44">
        <v>1124.0</v>
      </c>
      <c r="AU1125" s="44"/>
      <c r="AW1125" s="93"/>
      <c r="AY1125" s="93"/>
      <c r="AZ1125" s="93"/>
      <c r="BA1125" s="93"/>
      <c r="BB1125" s="155"/>
      <c r="BC1125" s="93"/>
      <c r="BE1125" s="93"/>
      <c r="BG1125" s="93"/>
      <c r="BH1125" s="93"/>
      <c r="BI1125" s="93"/>
      <c r="BJ1125" s="155"/>
      <c r="BK1125" s="93"/>
    </row>
    <row r="1126">
      <c r="A1126" s="166">
        <v>44689.9232887963</v>
      </c>
      <c r="B1126" s="44" t="s">
        <v>486</v>
      </c>
      <c r="C1126" s="128">
        <v>920.88</v>
      </c>
      <c r="D1126" s="128">
        <v>16.0</v>
      </c>
      <c r="E1126" s="128">
        <v>923.5569845967582</v>
      </c>
      <c r="F1126" s="44" t="s">
        <v>88</v>
      </c>
      <c r="G1126" s="128">
        <v>975.7472248050979</v>
      </c>
      <c r="H1126" s="128">
        <v>24.0</v>
      </c>
      <c r="I1126" s="128">
        <v>980.776811224193</v>
      </c>
      <c r="J1126" s="44" t="s">
        <v>27</v>
      </c>
      <c r="K1126" s="128">
        <v>1249.6293214288144</v>
      </c>
      <c r="L1126" s="128">
        <v>19.0</v>
      </c>
      <c r="M1126" s="128">
        <v>1252.922750412961</v>
      </c>
      <c r="N1126" s="44"/>
      <c r="O1126" s="128"/>
      <c r="P1126" s="128"/>
      <c r="Q1126" s="128"/>
      <c r="V1126" s="44" t="s">
        <v>47</v>
      </c>
      <c r="W1126" s="128">
        <v>1024.41923151128</v>
      </c>
      <c r="X1126" s="128">
        <v>19.0</v>
      </c>
      <c r="Y1126" s="128">
        <v>1020.8901211286313</v>
      </c>
      <c r="Z1126" s="44" t="s">
        <v>92</v>
      </c>
      <c r="AA1126" s="128">
        <v>1070.706205973513</v>
      </c>
      <c r="AB1126" s="128">
        <v>18.0</v>
      </c>
      <c r="AC1126" s="128">
        <v>1066.8257366553757</v>
      </c>
      <c r="AD1126" s="44" t="s">
        <v>61</v>
      </c>
      <c r="AE1126" s="128">
        <v>1089.613683300146</v>
      </c>
      <c r="AF1126" s="128">
        <v>19.0</v>
      </c>
      <c r="AG1126" s="128">
        <v>1086.0232630009323</v>
      </c>
      <c r="AH1126" s="44"/>
      <c r="AI1126" s="128"/>
      <c r="AJ1126" s="128"/>
      <c r="AK1126" s="128"/>
      <c r="AP1126" s="128">
        <v>15.0</v>
      </c>
      <c r="AQ1126" s="128">
        <v>13.0</v>
      </c>
      <c r="AS1126" s="44" t="s">
        <v>229</v>
      </c>
      <c r="AT1126" s="44">
        <v>1125.0</v>
      </c>
      <c r="AU1126" s="44"/>
      <c r="AW1126" s="93"/>
      <c r="AY1126" s="93"/>
      <c r="AZ1126" s="93"/>
      <c r="BA1126" s="93"/>
      <c r="BB1126" s="155"/>
      <c r="BC1126" s="93"/>
      <c r="BE1126" s="93"/>
      <c r="BG1126" s="93"/>
      <c r="BH1126" s="93"/>
      <c r="BI1126" s="93"/>
      <c r="BJ1126" s="155"/>
      <c r="BK1126" s="93"/>
    </row>
    <row r="1127">
      <c r="A1127" s="166">
        <v>44689.970818877315</v>
      </c>
      <c r="B1127" s="44" t="s">
        <v>123</v>
      </c>
      <c r="C1127" s="128">
        <v>759.22</v>
      </c>
      <c r="D1127" s="128">
        <v>17.0</v>
      </c>
      <c r="E1127" s="128">
        <v>759.23</v>
      </c>
      <c r="F1127" s="44" t="s">
        <v>486</v>
      </c>
      <c r="G1127" s="128">
        <v>923.5569845967582</v>
      </c>
      <c r="H1127" s="128">
        <v>23.0</v>
      </c>
      <c r="I1127" s="128">
        <v>923.5669845967582</v>
      </c>
      <c r="J1127" s="44" t="s">
        <v>34</v>
      </c>
      <c r="K1127" s="128">
        <v>1105.9782895796104</v>
      </c>
      <c r="L1127" s="128">
        <v>22.0</v>
      </c>
      <c r="M1127" s="128">
        <v>1105.9882895796104</v>
      </c>
      <c r="N1127" s="44" t="s">
        <v>38</v>
      </c>
      <c r="O1127" s="128">
        <v>1114.244148759335</v>
      </c>
      <c r="P1127" s="128">
        <v>20.0</v>
      </c>
      <c r="Q1127" s="128">
        <v>1114.254148759335</v>
      </c>
      <c r="R1127" s="44" t="s">
        <v>27</v>
      </c>
      <c r="S1127" s="128">
        <v>1252.922750412961</v>
      </c>
      <c r="T1127" s="128">
        <v>22.0</v>
      </c>
      <c r="U1127" s="128">
        <v>1252.932750412961</v>
      </c>
      <c r="V1127" s="44" t="s">
        <v>88</v>
      </c>
      <c r="W1127" s="128">
        <v>980.776811224193</v>
      </c>
      <c r="X1127" s="128">
        <v>15.0</v>
      </c>
      <c r="Y1127" s="128">
        <v>980.786811224193</v>
      </c>
      <c r="Z1127" s="44" t="s">
        <v>112</v>
      </c>
      <c r="AA1127" s="128">
        <v>998.229002491568</v>
      </c>
      <c r="AB1127" s="128">
        <v>12.0</v>
      </c>
      <c r="AC1127" s="128">
        <v>998.239002491568</v>
      </c>
      <c r="AD1127" s="44" t="s">
        <v>47</v>
      </c>
      <c r="AE1127" s="128">
        <v>1020.8901211286313</v>
      </c>
      <c r="AF1127" s="128">
        <v>18.0</v>
      </c>
      <c r="AG1127" s="128">
        <v>1020.9001211286313</v>
      </c>
      <c r="AH1127" s="44" t="s">
        <v>92</v>
      </c>
      <c r="AI1127" s="128">
        <v>1066.8257366553757</v>
      </c>
      <c r="AJ1127" s="128">
        <v>27.0</v>
      </c>
      <c r="AK1127" s="128">
        <v>1066.8357366553757</v>
      </c>
      <c r="AL1127" s="44" t="s">
        <v>61</v>
      </c>
      <c r="AM1127" s="128">
        <v>1086.0232630009323</v>
      </c>
      <c r="AN1127" s="128">
        <v>24.0</v>
      </c>
      <c r="AO1127" s="128">
        <v>1086.0332630009323</v>
      </c>
      <c r="AP1127" s="128">
        <v>14.0</v>
      </c>
      <c r="AQ1127" s="128">
        <v>14.0</v>
      </c>
      <c r="AS1127" s="44" t="s">
        <v>231</v>
      </c>
      <c r="AT1127" s="44">
        <v>1126.0</v>
      </c>
      <c r="AU1127" s="44"/>
      <c r="AW1127" s="93"/>
      <c r="AY1127" s="93"/>
      <c r="AZ1127" s="93"/>
      <c r="BA1127" s="93"/>
      <c r="BB1127" s="155"/>
      <c r="BC1127" s="93"/>
      <c r="BE1127" s="93"/>
      <c r="BG1127" s="93"/>
      <c r="BH1127" s="93"/>
      <c r="BI1127" s="93"/>
      <c r="BJ1127" s="155"/>
      <c r="BK1127" s="93"/>
    </row>
    <row r="1128">
      <c r="A1128" s="166">
        <v>44690.01820002314</v>
      </c>
      <c r="B1128" s="44" t="s">
        <v>123</v>
      </c>
      <c r="C1128" s="128">
        <v>759.23</v>
      </c>
      <c r="D1128" s="128">
        <v>19.0</v>
      </c>
      <c r="E1128" s="128">
        <v>761.2977629031279</v>
      </c>
      <c r="F1128" s="44" t="s">
        <v>108</v>
      </c>
      <c r="G1128" s="128">
        <v>856.7695261797677</v>
      </c>
      <c r="H1128" s="128">
        <v>19.0</v>
      </c>
      <c r="I1128" s="128">
        <v>858.6960573740442</v>
      </c>
      <c r="J1128" s="44" t="s">
        <v>61</v>
      </c>
      <c r="K1128" s="128">
        <v>1086.0332630009323</v>
      </c>
      <c r="L1128" s="128">
        <v>24.0</v>
      </c>
      <c r="M1128" s="128">
        <v>1088.5977390388193</v>
      </c>
      <c r="N1128" s="44" t="s">
        <v>34</v>
      </c>
      <c r="O1128" s="128">
        <v>1105.9882895796104</v>
      </c>
      <c r="P1128" s="128">
        <v>30.0</v>
      </c>
      <c r="Q1128" s="128">
        <v>1109.5439132117367</v>
      </c>
      <c r="R1128" s="44" t="s">
        <v>38</v>
      </c>
      <c r="S1128" s="128">
        <v>1114.254148759335</v>
      </c>
      <c r="T1128" s="128">
        <v>8.0</v>
      </c>
      <c r="U1128" s="128">
        <v>1114.264148759335</v>
      </c>
      <c r="V1128" s="44" t="s">
        <v>125</v>
      </c>
      <c r="W1128" s="128">
        <v>652.9761363384612</v>
      </c>
      <c r="X1128" s="128">
        <v>18.0</v>
      </c>
      <c r="Y1128" s="128">
        <v>650.986181991923</v>
      </c>
      <c r="Z1128" s="44" t="s">
        <v>486</v>
      </c>
      <c r="AA1128" s="128">
        <v>923.5669845967582</v>
      </c>
      <c r="AB1128" s="128">
        <v>14.0</v>
      </c>
      <c r="AC1128" s="128">
        <v>920.4895166427178</v>
      </c>
      <c r="AD1128" s="44" t="s">
        <v>47</v>
      </c>
      <c r="AE1128" s="128">
        <v>1020.9001211286313</v>
      </c>
      <c r="AF1128" s="128">
        <v>27.0</v>
      </c>
      <c r="AG1128" s="128">
        <v>1019.9050116301506</v>
      </c>
      <c r="AH1128" s="44" t="s">
        <v>92</v>
      </c>
      <c r="AI1128" s="128">
        <v>1066.8357366553757</v>
      </c>
      <c r="AJ1128" s="128">
        <v>17.0</v>
      </c>
      <c r="AK1128" s="128">
        <v>1064.1456564687896</v>
      </c>
      <c r="AL1128" s="44" t="s">
        <v>27</v>
      </c>
      <c r="AM1128" s="128">
        <v>1252.932750412961</v>
      </c>
      <c r="AN1128" s="128">
        <v>26.0</v>
      </c>
      <c r="AO1128" s="128">
        <v>1251.6853623986062</v>
      </c>
      <c r="AP1128" s="128">
        <v>15.0</v>
      </c>
      <c r="AQ1128" s="128">
        <v>13.0</v>
      </c>
      <c r="AS1128" s="44" t="s">
        <v>295</v>
      </c>
      <c r="AT1128" s="44">
        <v>1127.0</v>
      </c>
      <c r="AU1128" s="44"/>
      <c r="AW1128" s="93"/>
      <c r="AY1128" s="93"/>
      <c r="AZ1128" s="93"/>
      <c r="BA1128" s="93"/>
      <c r="BB1128" s="155"/>
      <c r="BC1128" s="93"/>
      <c r="BE1128" s="93"/>
      <c r="BG1128" s="93"/>
      <c r="BH1128" s="93"/>
      <c r="BI1128" s="93"/>
      <c r="BJ1128" s="155"/>
      <c r="BK1128" s="93"/>
    </row>
    <row r="1129">
      <c r="A1129" s="166">
        <v>44690.05274987269</v>
      </c>
      <c r="B1129" s="44" t="s">
        <v>125</v>
      </c>
      <c r="C1129" s="128">
        <v>650.986181991923</v>
      </c>
      <c r="D1129" s="128">
        <v>8.0</v>
      </c>
      <c r="E1129" s="128">
        <v>651.9145616499582</v>
      </c>
      <c r="F1129" s="44" t="s">
        <v>61</v>
      </c>
      <c r="G1129" s="128">
        <v>1088.5977390388193</v>
      </c>
      <c r="H1129" s="128">
        <v>23.0</v>
      </c>
      <c r="I1129" s="128">
        <v>1095.9898519696028</v>
      </c>
      <c r="J1129" s="44" t="s">
        <v>27</v>
      </c>
      <c r="K1129" s="128">
        <v>1251.6853623986062</v>
      </c>
      <c r="L1129" s="128">
        <v>31.0</v>
      </c>
      <c r="M1129" s="128">
        <v>1263.3648698097877</v>
      </c>
      <c r="N1129" s="44"/>
      <c r="O1129" s="128"/>
      <c r="P1129" s="128"/>
      <c r="Q1129" s="128"/>
      <c r="V1129" s="44" t="s">
        <v>123</v>
      </c>
      <c r="W1129" s="128">
        <v>761.2977629031279</v>
      </c>
      <c r="X1129" s="128">
        <v>16.0</v>
      </c>
      <c r="Y1129" s="128">
        <v>754.2089640788735</v>
      </c>
      <c r="Z1129" s="44" t="s">
        <v>34</v>
      </c>
      <c r="AA1129" s="128">
        <v>1109.5439132117367</v>
      </c>
      <c r="AB1129" s="128">
        <v>23.0</v>
      </c>
      <c r="AC1129" s="128">
        <v>1105.3133724983531</v>
      </c>
      <c r="AD1129" s="44" t="s">
        <v>38</v>
      </c>
      <c r="AE1129" s="128">
        <v>1114.264148759335</v>
      </c>
      <c r="AF1129" s="128">
        <v>15.0</v>
      </c>
      <c r="AG1129" s="128">
        <v>1105.583488296973</v>
      </c>
      <c r="AH1129" s="44"/>
      <c r="AI1129" s="128"/>
      <c r="AJ1129" s="128"/>
      <c r="AK1129" s="128"/>
      <c r="AP1129" s="128">
        <v>17.0</v>
      </c>
      <c r="AQ1129" s="128">
        <v>11.0</v>
      </c>
      <c r="AT1129" s="44">
        <v>1128.0</v>
      </c>
      <c r="AU1129" s="44"/>
      <c r="AW1129" s="93"/>
      <c r="AY1129" s="93"/>
      <c r="AZ1129" s="93"/>
      <c r="BA1129" s="93"/>
      <c r="BB1129" s="155"/>
      <c r="BC1129" s="93"/>
      <c r="BE1129" s="93"/>
      <c r="BG1129" s="93"/>
      <c r="BH1129" s="93"/>
      <c r="BI1129" s="93"/>
      <c r="BJ1129" s="155"/>
      <c r="BK1129" s="93"/>
    </row>
    <row r="1130">
      <c r="A1130" s="166">
        <v>44690.98851270833</v>
      </c>
      <c r="B1130" s="44" t="s">
        <v>125</v>
      </c>
      <c r="C1130" s="128">
        <v>651.9145616499582</v>
      </c>
      <c r="D1130" s="128">
        <v>9.0</v>
      </c>
      <c r="E1130" s="128">
        <v>647.6828160840824</v>
      </c>
      <c r="F1130" s="44" t="s">
        <v>61</v>
      </c>
      <c r="G1130" s="128">
        <v>1095.9898519696028</v>
      </c>
      <c r="H1130" s="128">
        <v>23.0</v>
      </c>
      <c r="I1130" s="128">
        <v>1094.219290962835</v>
      </c>
      <c r="J1130" s="44" t="s">
        <v>34</v>
      </c>
      <c r="K1130" s="128">
        <v>1105.3133724983531</v>
      </c>
      <c r="L1130" s="128">
        <v>22.0</v>
      </c>
      <c r="M1130" s="128">
        <v>1103.3156790709968</v>
      </c>
      <c r="N1130" s="44"/>
      <c r="O1130" s="128"/>
      <c r="P1130" s="128"/>
      <c r="Q1130" s="128"/>
      <c r="V1130" s="44" t="s">
        <v>486</v>
      </c>
      <c r="W1130" s="128">
        <v>920.4895166427178</v>
      </c>
      <c r="X1130" s="128">
        <v>27.0</v>
      </c>
      <c r="Y1130" s="128">
        <v>924.6271097490957</v>
      </c>
      <c r="Z1130" s="44" t="s">
        <v>112</v>
      </c>
      <c r="AA1130" s="128">
        <v>998.239002491568</v>
      </c>
      <c r="AB1130" s="128">
        <v>15.0</v>
      </c>
      <c r="AC1130" s="128">
        <v>999.6162926878841</v>
      </c>
      <c r="AD1130" s="44" t="s">
        <v>110</v>
      </c>
      <c r="AE1130" s="128">
        <v>1001.4893784138142</v>
      </c>
      <c r="AF1130" s="128">
        <v>20.0</v>
      </c>
      <c r="AG1130" s="128">
        <v>1003.9744951111203</v>
      </c>
      <c r="AH1130" s="44"/>
      <c r="AI1130" s="128"/>
      <c r="AJ1130" s="128"/>
      <c r="AK1130" s="128"/>
      <c r="AP1130" s="128">
        <v>13.0</v>
      </c>
      <c r="AQ1130" s="128">
        <v>15.0</v>
      </c>
      <c r="AT1130" s="44">
        <v>1129.0</v>
      </c>
      <c r="AU1130" s="44"/>
      <c r="AW1130" s="93"/>
      <c r="AY1130" s="93"/>
      <c r="AZ1130" s="93"/>
      <c r="BA1130" s="93"/>
      <c r="BB1130" s="155"/>
      <c r="BC1130" s="93"/>
      <c r="BE1130" s="93"/>
      <c r="BG1130" s="93"/>
      <c r="BH1130" s="93"/>
      <c r="BI1130" s="93"/>
      <c r="BJ1130" s="155"/>
      <c r="BK1130" s="93"/>
    </row>
    <row r="1131">
      <c r="A1131" s="166">
        <v>44691.983699432865</v>
      </c>
      <c r="B1131" s="44" t="s">
        <v>125</v>
      </c>
      <c r="C1131" s="128">
        <v>647.6828160840824</v>
      </c>
      <c r="D1131" s="128">
        <v>9.0</v>
      </c>
      <c r="E1131" s="128">
        <v>650.3206226429606</v>
      </c>
      <c r="F1131" s="44" t="s">
        <v>61</v>
      </c>
      <c r="G1131" s="128">
        <v>1094.219290962835</v>
      </c>
      <c r="H1131" s="128">
        <v>23.0</v>
      </c>
      <c r="I1131" s="128">
        <v>1104.3688165692479</v>
      </c>
      <c r="J1131" s="44" t="s">
        <v>38</v>
      </c>
      <c r="K1131" s="128">
        <v>1105.583488296973</v>
      </c>
      <c r="L1131" s="128">
        <v>26.0</v>
      </c>
      <c r="M1131" s="128">
        <v>1117.796156131682</v>
      </c>
      <c r="N1131" s="44"/>
      <c r="O1131" s="128"/>
      <c r="P1131" s="128"/>
      <c r="Q1131" s="128"/>
      <c r="V1131" s="44" t="s">
        <v>123</v>
      </c>
      <c r="W1131" s="128">
        <v>754.2089640788735</v>
      </c>
      <c r="X1131" s="128">
        <v>15.0</v>
      </c>
      <c r="Y1131" s="128">
        <v>744.7843042591753</v>
      </c>
      <c r="Z1131" s="44" t="s">
        <v>486</v>
      </c>
      <c r="AA1131" s="128">
        <v>924.6271097490957</v>
      </c>
      <c r="AB1131" s="128">
        <v>15.0</v>
      </c>
      <c r="AC1131" s="128">
        <v>914.3677953343285</v>
      </c>
      <c r="AD1131" s="44" t="s">
        <v>27</v>
      </c>
      <c r="AE1131" s="128">
        <v>1263.3648698097877</v>
      </c>
      <c r="AF1131" s="128">
        <v>23.0</v>
      </c>
      <c r="AG1131" s="128">
        <v>1258.048844044253</v>
      </c>
      <c r="AH1131" s="44"/>
      <c r="AI1131" s="128"/>
      <c r="AJ1131" s="128"/>
      <c r="AK1131" s="128"/>
      <c r="AP1131" s="128">
        <v>17.0</v>
      </c>
      <c r="AQ1131" s="128">
        <v>11.0</v>
      </c>
      <c r="AT1131" s="44">
        <v>1130.0</v>
      </c>
      <c r="AU1131" s="44"/>
      <c r="AW1131" s="93"/>
      <c r="AY1131" s="93"/>
      <c r="AZ1131" s="93"/>
      <c r="BA1131" s="93"/>
      <c r="BB1131" s="155"/>
      <c r="BC1131" s="93"/>
      <c r="BE1131" s="93"/>
      <c r="BG1131" s="93"/>
      <c r="BH1131" s="93"/>
      <c r="BI1131" s="93"/>
      <c r="BJ1131" s="155"/>
      <c r="BK1131" s="93"/>
    </row>
    <row r="1132">
      <c r="A1132" s="166">
        <v>44692.07535960648</v>
      </c>
      <c r="B1132" s="44" t="s">
        <v>125</v>
      </c>
      <c r="C1132" s="128">
        <v>650.3206226429606</v>
      </c>
      <c r="D1132" s="128">
        <v>35.0</v>
      </c>
      <c r="E1132" s="128">
        <v>652.1611237463566</v>
      </c>
      <c r="F1132" s="44" t="s">
        <v>61</v>
      </c>
      <c r="G1132" s="128">
        <v>1104.3688165692479</v>
      </c>
      <c r="H1132" s="128">
        <v>58.0</v>
      </c>
      <c r="I1132" s="128">
        <v>1110.946271364481</v>
      </c>
      <c r="J1132" s="44" t="s">
        <v>38</v>
      </c>
      <c r="K1132" s="128">
        <v>1117.796156131682</v>
      </c>
      <c r="L1132" s="128">
        <v>45.0</v>
      </c>
      <c r="M1132" s="128">
        <v>1120.378200233053</v>
      </c>
      <c r="N1132" s="44"/>
      <c r="O1132" s="128"/>
      <c r="P1132" s="128"/>
      <c r="Q1132" s="128"/>
      <c r="V1132" s="44" t="s">
        <v>123</v>
      </c>
      <c r="W1132" s="128">
        <v>744.7843042591753</v>
      </c>
      <c r="X1132" s="128">
        <v>28.0</v>
      </c>
      <c r="Y1132" s="128">
        <v>736.9903807301549</v>
      </c>
      <c r="Z1132" s="44" t="s">
        <v>486</v>
      </c>
      <c r="AA1132" s="128">
        <v>914.3677953343285</v>
      </c>
      <c r="AB1132" s="128">
        <v>45.0</v>
      </c>
      <c r="AC1132" s="128">
        <v>910.8309889208606</v>
      </c>
      <c r="AD1132" s="44" t="s">
        <v>27</v>
      </c>
      <c r="AE1132" s="128">
        <v>1258.048844044253</v>
      </c>
      <c r="AF1132" s="128">
        <v>60.0</v>
      </c>
      <c r="AG1132" s="128">
        <v>1258.038844044253</v>
      </c>
      <c r="AH1132" s="44"/>
      <c r="AI1132" s="128"/>
      <c r="AJ1132" s="128"/>
      <c r="AK1132" s="128"/>
      <c r="AP1132" s="128">
        <v>36.0</v>
      </c>
      <c r="AQ1132" s="128">
        <v>34.0</v>
      </c>
      <c r="AS1132" s="44" t="s">
        <v>601</v>
      </c>
      <c r="AT1132" s="44">
        <v>1131.0</v>
      </c>
      <c r="AU1132" s="44"/>
      <c r="AW1132" s="93"/>
      <c r="AY1132" s="93"/>
      <c r="AZ1132" s="93"/>
      <c r="BA1132" s="93"/>
      <c r="BB1132" s="155"/>
      <c r="BC1132" s="93"/>
      <c r="BE1132" s="93"/>
      <c r="BG1132" s="93"/>
      <c r="BH1132" s="93"/>
      <c r="BI1132" s="93"/>
      <c r="BJ1132" s="155"/>
      <c r="BK1132" s="93"/>
    </row>
    <row r="1133">
      <c r="A1133" s="166">
        <v>44696.003854675924</v>
      </c>
      <c r="B1133" s="44" t="s">
        <v>125</v>
      </c>
      <c r="C1133" s="128">
        <v>652.1611237463566</v>
      </c>
      <c r="D1133" s="128">
        <v>17.0</v>
      </c>
      <c r="E1133" s="128">
        <v>658.7330924830751</v>
      </c>
      <c r="F1133" s="44" t="s">
        <v>27</v>
      </c>
      <c r="G1133" s="128">
        <v>1258.038844044253</v>
      </c>
      <c r="H1133" s="128">
        <v>20.0</v>
      </c>
      <c r="I1133" s="128">
        <v>1264.4668753075343</v>
      </c>
      <c r="J1133" s="44"/>
      <c r="K1133" s="128"/>
      <c r="L1133" s="128"/>
      <c r="M1133" s="128"/>
      <c r="N1133" s="44"/>
      <c r="O1133" s="128"/>
      <c r="P1133" s="128"/>
      <c r="Q1133" s="128"/>
      <c r="V1133" s="44" t="s">
        <v>486</v>
      </c>
      <c r="W1133" s="128">
        <v>910.8309889208606</v>
      </c>
      <c r="X1133" s="128">
        <v>8.0</v>
      </c>
      <c r="Y1133" s="128">
        <v>900.7089238177139</v>
      </c>
      <c r="Z1133" s="44" t="s">
        <v>61</v>
      </c>
      <c r="AA1133" s="128">
        <v>1110.946271364481</v>
      </c>
      <c r="AB1133" s="128">
        <v>22.0</v>
      </c>
      <c r="AC1133" s="128">
        <v>1108.0683364676277</v>
      </c>
      <c r="AD1133" s="44"/>
      <c r="AE1133" s="128"/>
      <c r="AF1133" s="128"/>
      <c r="AG1133" s="128"/>
      <c r="AH1133" s="44"/>
      <c r="AI1133" s="128"/>
      <c r="AJ1133" s="128"/>
      <c r="AK1133" s="128"/>
      <c r="AP1133" s="128">
        <v>15.0</v>
      </c>
      <c r="AQ1133" s="128">
        <v>13.0</v>
      </c>
      <c r="AT1133" s="44">
        <v>1132.0</v>
      </c>
      <c r="AU1133" s="44"/>
      <c r="AW1133" s="93"/>
      <c r="AY1133" s="93"/>
      <c r="AZ1133" s="93"/>
      <c r="BA1133" s="93"/>
      <c r="BB1133" s="155"/>
      <c r="BC1133" s="93"/>
      <c r="BE1133" s="93"/>
      <c r="BG1133" s="93"/>
      <c r="BH1133" s="93"/>
      <c r="BI1133" s="93"/>
      <c r="BJ1133" s="155"/>
      <c r="BK1133" s="93"/>
    </row>
    <row r="1134">
      <c r="A1134" s="166">
        <v>44696.034425405094</v>
      </c>
      <c r="B1134" s="44" t="s">
        <v>125</v>
      </c>
      <c r="C1134" s="128">
        <v>658.7330924830751</v>
      </c>
      <c r="D1134" s="128">
        <v>13.0</v>
      </c>
      <c r="E1134" s="128">
        <v>665.8399453133478</v>
      </c>
      <c r="F1134" s="44" t="s">
        <v>31</v>
      </c>
      <c r="G1134" s="128">
        <v>1309.238453892702</v>
      </c>
      <c r="H1134" s="128">
        <v>21.0</v>
      </c>
      <c r="I1134" s="128">
        <v>1320.1316010624294</v>
      </c>
      <c r="J1134" s="44"/>
      <c r="K1134" s="128"/>
      <c r="L1134" s="128"/>
      <c r="M1134" s="128"/>
      <c r="N1134" s="44"/>
      <c r="O1134" s="128"/>
      <c r="P1134" s="128"/>
      <c r="Q1134" s="128"/>
      <c r="V1134" s="44" t="s">
        <v>61</v>
      </c>
      <c r="W1134" s="128">
        <v>1108.0683364676277</v>
      </c>
      <c r="X1134" s="128">
        <v>20.0</v>
      </c>
      <c r="Y1134" s="128">
        <v>1101.0154052238586</v>
      </c>
      <c r="Z1134" s="44" t="s">
        <v>27</v>
      </c>
      <c r="AA1134" s="128">
        <v>1264.4668753075343</v>
      </c>
      <c r="AB1134" s="128">
        <v>15.0</v>
      </c>
      <c r="AC1134" s="128">
        <v>1253.5198065513034</v>
      </c>
      <c r="AD1134" s="44"/>
      <c r="AE1134" s="128"/>
      <c r="AF1134" s="128"/>
      <c r="AG1134" s="128"/>
      <c r="AH1134" s="44"/>
      <c r="AI1134" s="128"/>
      <c r="AJ1134" s="128"/>
      <c r="AK1134" s="128"/>
      <c r="AP1134" s="128">
        <v>15.0</v>
      </c>
      <c r="AQ1134" s="128">
        <v>13.0</v>
      </c>
      <c r="AT1134" s="44">
        <v>1133.0</v>
      </c>
      <c r="AU1134" s="44"/>
      <c r="AW1134" s="93"/>
      <c r="AY1134" s="93"/>
      <c r="AZ1134" s="93"/>
      <c r="BA1134" s="93"/>
      <c r="BB1134" s="155"/>
      <c r="BC1134" s="93"/>
      <c r="BE1134" s="93"/>
      <c r="BG1134" s="93"/>
      <c r="BH1134" s="93"/>
      <c r="BI1134" s="93"/>
      <c r="BJ1134" s="155"/>
      <c r="BK1134" s="93"/>
    </row>
    <row r="1135">
      <c r="A1135" s="166">
        <v>44698.98038994213</v>
      </c>
      <c r="B1135" s="44" t="s">
        <v>125</v>
      </c>
      <c r="C1135" s="128">
        <v>665.8399453133478</v>
      </c>
      <c r="D1135" s="128">
        <v>10.0</v>
      </c>
      <c r="E1135" s="128">
        <v>666.7872051446849</v>
      </c>
      <c r="F1135" s="44" t="s">
        <v>123</v>
      </c>
      <c r="G1135" s="128">
        <v>736.9903807301549</v>
      </c>
      <c r="H1135" s="128">
        <v>13.0</v>
      </c>
      <c r="I1135" s="128">
        <v>738.821978864626</v>
      </c>
      <c r="J1135" s="44" t="s">
        <v>34</v>
      </c>
      <c r="K1135" s="128">
        <v>1103.3156790709968</v>
      </c>
      <c r="L1135" s="128">
        <v>38.0</v>
      </c>
      <c r="M1135" s="128">
        <v>1114.4884700265325</v>
      </c>
      <c r="N1135" s="44" t="s">
        <v>31</v>
      </c>
      <c r="O1135" s="128">
        <v>1320.1316010624294</v>
      </c>
      <c r="P1135" s="128">
        <v>26.0</v>
      </c>
      <c r="Q1135" s="128">
        <v>1326.1799521410856</v>
      </c>
      <c r="V1135" s="44" t="s">
        <v>108</v>
      </c>
      <c r="W1135" s="128">
        <v>858.6960573740442</v>
      </c>
      <c r="X1135" s="128">
        <v>17.0</v>
      </c>
      <c r="Y1135" s="128">
        <v>853.3885025849454</v>
      </c>
      <c r="Z1135" s="44" t="s">
        <v>486</v>
      </c>
      <c r="AA1135" s="128">
        <v>900.7089238177139</v>
      </c>
      <c r="AB1135" s="128">
        <v>12.0</v>
      </c>
      <c r="AC1135" s="128">
        <v>893.2042354292137</v>
      </c>
      <c r="AD1135" s="44" t="s">
        <v>112</v>
      </c>
      <c r="AE1135" s="128">
        <v>999.6162926878841</v>
      </c>
      <c r="AF1135" s="128">
        <v>24.0</v>
      </c>
      <c r="AG1135" s="128">
        <v>996.9028439704167</v>
      </c>
      <c r="AH1135" s="44" t="s">
        <v>92</v>
      </c>
      <c r="AI1135" s="128">
        <v>1064.1456564687896</v>
      </c>
      <c r="AJ1135" s="128">
        <v>20.0</v>
      </c>
      <c r="AK1135" s="128">
        <v>1059.671348363856</v>
      </c>
      <c r="AP1135" s="128">
        <v>16.0</v>
      </c>
      <c r="AQ1135" s="128">
        <v>12.0</v>
      </c>
      <c r="AT1135" s="44">
        <v>1134.0</v>
      </c>
      <c r="AU1135" s="44"/>
      <c r="AW1135" s="93"/>
      <c r="AY1135" s="93"/>
      <c r="AZ1135" s="93"/>
      <c r="BA1135" s="93"/>
      <c r="BB1135" s="155"/>
      <c r="BC1135" s="93"/>
      <c r="BE1135" s="93"/>
      <c r="BG1135" s="93"/>
      <c r="BH1135" s="93"/>
      <c r="BI1135" s="93"/>
      <c r="BJ1135" s="155"/>
      <c r="BK1135" s="93"/>
    </row>
    <row r="1136">
      <c r="A1136" s="166">
        <v>44700.960530358796</v>
      </c>
      <c r="B1136" s="44" t="s">
        <v>123</v>
      </c>
      <c r="C1136" s="128">
        <v>738.821978864626</v>
      </c>
      <c r="D1136" s="128">
        <v>16.0</v>
      </c>
      <c r="E1136" s="128">
        <v>740.9784342813994</v>
      </c>
      <c r="F1136" s="44" t="s">
        <v>92</v>
      </c>
      <c r="G1136" s="128">
        <v>1059.671348363856</v>
      </c>
      <c r="H1136" s="128">
        <v>20.0</v>
      </c>
      <c r="I1136" s="128">
        <v>1062.265242833917</v>
      </c>
      <c r="J1136" s="44" t="s">
        <v>27</v>
      </c>
      <c r="K1136" s="128">
        <v>1253.5198065513034</v>
      </c>
      <c r="L1136" s="128">
        <v>27.0</v>
      </c>
      <c r="M1136" s="128">
        <v>1257.7694566644689</v>
      </c>
      <c r="N1136" s="44"/>
      <c r="O1136" s="128"/>
      <c r="P1136" s="128"/>
      <c r="Q1136" s="128"/>
      <c r="V1136" s="44" t="s">
        <v>486</v>
      </c>
      <c r="W1136" s="128">
        <v>893.2042354292137</v>
      </c>
      <c r="X1136" s="128">
        <v>26.0</v>
      </c>
      <c r="Y1136" s="128">
        <v>892.0006429060174</v>
      </c>
      <c r="Z1136" s="44" t="s">
        <v>47</v>
      </c>
      <c r="AA1136" s="128">
        <v>1019.9050116301506</v>
      </c>
      <c r="AB1136" s="128">
        <v>20.0</v>
      </c>
      <c r="AC1136" s="128">
        <v>1017.0386505981979</v>
      </c>
      <c r="AD1136" s="44" t="s">
        <v>61</v>
      </c>
      <c r="AE1136" s="128">
        <v>1101.0154052238586</v>
      </c>
      <c r="AF1136" s="128">
        <v>12.0</v>
      </c>
      <c r="AG1136" s="128">
        <v>1096.0853587790075</v>
      </c>
      <c r="AH1136" s="44"/>
      <c r="AI1136" s="128"/>
      <c r="AJ1136" s="128"/>
      <c r="AK1136" s="128"/>
      <c r="AP1136" s="128">
        <v>14.0</v>
      </c>
      <c r="AQ1136" s="128">
        <v>13.0</v>
      </c>
      <c r="AT1136" s="44">
        <v>1135.0</v>
      </c>
      <c r="AU1136" s="44"/>
      <c r="AW1136" s="93"/>
      <c r="AY1136" s="93"/>
      <c r="AZ1136" s="93"/>
      <c r="BA1136" s="93"/>
      <c r="BB1136" s="155"/>
      <c r="BC1136" s="93"/>
      <c r="BE1136" s="93"/>
      <c r="BG1136" s="93"/>
      <c r="BH1136" s="93"/>
      <c r="BI1136" s="93"/>
      <c r="BJ1136" s="155"/>
      <c r="BK1136" s="93"/>
    </row>
    <row r="1137">
      <c r="A1137" s="166">
        <v>44700.99404061343</v>
      </c>
      <c r="B1137" s="44" t="s">
        <v>123</v>
      </c>
      <c r="C1137" s="128">
        <v>740.9784342813994</v>
      </c>
      <c r="D1137" s="128">
        <v>12.0</v>
      </c>
      <c r="E1137" s="128">
        <v>742.7585014610939</v>
      </c>
      <c r="F1137" s="44" t="s">
        <v>92</v>
      </c>
      <c r="G1137" s="128">
        <v>1062.265242833917</v>
      </c>
      <c r="H1137" s="128">
        <v>17.0</v>
      </c>
      <c r="I1137" s="128">
        <v>1065.2747771158035</v>
      </c>
      <c r="J1137" s="44" t="s">
        <v>34</v>
      </c>
      <c r="K1137" s="128">
        <v>1114.4884700265325</v>
      </c>
      <c r="L1137" s="128">
        <v>30.0</v>
      </c>
      <c r="M1137" s="128">
        <v>1123.383366455072</v>
      </c>
      <c r="N1137" s="44" t="s">
        <v>31</v>
      </c>
      <c r="O1137" s="128">
        <v>1326.1799521410856</v>
      </c>
      <c r="P1137" s="128">
        <v>29.0</v>
      </c>
      <c r="Q1137" s="128">
        <v>1334.495454250965</v>
      </c>
      <c r="V1137" s="44" t="s">
        <v>121</v>
      </c>
      <c r="W1137" s="128">
        <v>901.01</v>
      </c>
      <c r="X1137" s="128">
        <v>7.0</v>
      </c>
      <c r="Y1137" s="128">
        <v>891.400043850018</v>
      </c>
      <c r="Z1137" s="44" t="s">
        <v>47</v>
      </c>
      <c r="AA1137" s="128">
        <v>1017.0386505981979</v>
      </c>
      <c r="AB1137" s="128">
        <v>19.0</v>
      </c>
      <c r="AC1137" s="128">
        <v>1012.6998807447743</v>
      </c>
      <c r="AD1137" s="44" t="s">
        <v>61</v>
      </c>
      <c r="AE1137" s="128">
        <v>1096.0853587790075</v>
      </c>
      <c r="AF1137" s="128">
        <v>27.0</v>
      </c>
      <c r="AG1137" s="128">
        <v>1095.314910265729</v>
      </c>
      <c r="AH1137" s="44" t="s">
        <v>27</v>
      </c>
      <c r="AI1137" s="128">
        <v>1257.7694566644689</v>
      </c>
      <c r="AJ1137" s="128">
        <v>13.0</v>
      </c>
      <c r="AK1137" s="128">
        <v>1250.4886311811529</v>
      </c>
      <c r="AP1137" s="128">
        <v>18.0</v>
      </c>
      <c r="AQ1137" s="128">
        <v>10.0</v>
      </c>
      <c r="AT1137" s="44">
        <v>1136.0</v>
      </c>
      <c r="AU1137" s="44"/>
      <c r="AW1137" s="93"/>
      <c r="AY1137" s="93"/>
      <c r="AZ1137" s="93"/>
      <c r="BA1137" s="93"/>
      <c r="BB1137" s="155"/>
      <c r="BC1137" s="93"/>
      <c r="BE1137" s="93"/>
      <c r="BG1137" s="93"/>
      <c r="BH1137" s="93"/>
      <c r="BI1137" s="93"/>
      <c r="BJ1137" s="155"/>
      <c r="BK1137" s="93"/>
    </row>
    <row r="1138">
      <c r="A1138" s="166">
        <v>44701.97401520833</v>
      </c>
      <c r="B1138" s="44" t="s">
        <v>123</v>
      </c>
      <c r="C1138" s="128">
        <v>742.7585014610939</v>
      </c>
      <c r="D1138" s="128">
        <v>18.0</v>
      </c>
      <c r="E1138" s="128">
        <v>746.9587897833359</v>
      </c>
      <c r="F1138" s="44" t="s">
        <v>27</v>
      </c>
      <c r="G1138" s="128">
        <v>1250.4886311811529</v>
      </c>
      <c r="H1138" s="128">
        <v>16.0</v>
      </c>
      <c r="I1138" s="128">
        <v>1253.0895453415264</v>
      </c>
      <c r="J1138" s="44" t="s">
        <v>23</v>
      </c>
      <c r="K1138" s="128">
        <v>1315.088023638127</v>
      </c>
      <c r="L1138" s="128">
        <v>26.0</v>
      </c>
      <c r="M1138" s="128">
        <v>1321.2868211555115</v>
      </c>
      <c r="N1138" s="44"/>
      <c r="O1138" s="128"/>
      <c r="P1138" s="128"/>
      <c r="Q1138" s="128"/>
      <c r="V1138" s="44" t="s">
        <v>47</v>
      </c>
      <c r="W1138" s="128">
        <v>1012.6998807447743</v>
      </c>
      <c r="X1138" s="128">
        <v>22.0</v>
      </c>
      <c r="Y1138" s="128">
        <v>1009.7415588484802</v>
      </c>
      <c r="Z1138" s="44" t="s">
        <v>92</v>
      </c>
      <c r="AA1138" s="128">
        <v>1065.2747771158035</v>
      </c>
      <c r="AB1138" s="128">
        <v>13.0</v>
      </c>
      <c r="AC1138" s="128">
        <v>1059.00419936798</v>
      </c>
      <c r="AD1138" s="44" t="s">
        <v>61</v>
      </c>
      <c r="AE1138" s="128">
        <v>1095.314910265729</v>
      </c>
      <c r="AF1138" s="128">
        <v>20.0</v>
      </c>
      <c r="AG1138" s="128">
        <v>1091.5438099098465</v>
      </c>
      <c r="AH1138" s="44"/>
      <c r="AI1138" s="128"/>
      <c r="AJ1138" s="128"/>
      <c r="AK1138" s="128"/>
      <c r="AP1138" s="128">
        <v>16.0</v>
      </c>
      <c r="AQ1138" s="128">
        <v>12.0</v>
      </c>
      <c r="AT1138" s="44">
        <v>1137.0</v>
      </c>
      <c r="AU1138" s="44"/>
      <c r="AW1138" s="93"/>
      <c r="AY1138" s="93"/>
      <c r="AZ1138" s="93"/>
      <c r="BA1138" s="93"/>
      <c r="BB1138" s="155"/>
      <c r="BC1138" s="93"/>
      <c r="BE1138" s="93"/>
      <c r="BG1138" s="93"/>
      <c r="BH1138" s="93"/>
      <c r="BI1138" s="93"/>
      <c r="BJ1138" s="155"/>
      <c r="BK1138" s="93"/>
    </row>
    <row r="1139">
      <c r="A1139" s="166">
        <v>44702.011892291666</v>
      </c>
      <c r="B1139" s="44" t="s">
        <v>123</v>
      </c>
      <c r="C1139" s="128">
        <v>746.9587897833359</v>
      </c>
      <c r="D1139" s="128">
        <v>5.0</v>
      </c>
      <c r="E1139" s="128">
        <v>737.6124364600444</v>
      </c>
      <c r="F1139" s="44" t="s">
        <v>47</v>
      </c>
      <c r="G1139" s="128">
        <v>1009.7415588484802</v>
      </c>
      <c r="H1139" s="128">
        <v>21.0</v>
      </c>
      <c r="I1139" s="128">
        <v>1006.4180959041753</v>
      </c>
      <c r="J1139" s="44" t="s">
        <v>92</v>
      </c>
      <c r="K1139" s="128">
        <v>1059.00419936798</v>
      </c>
      <c r="L1139" s="128">
        <v>16.0</v>
      </c>
      <c r="M1139" s="128">
        <v>1053.5331290407926</v>
      </c>
      <c r="N1139" s="44" t="s">
        <v>23</v>
      </c>
      <c r="O1139" s="128">
        <v>1321.2868211555115</v>
      </c>
      <c r="P1139" s="128">
        <v>25.0</v>
      </c>
      <c r="Q1139" s="128">
        <v>1319.4277077502954</v>
      </c>
      <c r="V1139" s="44" t="s">
        <v>125</v>
      </c>
      <c r="W1139" s="128">
        <v>666.7872051446849</v>
      </c>
      <c r="X1139" s="128">
        <v>12.0</v>
      </c>
      <c r="Y1139" s="128">
        <v>668.965578073747</v>
      </c>
      <c r="Z1139" s="44" t="s">
        <v>61</v>
      </c>
      <c r="AA1139" s="128">
        <v>1091.5438099098465</v>
      </c>
      <c r="AB1139" s="128">
        <v>17.0</v>
      </c>
      <c r="AC1139" s="128">
        <v>1094.4791682757632</v>
      </c>
      <c r="AD1139" s="44" t="s">
        <v>34</v>
      </c>
      <c r="AE1139" s="128">
        <v>1123.383366455072</v>
      </c>
      <c r="AF1139" s="128">
        <v>28.0</v>
      </c>
      <c r="AG1139" s="128">
        <v>1130.8671730364329</v>
      </c>
      <c r="AH1139" s="44" t="s">
        <v>27</v>
      </c>
      <c r="AI1139" s="128">
        <v>1253.0895453415264</v>
      </c>
      <c r="AJ1139" s="128">
        <v>28.0</v>
      </c>
      <c r="AK1139" s="128">
        <v>1260.4920074651868</v>
      </c>
      <c r="AP1139" s="128">
        <v>10.0</v>
      </c>
      <c r="AQ1139" s="128">
        <v>18.0</v>
      </c>
      <c r="AT1139" s="44">
        <v>1138.0</v>
      </c>
      <c r="AU1139" s="44"/>
      <c r="AW1139" s="93"/>
      <c r="AY1139" s="93"/>
      <c r="AZ1139" s="93"/>
      <c r="BA1139" s="93"/>
      <c r="BB1139" s="155"/>
      <c r="BC1139" s="93"/>
      <c r="BE1139" s="93"/>
      <c r="BG1139" s="93"/>
      <c r="BH1139" s="93"/>
      <c r="BI1139" s="93"/>
      <c r="BJ1139" s="155"/>
      <c r="BK1139" s="93"/>
    </row>
    <row r="1140">
      <c r="A1140" s="166">
        <v>44702.060943703706</v>
      </c>
      <c r="B1140" s="44" t="s">
        <v>123</v>
      </c>
      <c r="C1140" s="128">
        <v>737.6124364600444</v>
      </c>
      <c r="D1140" s="128">
        <v>19.0</v>
      </c>
      <c r="E1140" s="128">
        <v>734.0396703847119</v>
      </c>
      <c r="F1140" s="44" t="s">
        <v>108</v>
      </c>
      <c r="G1140" s="128">
        <v>853.3885025849454</v>
      </c>
      <c r="H1140" s="128">
        <v>9.0</v>
      </c>
      <c r="I1140" s="128">
        <v>846.1568020573022</v>
      </c>
      <c r="J1140" s="44" t="s">
        <v>112</v>
      </c>
      <c r="K1140" s="128">
        <v>996.9028439704167</v>
      </c>
      <c r="L1140" s="128">
        <v>12.0</v>
      </c>
      <c r="M1140" s="128">
        <v>990.3962761885862</v>
      </c>
      <c r="N1140" s="44" t="s">
        <v>34</v>
      </c>
      <c r="O1140" s="128">
        <v>1130.8671730364329</v>
      </c>
      <c r="P1140" s="128">
        <v>29.0</v>
      </c>
      <c r="Q1140" s="128">
        <v>1129.8888478978347</v>
      </c>
      <c r="R1140" s="44" t="s">
        <v>23</v>
      </c>
      <c r="S1140" s="128">
        <v>1319.4277077502954</v>
      </c>
      <c r="T1140" s="128">
        <v>27.0</v>
      </c>
      <c r="U1140" s="128">
        <v>1317.7170672736997</v>
      </c>
      <c r="V1140" s="44" t="s">
        <v>125</v>
      </c>
      <c r="W1140" s="128">
        <v>668.965578073747</v>
      </c>
      <c r="X1140" s="128">
        <v>6.0</v>
      </c>
      <c r="Y1140" s="128">
        <v>668.975578073747</v>
      </c>
      <c r="Z1140" s="44" t="s">
        <v>47</v>
      </c>
      <c r="AA1140" s="128">
        <v>1006.4180959041753</v>
      </c>
      <c r="AB1140" s="128">
        <v>24.0</v>
      </c>
      <c r="AC1140" s="128">
        <v>1010.7531027093581</v>
      </c>
      <c r="AD1140" s="44" t="s">
        <v>50</v>
      </c>
      <c r="AE1140" s="128">
        <v>1014.1420463580064</v>
      </c>
      <c r="AF1140" s="128">
        <v>19.0</v>
      </c>
      <c r="AG1140" s="128">
        <v>1016.7981731129059</v>
      </c>
      <c r="AH1140" s="44" t="s">
        <v>61</v>
      </c>
      <c r="AI1140" s="128">
        <v>1094.4791682757632</v>
      </c>
      <c r="AJ1140" s="128">
        <v>34.0</v>
      </c>
      <c r="AK1140" s="128">
        <v>1102.0331601644893</v>
      </c>
      <c r="AL1140" s="44" t="s">
        <v>27</v>
      </c>
      <c r="AM1140" s="128">
        <v>1260.4920074651868</v>
      </c>
      <c r="AN1140" s="128">
        <v>30.0</v>
      </c>
      <c r="AO1140" s="128">
        <v>1266.614629070852</v>
      </c>
      <c r="AP1140" s="128">
        <v>11.0</v>
      </c>
      <c r="AQ1140" s="128">
        <v>17.0</v>
      </c>
      <c r="AS1140" s="44" t="s">
        <v>466</v>
      </c>
      <c r="AT1140" s="44">
        <v>1139.0</v>
      </c>
      <c r="AU1140" s="44"/>
      <c r="AW1140" s="93"/>
      <c r="AY1140" s="93"/>
      <c r="AZ1140" s="93"/>
      <c r="BA1140" s="93"/>
      <c r="BB1140" s="155"/>
      <c r="BC1140" s="93"/>
      <c r="BE1140" s="93"/>
      <c r="BG1140" s="93"/>
      <c r="BH1140" s="93"/>
      <c r="BI1140" s="93"/>
      <c r="BJ1140" s="155"/>
      <c r="BK1140" s="93"/>
    </row>
    <row r="1141">
      <c r="A1141" s="166">
        <v>44702.101689814815</v>
      </c>
      <c r="B1141" s="44" t="s">
        <v>123</v>
      </c>
      <c r="C1141" s="128">
        <v>734.0396703847119</v>
      </c>
      <c r="D1141" s="128">
        <v>14.0</v>
      </c>
      <c r="E1141" s="128">
        <v>729.3715883184187</v>
      </c>
      <c r="F1141" s="44" t="s">
        <v>108</v>
      </c>
      <c r="G1141" s="128">
        <v>846.1568020573022</v>
      </c>
      <c r="H1141" s="128">
        <v>4.0</v>
      </c>
      <c r="I1141" s="128">
        <v>837.0269279301472</v>
      </c>
      <c r="J1141" s="44" t="s">
        <v>34</v>
      </c>
      <c r="K1141" s="128">
        <v>1129.8888478978347</v>
      </c>
      <c r="L1141" s="128">
        <v>22.0</v>
      </c>
      <c r="M1141" s="128">
        <v>1127.860453306236</v>
      </c>
      <c r="N1141" s="44" t="s">
        <v>23</v>
      </c>
      <c r="O1141" s="128">
        <v>1317.7170672736997</v>
      </c>
      <c r="P1141" s="128">
        <v>17.0</v>
      </c>
      <c r="Q1141" s="128">
        <v>1313.5434180587467</v>
      </c>
      <c r="V1141" s="44" t="s">
        <v>125</v>
      </c>
      <c r="W1141" s="128">
        <v>668.975578073747</v>
      </c>
      <c r="X1141" s="128">
        <v>0.0</v>
      </c>
      <c r="Y1141" s="128">
        <v>668.985578073747</v>
      </c>
      <c r="Z1141" s="44" t="s">
        <v>47</v>
      </c>
      <c r="AA1141" s="128">
        <v>1010.7531027093581</v>
      </c>
      <c r="AB1141" s="128">
        <v>31.0</v>
      </c>
      <c r="AC1141" s="128">
        <v>1019.5886799051751</v>
      </c>
      <c r="AD1141" s="44" t="s">
        <v>50</v>
      </c>
      <c r="AE1141" s="128">
        <v>1016.7981731129059</v>
      </c>
      <c r="AF1141" s="128">
        <v>16.0</v>
      </c>
      <c r="AG1141" s="128">
        <v>1019.3726850347475</v>
      </c>
      <c r="AH1141" s="44" t="s">
        <v>31</v>
      </c>
      <c r="AI1141" s="128">
        <v>1334.495454250965</v>
      </c>
      <c r="AJ1141" s="128">
        <v>38.0</v>
      </c>
      <c r="AK1141" s="128">
        <v>1345.9882700437533</v>
      </c>
      <c r="AP1141" s="128">
        <v>11.0</v>
      </c>
      <c r="AQ1141" s="128">
        <v>17.0</v>
      </c>
      <c r="AT1141" s="44">
        <v>1140.0</v>
      </c>
      <c r="AU1141" s="44"/>
      <c r="AW1141" s="93"/>
      <c r="AY1141" s="93"/>
      <c r="AZ1141" s="93"/>
      <c r="BA1141" s="93"/>
      <c r="BB1141" s="155"/>
      <c r="BC1141" s="93"/>
      <c r="BE1141" s="93"/>
      <c r="BG1141" s="93"/>
      <c r="BH1141" s="93"/>
      <c r="BI1141" s="93"/>
      <c r="BJ1141" s="155"/>
      <c r="BK1141" s="93"/>
    </row>
    <row r="1142">
      <c r="A1142" s="166">
        <v>44704.926825243056</v>
      </c>
      <c r="B1142" s="44" t="s">
        <v>123</v>
      </c>
      <c r="C1142" s="128">
        <v>729.3715883184187</v>
      </c>
      <c r="D1142" s="128">
        <v>15.0</v>
      </c>
      <c r="E1142" s="128">
        <v>722.4994075667491</v>
      </c>
      <c r="F1142" s="44" t="s">
        <v>112</v>
      </c>
      <c r="G1142" s="128">
        <v>990.3962761885862</v>
      </c>
      <c r="H1142" s="128">
        <v>18.0</v>
      </c>
      <c r="I1142" s="128">
        <v>984.3580700739755</v>
      </c>
      <c r="J1142" s="44" t="s">
        <v>27</v>
      </c>
      <c r="K1142" s="128">
        <v>1266.614629070852</v>
      </c>
      <c r="L1142" s="128">
        <v>15.0</v>
      </c>
      <c r="M1142" s="128">
        <v>1258.5250159371324</v>
      </c>
      <c r="N1142" s="44"/>
      <c r="O1142" s="128"/>
      <c r="P1142" s="128"/>
      <c r="Q1142" s="128"/>
      <c r="V1142" s="44" t="s">
        <v>486</v>
      </c>
      <c r="W1142" s="128">
        <v>892.0006429060174</v>
      </c>
      <c r="X1142" s="128">
        <v>26.0</v>
      </c>
      <c r="Y1142" s="128">
        <v>902.0299717990152</v>
      </c>
      <c r="Z1142" s="44" t="s">
        <v>47</v>
      </c>
      <c r="AA1142" s="128">
        <v>1019.5886799051751</v>
      </c>
      <c r="AB1142" s="128">
        <v>22.0</v>
      </c>
      <c r="AC1142" s="128">
        <v>1026.8628274375685</v>
      </c>
      <c r="AD1142" s="44" t="s">
        <v>92</v>
      </c>
      <c r="AE1142" s="128">
        <v>1053.5331290407926</v>
      </c>
      <c r="AF1142" s="128">
        <v>16.0</v>
      </c>
      <c r="AG1142" s="128">
        <v>1057.2296526154014</v>
      </c>
      <c r="AH1142" s="44"/>
      <c r="AI1142" s="128"/>
      <c r="AJ1142" s="128"/>
      <c r="AK1142" s="128"/>
      <c r="AP1142" s="128">
        <v>10.0</v>
      </c>
      <c r="AQ1142" s="128">
        <v>18.0</v>
      </c>
      <c r="AT1142" s="44">
        <v>1141.0</v>
      </c>
      <c r="AU1142" s="44"/>
      <c r="AW1142" s="93"/>
      <c r="AY1142" s="93"/>
      <c r="AZ1142" s="93"/>
      <c r="BA1142" s="93"/>
      <c r="BB1142" s="155"/>
      <c r="BC1142" s="93"/>
      <c r="BE1142" s="93"/>
      <c r="BG1142" s="93"/>
      <c r="BH1142" s="93"/>
      <c r="BI1142" s="93"/>
      <c r="BJ1142" s="155"/>
      <c r="BK1142" s="93"/>
    </row>
    <row r="1143">
      <c r="A1143" s="166">
        <v>44704.98247619213</v>
      </c>
      <c r="B1143" s="44" t="s">
        <v>123</v>
      </c>
      <c r="C1143" s="128">
        <v>722.4994075667491</v>
      </c>
      <c r="D1143" s="128">
        <v>14.0</v>
      </c>
      <c r="E1143" s="128">
        <v>717.449738863585</v>
      </c>
      <c r="F1143" s="44" t="s">
        <v>230</v>
      </c>
      <c r="G1143" s="128">
        <v>877.01</v>
      </c>
      <c r="H1143" s="128">
        <v>20.0</v>
      </c>
      <c r="I1143" s="128">
        <v>873.5349391687785</v>
      </c>
      <c r="J1143" s="44" t="s">
        <v>486</v>
      </c>
      <c r="K1143" s="128">
        <v>902.0299717990152</v>
      </c>
      <c r="L1143" s="128">
        <v>14.0</v>
      </c>
      <c r="M1143" s="128">
        <v>896.501471363227</v>
      </c>
      <c r="N1143" s="44" t="s">
        <v>47</v>
      </c>
      <c r="O1143" s="128">
        <v>1026.8628274375685</v>
      </c>
      <c r="P1143" s="128">
        <v>25.0</v>
      </c>
      <c r="Q1143" s="128">
        <v>1024.797902832164</v>
      </c>
      <c r="R1143" s="44" t="s">
        <v>27</v>
      </c>
      <c r="S1143" s="128">
        <v>1258.5250159371324</v>
      </c>
      <c r="T1143" s="128">
        <v>20.0</v>
      </c>
      <c r="U1143" s="128">
        <v>1254.6431705127106</v>
      </c>
      <c r="V1143" s="44" t="s">
        <v>125</v>
      </c>
      <c r="W1143" s="128">
        <v>668.985578073747</v>
      </c>
      <c r="X1143" s="128">
        <v>17.0</v>
      </c>
      <c r="Y1143" s="128">
        <v>672.2822798539027</v>
      </c>
      <c r="Z1143" s="44" t="s">
        <v>108</v>
      </c>
      <c r="AA1143" s="128">
        <v>837.0269279301472</v>
      </c>
      <c r="AB1143" s="128">
        <v>15.0</v>
      </c>
      <c r="AC1143" s="128">
        <v>839.0647039021701</v>
      </c>
      <c r="AD1143" s="44" t="s">
        <v>92</v>
      </c>
      <c r="AE1143" s="128">
        <v>1057.2296526154014</v>
      </c>
      <c r="AF1143" s="128">
        <v>28.0</v>
      </c>
      <c r="AG1143" s="128">
        <v>1063.1571009492036</v>
      </c>
      <c r="AH1143" s="44" t="s">
        <v>61</v>
      </c>
      <c r="AI1143" s="128">
        <v>1102.0331601644893</v>
      </c>
      <c r="AJ1143" s="128">
        <v>19.0</v>
      </c>
      <c r="AK1143" s="128">
        <v>1104.9131686984251</v>
      </c>
      <c r="AL1143" s="44" t="s">
        <v>34</v>
      </c>
      <c r="AM1143" s="128">
        <v>1127.860453306236</v>
      </c>
      <c r="AN1143" s="128">
        <v>28.0</v>
      </c>
      <c r="AO1143" s="128">
        <v>1133.7185186863194</v>
      </c>
      <c r="AP1143" s="128">
        <v>11.0</v>
      </c>
      <c r="AQ1143" s="128">
        <v>17.0</v>
      </c>
      <c r="AT1143" s="44">
        <v>1142.0</v>
      </c>
      <c r="AU1143" s="44"/>
      <c r="AW1143" s="93"/>
      <c r="AY1143" s="93"/>
      <c r="AZ1143" s="93"/>
      <c r="BA1143" s="93"/>
      <c r="BB1143" s="155"/>
      <c r="BC1143" s="93"/>
      <c r="BE1143" s="93"/>
      <c r="BG1143" s="93"/>
      <c r="BH1143" s="93"/>
      <c r="BI1143" s="93"/>
      <c r="BJ1143" s="155"/>
      <c r="BK1143" s="93"/>
    </row>
    <row r="1144">
      <c r="A1144" s="166">
        <v>44705.02021059028</v>
      </c>
      <c r="B1144" s="44" t="s">
        <v>125</v>
      </c>
      <c r="C1144" s="128">
        <v>672.2822798539027</v>
      </c>
      <c r="D1144" s="128">
        <v>10.0</v>
      </c>
      <c r="E1144" s="128">
        <v>660.961381674368</v>
      </c>
      <c r="F1144" s="44" t="s">
        <v>230</v>
      </c>
      <c r="G1144" s="128">
        <v>873.5349391687785</v>
      </c>
      <c r="H1144" s="128">
        <v>15.0</v>
      </c>
      <c r="I1144" s="128">
        <v>864.6344938819676</v>
      </c>
      <c r="J1144" s="44" t="s">
        <v>27</v>
      </c>
      <c r="K1144" s="128">
        <v>1254.6431705127106</v>
      </c>
      <c r="L1144" s="128">
        <v>22.0</v>
      </c>
      <c r="M1144" s="128">
        <v>1249.8645139790563</v>
      </c>
      <c r="N1144" s="44"/>
      <c r="O1144" s="128"/>
      <c r="P1144" s="128"/>
      <c r="Q1144" s="128"/>
      <c r="V1144" s="44" t="s">
        <v>123</v>
      </c>
      <c r="W1144" s="128">
        <v>717.449738863585</v>
      </c>
      <c r="X1144" s="128">
        <v>14.0</v>
      </c>
      <c r="Y1144" s="128">
        <v>722.9981901909484</v>
      </c>
      <c r="Z1144" s="44" t="s">
        <v>486</v>
      </c>
      <c r="AA1144" s="128">
        <v>896.501471363227</v>
      </c>
      <c r="AB1144" s="128">
        <v>21.0</v>
      </c>
      <c r="AC1144" s="128">
        <v>905.8527835155204</v>
      </c>
      <c r="AD1144" s="44" t="s">
        <v>61</v>
      </c>
      <c r="AE1144" s="128">
        <v>1104.9131686984251</v>
      </c>
      <c r="AF1144" s="128">
        <v>23.0</v>
      </c>
      <c r="AG1144" s="128">
        <v>1115.0134052187682</v>
      </c>
      <c r="AH1144" s="44"/>
      <c r="AI1144" s="128"/>
      <c r="AJ1144" s="128"/>
      <c r="AK1144" s="128"/>
      <c r="AP1144" s="128">
        <v>12.0</v>
      </c>
      <c r="AQ1144" s="128">
        <v>16.0</v>
      </c>
      <c r="AT1144" s="44">
        <v>1143.0</v>
      </c>
      <c r="AU1144" s="44"/>
      <c r="AW1144" s="93"/>
      <c r="AY1144" s="93"/>
      <c r="AZ1144" s="93"/>
      <c r="BA1144" s="93"/>
      <c r="BB1144" s="155"/>
      <c r="BC1144" s="93"/>
      <c r="BE1144" s="93"/>
      <c r="BG1144" s="93"/>
      <c r="BH1144" s="93"/>
      <c r="BI1144" s="93"/>
      <c r="BJ1144" s="155"/>
      <c r="BK1144" s="93"/>
    </row>
    <row r="1145">
      <c r="A1145" s="166">
        <v>44708.976467071756</v>
      </c>
      <c r="B1145" s="44" t="s">
        <v>248</v>
      </c>
      <c r="C1145" s="128">
        <v>992.7212814087193</v>
      </c>
      <c r="D1145" s="128">
        <v>17.0</v>
      </c>
      <c r="E1145" s="128">
        <v>986.506564691703</v>
      </c>
      <c r="F1145" s="44" t="s">
        <v>92</v>
      </c>
      <c r="G1145" s="128">
        <v>1063.1571009492036</v>
      </c>
      <c r="H1145" s="128">
        <v>20.0</v>
      </c>
      <c r="I1145" s="128">
        <v>1058.0787826683277</v>
      </c>
      <c r="J1145" s="44" t="s">
        <v>34</v>
      </c>
      <c r="K1145" s="128">
        <v>1133.7185186863194</v>
      </c>
      <c r="L1145" s="128">
        <v>24.0</v>
      </c>
      <c r="M1145" s="128">
        <v>1130.2305597009854</v>
      </c>
      <c r="N1145" s="44" t="s">
        <v>27</v>
      </c>
      <c r="O1145" s="128">
        <v>1249.8645139790563</v>
      </c>
      <c r="P1145" s="128">
        <v>20.0</v>
      </c>
      <c r="Q1145" s="128">
        <v>1244.6455079622824</v>
      </c>
      <c r="V1145" s="44" t="s">
        <v>112</v>
      </c>
      <c r="W1145" s="128">
        <v>984.3580700739755</v>
      </c>
      <c r="X1145" s="128">
        <v>18.0</v>
      </c>
      <c r="Y1145" s="128">
        <v>988.5589554246416</v>
      </c>
      <c r="Z1145" s="44" t="s">
        <v>47</v>
      </c>
      <c r="AA1145" s="128">
        <v>1024.797902832164</v>
      </c>
      <c r="AB1145" s="128">
        <v>22.0</v>
      </c>
      <c r="AC1145" s="128">
        <v>1030.59227013908</v>
      </c>
      <c r="AD1145" s="44" t="s">
        <v>38</v>
      </c>
      <c r="AE1145" s="128">
        <v>1120.378200233053</v>
      </c>
      <c r="AF1145" s="128">
        <v>19.0</v>
      </c>
      <c r="AG1145" s="128">
        <v>1124.8010601834108</v>
      </c>
      <c r="AH1145" s="44" t="s">
        <v>23</v>
      </c>
      <c r="AI1145" s="128">
        <v>1313.5434180587467</v>
      </c>
      <c r="AJ1145" s="128">
        <v>22.0</v>
      </c>
      <c r="AK1145" s="128">
        <v>1319.1253054508065</v>
      </c>
      <c r="AP1145" s="128">
        <v>12.0</v>
      </c>
      <c r="AQ1145" s="128">
        <v>15.0</v>
      </c>
      <c r="AS1145" s="44" t="s">
        <v>229</v>
      </c>
      <c r="AT1145" s="44">
        <v>1144.0</v>
      </c>
      <c r="AU1145" s="44"/>
      <c r="AW1145" s="93"/>
      <c r="AY1145" s="93"/>
      <c r="AZ1145" s="93"/>
      <c r="BA1145" s="93"/>
      <c r="BB1145" s="155"/>
      <c r="BC1145" s="93"/>
      <c r="BE1145" s="93"/>
      <c r="BG1145" s="93"/>
      <c r="BH1145" s="93"/>
      <c r="BI1145" s="93"/>
      <c r="BJ1145" s="155"/>
      <c r="BK1145" s="93"/>
    </row>
    <row r="1146">
      <c r="A1146" s="166">
        <v>44709.01479032407</v>
      </c>
      <c r="B1146" s="44" t="s">
        <v>47</v>
      </c>
      <c r="C1146" s="128">
        <v>1030.59227013908</v>
      </c>
      <c r="D1146" s="128">
        <v>23.0</v>
      </c>
      <c r="E1146" s="128">
        <v>1039.7673267398586</v>
      </c>
      <c r="F1146" s="44" t="s">
        <v>92</v>
      </c>
      <c r="G1146" s="128">
        <v>1058.0787826683277</v>
      </c>
      <c r="H1146" s="128">
        <v>16.0</v>
      </c>
      <c r="I1146" s="128">
        <v>1061.9209456958467</v>
      </c>
      <c r="J1146" s="44" t="s">
        <v>38</v>
      </c>
      <c r="K1146" s="128">
        <v>1124.8010601834108</v>
      </c>
      <c r="L1146" s="128">
        <v>16.0</v>
      </c>
      <c r="M1146" s="128">
        <v>1128.4894430956665</v>
      </c>
      <c r="N1146" s="44" t="s">
        <v>27</v>
      </c>
      <c r="O1146" s="128">
        <v>1244.6455079622824</v>
      </c>
      <c r="P1146" s="128">
        <v>37.0</v>
      </c>
      <c r="Q1146" s="128">
        <v>1263.939905421729</v>
      </c>
      <c r="V1146" s="44" t="s">
        <v>248</v>
      </c>
      <c r="W1146" s="128">
        <v>986.506564691703</v>
      </c>
      <c r="X1146" s="128">
        <v>12.0</v>
      </c>
      <c r="Y1146" s="128">
        <v>973.9402462592819</v>
      </c>
      <c r="Z1146" s="44" t="s">
        <v>112</v>
      </c>
      <c r="AA1146" s="128">
        <v>988.5589554246416</v>
      </c>
      <c r="AB1146" s="128">
        <v>17.0</v>
      </c>
      <c r="AC1146" s="128">
        <v>979.7365643517377</v>
      </c>
      <c r="AD1146" s="44" t="s">
        <v>34</v>
      </c>
      <c r="AE1146" s="128">
        <v>1130.2305597009854</v>
      </c>
      <c r="AF1146" s="128">
        <v>20.0</v>
      </c>
      <c r="AG1146" s="128">
        <v>1123.3626895517066</v>
      </c>
      <c r="AH1146" s="44" t="s">
        <v>23</v>
      </c>
      <c r="AI1146" s="128">
        <v>1319.1253054508065</v>
      </c>
      <c r="AJ1146" s="128">
        <v>19.0</v>
      </c>
      <c r="AK1146" s="128">
        <v>1311.3818851054102</v>
      </c>
      <c r="AP1146" s="128">
        <v>19.0</v>
      </c>
      <c r="AQ1146" s="128">
        <v>9.0</v>
      </c>
      <c r="AS1146" s="44" t="s">
        <v>266</v>
      </c>
      <c r="AT1146" s="44">
        <v>1145.0</v>
      </c>
      <c r="AU1146" s="44"/>
      <c r="AW1146" s="93"/>
      <c r="AY1146" s="93"/>
      <c r="AZ1146" s="93"/>
      <c r="BA1146" s="93"/>
      <c r="BB1146" s="155"/>
      <c r="BC1146" s="93"/>
      <c r="BE1146" s="93"/>
      <c r="BG1146" s="93"/>
      <c r="BH1146" s="93"/>
      <c r="BI1146" s="93"/>
      <c r="BJ1146" s="155"/>
      <c r="BK1146" s="93"/>
    </row>
    <row r="1147">
      <c r="A1147" s="166">
        <v>44709.04610266203</v>
      </c>
      <c r="B1147" s="44" t="s">
        <v>248</v>
      </c>
      <c r="C1147" s="128">
        <v>973.9402462592819</v>
      </c>
      <c r="D1147" s="128">
        <v>10.0</v>
      </c>
      <c r="E1147" s="128">
        <v>974.4651469059773</v>
      </c>
      <c r="F1147" s="44" t="s">
        <v>47</v>
      </c>
      <c r="G1147" s="128">
        <v>1039.7673267398586</v>
      </c>
      <c r="H1147" s="128">
        <v>18.0</v>
      </c>
      <c r="I1147" s="128">
        <v>1046.3861154602976</v>
      </c>
      <c r="J1147" s="44" t="s">
        <v>34</v>
      </c>
      <c r="K1147" s="128">
        <v>1123.3626895517066</v>
      </c>
      <c r="L1147" s="128">
        <v>24.0</v>
      </c>
      <c r="M1147" s="128">
        <v>1134.526670041643</v>
      </c>
      <c r="N1147" s="44" t="s">
        <v>23</v>
      </c>
      <c r="O1147" s="128">
        <v>1311.3818851054102</v>
      </c>
      <c r="P1147" s="128">
        <v>35.0</v>
      </c>
      <c r="Q1147" s="128">
        <v>1331.0742152483394</v>
      </c>
      <c r="V1147" s="44" t="s">
        <v>112</v>
      </c>
      <c r="W1147" s="128">
        <v>979.7365643517377</v>
      </c>
      <c r="X1147" s="128">
        <v>21.0</v>
      </c>
      <c r="Y1147" s="128">
        <v>972.8778652591964</v>
      </c>
      <c r="Z1147" s="44" t="s">
        <v>92</v>
      </c>
      <c r="AA1147" s="128">
        <v>1061.9209456958467</v>
      </c>
      <c r="AB1147" s="128">
        <v>15.0</v>
      </c>
      <c r="AC1147" s="128">
        <v>1050.0810215118868</v>
      </c>
      <c r="AD1147" s="44" t="s">
        <v>38</v>
      </c>
      <c r="AE1147" s="128">
        <v>1128.4894430956665</v>
      </c>
      <c r="AF1147" s="128">
        <v>19.0</v>
      </c>
      <c r="AG1147" s="128">
        <v>1119.69232877364</v>
      </c>
      <c r="AH1147" s="44" t="s">
        <v>27</v>
      </c>
      <c r="AI1147" s="128">
        <v>1263.939905421729</v>
      </c>
      <c r="AJ1147" s="128">
        <v>17.0</v>
      </c>
      <c r="AK1147" s="128">
        <v>1253.4356430202567</v>
      </c>
      <c r="AP1147" s="128">
        <v>19.0</v>
      </c>
      <c r="AQ1147" s="128">
        <v>9.0</v>
      </c>
      <c r="AS1147" s="44" t="s">
        <v>578</v>
      </c>
      <c r="AT1147" s="44">
        <v>1146.0</v>
      </c>
      <c r="AU1147" s="44"/>
      <c r="AW1147" s="93"/>
      <c r="AY1147" s="93"/>
      <c r="AZ1147" s="93"/>
      <c r="BA1147" s="93"/>
      <c r="BB1147" s="155"/>
      <c r="BC1147" s="93"/>
      <c r="BE1147" s="93"/>
      <c r="BG1147" s="93"/>
      <c r="BH1147" s="93"/>
      <c r="BI1147" s="93"/>
      <c r="BJ1147" s="155"/>
      <c r="BK1147" s="93"/>
    </row>
    <row r="1148">
      <c r="A1148" s="166">
        <v>44709.07788708333</v>
      </c>
      <c r="B1148" s="44" t="s">
        <v>248</v>
      </c>
      <c r="C1148" s="128">
        <v>974.4651469059773</v>
      </c>
      <c r="D1148" s="128">
        <v>10.0</v>
      </c>
      <c r="E1148" s="128">
        <v>963.3229920118711</v>
      </c>
      <c r="F1148" s="44" t="s">
        <v>47</v>
      </c>
      <c r="G1148" s="128">
        <v>1046.3861154602976</v>
      </c>
      <c r="H1148" s="128">
        <v>23.0</v>
      </c>
      <c r="I1148" s="128">
        <v>1042.676204638158</v>
      </c>
      <c r="J1148" s="44" t="s">
        <v>38</v>
      </c>
      <c r="K1148" s="128">
        <v>1119.69232877364</v>
      </c>
      <c r="L1148" s="128">
        <v>19.0</v>
      </c>
      <c r="M1148" s="128">
        <v>1113.5443944898857</v>
      </c>
      <c r="N1148" s="44"/>
      <c r="O1148" s="128"/>
      <c r="P1148" s="128"/>
      <c r="Q1148" s="128"/>
      <c r="V1148" s="44" t="s">
        <v>125</v>
      </c>
      <c r="W1148" s="128">
        <v>660.961381674368</v>
      </c>
      <c r="X1148" s="128">
        <v>14.0</v>
      </c>
      <c r="Y1148" s="128">
        <v>666.1027767433848</v>
      </c>
      <c r="Z1148" s="44" t="s">
        <v>34</v>
      </c>
      <c r="AA1148" s="128">
        <v>1134.526670041643</v>
      </c>
      <c r="AB1148" s="128">
        <v>29.0</v>
      </c>
      <c r="AC1148" s="128">
        <v>1146.5961569044875</v>
      </c>
      <c r="AD1148" s="44" t="s">
        <v>23</v>
      </c>
      <c r="AE1148" s="128">
        <v>1331.0742152483394</v>
      </c>
      <c r="AF1148" s="128">
        <v>15.0</v>
      </c>
      <c r="AG1148" s="128">
        <v>1334.8633333164782</v>
      </c>
      <c r="AH1148" s="44"/>
      <c r="AI1148" s="128"/>
      <c r="AJ1148" s="128"/>
      <c r="AK1148" s="128"/>
      <c r="AP1148" s="128">
        <v>12.0</v>
      </c>
      <c r="AQ1148" s="128">
        <v>16.0</v>
      </c>
      <c r="AT1148" s="44">
        <v>1147.0</v>
      </c>
      <c r="AU1148" s="44"/>
      <c r="AW1148" s="93"/>
      <c r="AY1148" s="93"/>
      <c r="AZ1148" s="93"/>
      <c r="BA1148" s="93"/>
      <c r="BB1148" s="155"/>
      <c r="BC1148" s="93"/>
      <c r="BE1148" s="93"/>
      <c r="BG1148" s="93"/>
      <c r="BH1148" s="93"/>
      <c r="BI1148" s="93"/>
      <c r="BJ1148" s="155"/>
      <c r="BK1148" s="93"/>
    </row>
    <row r="1149">
      <c r="A1149" s="166">
        <v>44710.07150866898</v>
      </c>
      <c r="B1149" s="44" t="s">
        <v>125</v>
      </c>
      <c r="C1149" s="128">
        <v>666.1027767433848</v>
      </c>
      <c r="D1149" s="128">
        <v>10.0</v>
      </c>
      <c r="E1149" s="128">
        <v>671.0822943290868</v>
      </c>
      <c r="F1149" s="44" t="s">
        <v>23</v>
      </c>
      <c r="G1149" s="128">
        <v>1334.8633333164782</v>
      </c>
      <c r="H1149" s="128">
        <v>21.0</v>
      </c>
      <c r="I1149" s="128">
        <v>1351.4735966706144</v>
      </c>
      <c r="J1149" s="44" t="s">
        <v>31</v>
      </c>
      <c r="K1149" s="128">
        <v>1345.9882700437533</v>
      </c>
      <c r="L1149" s="128">
        <v>32.0</v>
      </c>
      <c r="M1149" s="128">
        <v>1379.3984891039152</v>
      </c>
      <c r="N1149" s="44"/>
      <c r="O1149" s="128"/>
      <c r="P1149" s="128"/>
      <c r="Q1149" s="128"/>
      <c r="V1149" s="44" t="s">
        <v>38</v>
      </c>
      <c r="W1149" s="128">
        <v>1113.5443944898857</v>
      </c>
      <c r="X1149" s="128">
        <v>13.0</v>
      </c>
      <c r="Y1149" s="128">
        <v>1091.7258787271498</v>
      </c>
      <c r="Z1149" s="44" t="s">
        <v>61</v>
      </c>
      <c r="AA1149" s="128">
        <v>1115.0134052187682</v>
      </c>
      <c r="AB1149" s="128">
        <v>19.0</v>
      </c>
      <c r="AC1149" s="128">
        <v>1102.3576648809374</v>
      </c>
      <c r="AD1149" s="44" t="s">
        <v>27</v>
      </c>
      <c r="AE1149" s="128">
        <v>1253.4356430202567</v>
      </c>
      <c r="AF1149" s="128">
        <v>14.0</v>
      </c>
      <c r="AG1149" s="128">
        <v>1232.9098991208234</v>
      </c>
      <c r="AH1149" s="44"/>
      <c r="AI1149" s="128"/>
      <c r="AJ1149" s="128"/>
      <c r="AK1149" s="128"/>
      <c r="AP1149" s="128">
        <v>19.0</v>
      </c>
      <c r="AQ1149" s="128">
        <v>9.0</v>
      </c>
      <c r="AT1149" s="44">
        <v>1148.0</v>
      </c>
      <c r="AU1149" s="44"/>
      <c r="AW1149" s="93"/>
      <c r="AY1149" s="93"/>
      <c r="AZ1149" s="93"/>
      <c r="BA1149" s="93"/>
      <c r="BB1149" s="155"/>
      <c r="BC1149" s="93"/>
      <c r="BE1149" s="93"/>
      <c r="BG1149" s="93"/>
      <c r="BH1149" s="93"/>
      <c r="BI1149" s="93"/>
      <c r="BJ1149" s="155"/>
      <c r="BK1149" s="93"/>
    </row>
    <row r="1150">
      <c r="A1150" s="166">
        <v>44710.105243530095</v>
      </c>
      <c r="B1150" s="44" t="s">
        <v>125</v>
      </c>
      <c r="C1150" s="128">
        <v>671.0822943290868</v>
      </c>
      <c r="D1150" s="128">
        <v>9.0</v>
      </c>
      <c r="E1150" s="128">
        <v>671.0922943290868</v>
      </c>
      <c r="F1150" s="44" t="s">
        <v>23</v>
      </c>
      <c r="G1150" s="128">
        <v>1351.4735966706144</v>
      </c>
      <c r="H1150" s="128">
        <v>29.0</v>
      </c>
      <c r="I1150" s="128">
        <v>1373.3522520064796</v>
      </c>
      <c r="J1150" s="44" t="s">
        <v>31</v>
      </c>
      <c r="K1150" s="128">
        <v>1379.3984891039152</v>
      </c>
      <c r="L1150" s="128">
        <v>34.0</v>
      </c>
      <c r="M1150" s="128">
        <v>1408.2103729171429</v>
      </c>
      <c r="N1150" s="44"/>
      <c r="O1150" s="128"/>
      <c r="P1150" s="128"/>
      <c r="Q1150" s="128"/>
      <c r="V1150" s="44" t="s">
        <v>38</v>
      </c>
      <c r="W1150" s="128">
        <v>1091.7258787271498</v>
      </c>
      <c r="X1150" s="128">
        <v>9.0</v>
      </c>
      <c r="Y1150" s="128">
        <v>1070.009839285413</v>
      </c>
      <c r="Z1150" s="44" t="s">
        <v>61</v>
      </c>
      <c r="AA1150" s="128">
        <v>1102.3576648809374</v>
      </c>
      <c r="AB1150" s="128">
        <v>16.0</v>
      </c>
      <c r="AC1150" s="128">
        <v>1090.340366759102</v>
      </c>
      <c r="AD1150" s="44" t="s">
        <v>34</v>
      </c>
      <c r="AE1150" s="128">
        <v>1146.5961569044875</v>
      </c>
      <c r="AF1150" s="128">
        <v>13.0</v>
      </c>
      <c r="AG1150" s="128">
        <v>1130.32949446806</v>
      </c>
      <c r="AH1150" s="44"/>
      <c r="AI1150" s="128"/>
      <c r="AJ1150" s="128"/>
      <c r="AK1150" s="128"/>
      <c r="AP1150" s="128">
        <v>23.0</v>
      </c>
      <c r="AQ1150" s="128">
        <v>5.0</v>
      </c>
      <c r="AT1150" s="44">
        <v>1149.0</v>
      </c>
      <c r="AU1150" s="44"/>
      <c r="AW1150" s="93"/>
      <c r="AY1150" s="93"/>
      <c r="AZ1150" s="93"/>
      <c r="BA1150" s="93"/>
      <c r="BB1150" s="155"/>
      <c r="BC1150" s="93"/>
      <c r="BE1150" s="93"/>
      <c r="BG1150" s="93"/>
      <c r="BH1150" s="93"/>
      <c r="BI1150" s="93"/>
      <c r="BJ1150" s="155"/>
      <c r="BK1150" s="93"/>
    </row>
    <row r="1151">
      <c r="A1151" s="166">
        <v>44711.00892923611</v>
      </c>
      <c r="B1151" s="44" t="s">
        <v>125</v>
      </c>
      <c r="C1151" s="128">
        <v>671.0922943290868</v>
      </c>
      <c r="D1151" s="128">
        <v>10.0</v>
      </c>
      <c r="E1151" s="128">
        <v>665.5035932171414</v>
      </c>
      <c r="F1151" s="44" t="s">
        <v>31</v>
      </c>
      <c r="G1151" s="128">
        <v>1408.2103729171429</v>
      </c>
      <c r="H1151" s="128">
        <v>18.0</v>
      </c>
      <c r="I1151" s="128">
        <v>1404.7990740290882</v>
      </c>
      <c r="J1151" s="44"/>
      <c r="K1151" s="128"/>
      <c r="L1151" s="128"/>
      <c r="M1151" s="128"/>
      <c r="N1151" s="44"/>
      <c r="O1151" s="128"/>
      <c r="P1151" s="128"/>
      <c r="Q1151" s="128"/>
      <c r="V1151" s="44" t="s">
        <v>92</v>
      </c>
      <c r="W1151" s="128">
        <v>1050.0810215118868</v>
      </c>
      <c r="X1151" s="128">
        <v>22.0</v>
      </c>
      <c r="Y1151" s="128">
        <v>1055.9555359234432</v>
      </c>
      <c r="Z1151" s="44" t="s">
        <v>27</v>
      </c>
      <c r="AA1151" s="128">
        <v>1232.9098991208234</v>
      </c>
      <c r="AB1151" s="128">
        <v>15.0</v>
      </c>
      <c r="AC1151" s="128">
        <v>1236.035384709267</v>
      </c>
      <c r="AD1151" s="44"/>
      <c r="AE1151" s="128"/>
      <c r="AF1151" s="128"/>
      <c r="AG1151" s="128"/>
      <c r="AH1151" s="44"/>
      <c r="AI1151" s="128"/>
      <c r="AJ1151" s="128"/>
      <c r="AK1151" s="128"/>
      <c r="AP1151" s="128">
        <v>12.0</v>
      </c>
      <c r="AQ1151" s="128">
        <v>16.0</v>
      </c>
      <c r="AT1151" s="44">
        <v>1150.0</v>
      </c>
      <c r="AU1151" s="44"/>
      <c r="AW1151" s="93"/>
      <c r="AY1151" s="93"/>
      <c r="AZ1151" s="93"/>
      <c r="BA1151" s="93"/>
      <c r="BB1151" s="155"/>
      <c r="BC1151" s="93"/>
      <c r="BE1151" s="93"/>
      <c r="BG1151" s="93"/>
      <c r="BH1151" s="93"/>
      <c r="BI1151" s="93"/>
      <c r="BJ1151" s="155"/>
      <c r="BK1151" s="93"/>
    </row>
    <row r="1152">
      <c r="A1152" s="166">
        <v>44711.03799842593</v>
      </c>
      <c r="B1152" s="44" t="s">
        <v>125</v>
      </c>
      <c r="C1152" s="128">
        <v>665.5035932171414</v>
      </c>
      <c r="D1152" s="128">
        <v>6.0</v>
      </c>
      <c r="E1152" s="128">
        <v>666.7627807249978</v>
      </c>
      <c r="F1152" s="44" t="s">
        <v>31</v>
      </c>
      <c r="G1152" s="128">
        <v>1404.7990740290882</v>
      </c>
      <c r="H1152" s="128">
        <v>31.0</v>
      </c>
      <c r="I1152" s="128">
        <v>1434.539886521232</v>
      </c>
      <c r="J1152" s="44"/>
      <c r="K1152" s="128"/>
      <c r="L1152" s="128"/>
      <c r="M1152" s="128"/>
      <c r="N1152" s="44"/>
      <c r="O1152" s="128"/>
      <c r="P1152" s="128"/>
      <c r="Q1152" s="128"/>
      <c r="V1152" s="44" t="s">
        <v>92</v>
      </c>
      <c r="W1152" s="128">
        <v>1055.9555359234432</v>
      </c>
      <c r="X1152" s="128">
        <v>17.0</v>
      </c>
      <c r="Y1152" s="128">
        <v>1041.283447311355</v>
      </c>
      <c r="Z1152" s="44" t="s">
        <v>27</v>
      </c>
      <c r="AA1152" s="128">
        <v>1236.035384709267</v>
      </c>
      <c r="AB1152" s="128">
        <v>16.0</v>
      </c>
      <c r="AC1152" s="128">
        <v>1219.707473321355</v>
      </c>
      <c r="AD1152" s="44"/>
      <c r="AE1152" s="128"/>
      <c r="AF1152" s="128"/>
      <c r="AG1152" s="128"/>
      <c r="AH1152" s="44"/>
      <c r="AI1152" s="128"/>
      <c r="AJ1152" s="128"/>
      <c r="AK1152" s="128"/>
      <c r="AP1152" s="128">
        <v>17.0</v>
      </c>
      <c r="AQ1152" s="128">
        <v>11.0</v>
      </c>
      <c r="AT1152" s="44">
        <v>1151.0</v>
      </c>
      <c r="AU1152" s="44"/>
      <c r="AW1152" s="93"/>
      <c r="AY1152" s="93"/>
      <c r="AZ1152" s="93"/>
      <c r="BA1152" s="93"/>
      <c r="BB1152" s="155"/>
      <c r="BC1152" s="93"/>
      <c r="BE1152" s="93"/>
      <c r="BG1152" s="93"/>
      <c r="BH1152" s="93"/>
      <c r="BI1152" s="93"/>
      <c r="BJ1152" s="155"/>
      <c r="BK1152" s="93"/>
    </row>
    <row r="1153">
      <c r="A1153" s="166">
        <v>44712.96462130787</v>
      </c>
      <c r="B1153" s="44" t="s">
        <v>108</v>
      </c>
      <c r="C1153" s="128">
        <v>839.0647039021701</v>
      </c>
      <c r="D1153" s="128">
        <v>13.0</v>
      </c>
      <c r="E1153" s="128">
        <v>842.7176725473252</v>
      </c>
      <c r="F1153" s="44" t="s">
        <v>110</v>
      </c>
      <c r="G1153" s="128">
        <v>1003.9744951111203</v>
      </c>
      <c r="H1153" s="128">
        <v>24.0</v>
      </c>
      <c r="I1153" s="128">
        <v>1013.8007476566792</v>
      </c>
      <c r="J1153" s="44" t="s">
        <v>92</v>
      </c>
      <c r="K1153" s="128">
        <v>1041.283447311355</v>
      </c>
      <c r="L1153" s="128">
        <v>22.0</v>
      </c>
      <c r="M1153" s="128">
        <v>1049.8042261206413</v>
      </c>
      <c r="N1153" s="44"/>
      <c r="O1153" s="128"/>
      <c r="P1153" s="128"/>
      <c r="Q1153" s="128"/>
      <c r="V1153" s="44" t="s">
        <v>123</v>
      </c>
      <c r="W1153" s="128">
        <v>722.9981901909484</v>
      </c>
      <c r="X1153" s="128">
        <v>12.0</v>
      </c>
      <c r="Y1153" s="128">
        <v>712.7612421726311</v>
      </c>
      <c r="Z1153" s="44" t="s">
        <v>112</v>
      </c>
      <c r="AA1153" s="128">
        <v>972.8778652591964</v>
      </c>
      <c r="AB1153" s="128">
        <v>22.0</v>
      </c>
      <c r="AC1153" s="128">
        <v>967.7897930413482</v>
      </c>
      <c r="AD1153" s="44" t="s">
        <v>27</v>
      </c>
      <c r="AE1153" s="128">
        <v>1219.707473321355</v>
      </c>
      <c r="AF1153" s="128">
        <v>20.0</v>
      </c>
      <c r="AG1153" s="128">
        <v>1213.0324935575206</v>
      </c>
      <c r="AH1153" s="44"/>
      <c r="AI1153" s="128"/>
      <c r="AJ1153" s="128"/>
      <c r="AK1153" s="128"/>
      <c r="AP1153" s="128">
        <v>16.0</v>
      </c>
      <c r="AQ1153" s="128">
        <v>11.0</v>
      </c>
      <c r="AT1153" s="44">
        <v>1152.0</v>
      </c>
      <c r="AU1153" s="44"/>
      <c r="AW1153" s="93"/>
      <c r="AY1153" s="93"/>
      <c r="AZ1153" s="93"/>
      <c r="BA1153" s="93"/>
      <c r="BB1153" s="155"/>
      <c r="BC1153" s="93"/>
      <c r="BE1153" s="93"/>
      <c r="BG1153" s="93"/>
      <c r="BH1153" s="93"/>
      <c r="BI1153" s="93"/>
      <c r="BJ1153" s="155"/>
      <c r="BK1153" s="93"/>
    </row>
    <row r="1154">
      <c r="A1154" s="166">
        <v>44713.00463085648</v>
      </c>
      <c r="B1154" s="44" t="s">
        <v>123</v>
      </c>
      <c r="C1154" s="128">
        <v>712.7612421726311</v>
      </c>
      <c r="D1154" s="128">
        <v>22.0</v>
      </c>
      <c r="E1154" s="128">
        <v>712.7712421726311</v>
      </c>
      <c r="F1154" s="44" t="s">
        <v>108</v>
      </c>
      <c r="G1154" s="128">
        <v>842.7176725473252</v>
      </c>
      <c r="H1154" s="128">
        <v>15.0</v>
      </c>
      <c r="I1154" s="128">
        <v>842.7276725473251</v>
      </c>
      <c r="J1154" s="44" t="s">
        <v>112</v>
      </c>
      <c r="K1154" s="128">
        <v>967.7897930413482</v>
      </c>
      <c r="L1154" s="128">
        <v>26.0</v>
      </c>
      <c r="M1154" s="128">
        <v>967.7997930413482</v>
      </c>
      <c r="N1154" s="44" t="s">
        <v>31</v>
      </c>
      <c r="O1154" s="128">
        <v>1434.539886521232</v>
      </c>
      <c r="P1154" s="128">
        <v>17.0</v>
      </c>
      <c r="Q1154" s="128">
        <v>1434.5498865212319</v>
      </c>
      <c r="V1154" s="44" t="s">
        <v>125</v>
      </c>
      <c r="W1154" s="128">
        <v>666.7627807249978</v>
      </c>
      <c r="X1154" s="128">
        <v>9.0</v>
      </c>
      <c r="Y1154" s="128">
        <v>666.7727807249978</v>
      </c>
      <c r="Z1154" s="44" t="s">
        <v>110</v>
      </c>
      <c r="AA1154" s="128">
        <v>1013.8007476566792</v>
      </c>
      <c r="AB1154" s="128">
        <v>23.0</v>
      </c>
      <c r="AC1154" s="128">
        <v>1013.8107476566792</v>
      </c>
      <c r="AD1154" s="44" t="s">
        <v>92</v>
      </c>
      <c r="AE1154" s="128">
        <v>1049.8042261206413</v>
      </c>
      <c r="AF1154" s="128">
        <v>20.0</v>
      </c>
      <c r="AG1154" s="128">
        <v>1049.8142261206413</v>
      </c>
      <c r="AH1154" s="44" t="s">
        <v>27</v>
      </c>
      <c r="AI1154" s="128">
        <v>1213.0324935575206</v>
      </c>
      <c r="AJ1154" s="128">
        <v>24.0</v>
      </c>
      <c r="AK1154" s="128">
        <v>1213.0424935575206</v>
      </c>
      <c r="AP1154" s="128">
        <v>14.0</v>
      </c>
      <c r="AQ1154" s="128">
        <v>14.0</v>
      </c>
      <c r="AT1154" s="44">
        <v>1153.0</v>
      </c>
      <c r="AU1154" s="44"/>
      <c r="AW1154" s="93"/>
      <c r="AY1154" s="93"/>
      <c r="AZ1154" s="93"/>
      <c r="BA1154" s="93"/>
      <c r="BB1154" s="155"/>
      <c r="BC1154" s="93"/>
      <c r="BE1154" s="93"/>
      <c r="BG1154" s="93"/>
      <c r="BH1154" s="93"/>
      <c r="BI1154" s="93"/>
      <c r="BJ1154" s="155"/>
      <c r="BK1154" s="93"/>
    </row>
    <row r="1155">
      <c r="A1155" s="166">
        <v>44713.96902050926</v>
      </c>
      <c r="B1155" s="44" t="s">
        <v>123</v>
      </c>
      <c r="C1155" s="128">
        <v>712.7712421726311</v>
      </c>
      <c r="D1155" s="128">
        <v>8.0</v>
      </c>
      <c r="E1155" s="128">
        <v>713.0749552928945</v>
      </c>
      <c r="F1155" s="44" t="s">
        <v>486</v>
      </c>
      <c r="G1155" s="128">
        <v>905.8527835155204</v>
      </c>
      <c r="H1155" s="128">
        <v>30.0</v>
      </c>
      <c r="I1155" s="128">
        <v>912.9972759553917</v>
      </c>
      <c r="J1155" s="44" t="s">
        <v>61</v>
      </c>
      <c r="K1155" s="128">
        <v>1090.340366759102</v>
      </c>
      <c r="L1155" s="128">
        <v>23.0</v>
      </c>
      <c r="M1155" s="128">
        <v>1094.8921611989672</v>
      </c>
      <c r="N1155" s="44"/>
      <c r="O1155" s="128"/>
      <c r="P1155" s="128"/>
      <c r="Q1155" s="128"/>
      <c r="V1155" s="44" t="s">
        <v>125</v>
      </c>
      <c r="W1155" s="128">
        <v>666.7727807249978</v>
      </c>
      <c r="X1155" s="128">
        <v>18.0</v>
      </c>
      <c r="Y1155" s="128">
        <v>663.4873832447632</v>
      </c>
      <c r="Z1155" s="44" t="s">
        <v>47</v>
      </c>
      <c r="AA1155" s="128">
        <v>1042.676204638158</v>
      </c>
      <c r="AB1155" s="128">
        <v>23.0</v>
      </c>
      <c r="AC1155" s="128">
        <v>1040.3314030764332</v>
      </c>
      <c r="AD1155" s="44" t="s">
        <v>38</v>
      </c>
      <c r="AE1155" s="128">
        <v>1070.009839285413</v>
      </c>
      <c r="AF1155" s="128">
        <v>11.0</v>
      </c>
      <c r="AG1155" s="128">
        <v>1063.6400383273724</v>
      </c>
      <c r="AH1155" s="44"/>
      <c r="AI1155" s="128"/>
      <c r="AJ1155" s="128"/>
      <c r="AK1155" s="128"/>
      <c r="AP1155" s="128">
        <v>15.0</v>
      </c>
      <c r="AQ1155" s="128">
        <v>13.0</v>
      </c>
      <c r="AT1155" s="44">
        <v>1154.0</v>
      </c>
      <c r="AU1155" s="44"/>
      <c r="AW1155" s="93"/>
      <c r="AY1155" s="93"/>
      <c r="AZ1155" s="93"/>
      <c r="BA1155" s="93"/>
      <c r="BB1155" s="155"/>
      <c r="BC1155" s="93"/>
      <c r="BE1155" s="93"/>
      <c r="BG1155" s="93"/>
      <c r="BH1155" s="93"/>
      <c r="BI1155" s="93"/>
      <c r="BJ1155" s="155"/>
      <c r="BK1155" s="93"/>
    </row>
    <row r="1156">
      <c r="A1156" s="166">
        <v>44714.020418541666</v>
      </c>
      <c r="B1156" s="44" t="s">
        <v>125</v>
      </c>
      <c r="C1156" s="128">
        <v>663.4873832447632</v>
      </c>
      <c r="D1156" s="128">
        <v>17.0</v>
      </c>
      <c r="E1156" s="128">
        <v>666.3333872990622</v>
      </c>
      <c r="F1156" s="44" t="s">
        <v>108</v>
      </c>
      <c r="G1156" s="128">
        <v>842.7276725473251</v>
      </c>
      <c r="H1156" s="128">
        <v>29.0</v>
      </c>
      <c r="I1156" s="128">
        <v>849.0038418914417</v>
      </c>
      <c r="J1156" s="44" t="s">
        <v>110</v>
      </c>
      <c r="K1156" s="128">
        <v>1013.8107476566792</v>
      </c>
      <c r="L1156" s="128">
        <v>19.0</v>
      </c>
      <c r="M1156" s="128">
        <v>1016.4119333320082</v>
      </c>
      <c r="N1156" s="44" t="s">
        <v>47</v>
      </c>
      <c r="O1156" s="128">
        <v>1040.3314030764332</v>
      </c>
      <c r="P1156" s="128">
        <v>20.0</v>
      </c>
      <c r="Q1156" s="128">
        <v>1043.2299975475055</v>
      </c>
      <c r="R1156" s="44" t="s">
        <v>31</v>
      </c>
      <c r="S1156" s="128">
        <v>1434.5498865212319</v>
      </c>
      <c r="T1156" s="128">
        <v>28.0</v>
      </c>
      <c r="U1156" s="128">
        <v>1439.9279329764151</v>
      </c>
      <c r="V1156" s="44" t="s">
        <v>123</v>
      </c>
      <c r="W1156" s="128">
        <v>713.0749552928945</v>
      </c>
      <c r="X1156" s="128">
        <v>8.0</v>
      </c>
      <c r="Y1156" s="128">
        <v>705.7390389331391</v>
      </c>
      <c r="Z1156" s="44" t="s">
        <v>486</v>
      </c>
      <c r="AA1156" s="128">
        <v>912.9972759553917</v>
      </c>
      <c r="AB1156" s="128">
        <v>14.0</v>
      </c>
      <c r="AC1156" s="128">
        <v>907.1849703256185</v>
      </c>
      <c r="AD1156" s="44" t="s">
        <v>38</v>
      </c>
      <c r="AE1156" s="128">
        <v>1063.6400383273724</v>
      </c>
      <c r="AF1156" s="128">
        <v>26.0</v>
      </c>
      <c r="AG1156" s="128">
        <v>1061.6206077274899</v>
      </c>
      <c r="AH1156" s="44" t="s">
        <v>61</v>
      </c>
      <c r="AI1156" s="128">
        <v>1094.8921611989672</v>
      </c>
      <c r="AJ1156" s="128">
        <v>28.0</v>
      </c>
      <c r="AK1156" s="128">
        <v>1093.5111521489225</v>
      </c>
      <c r="AL1156" s="44" t="s">
        <v>27</v>
      </c>
      <c r="AM1156" s="128">
        <v>1213.0424935575206</v>
      </c>
      <c r="AN1156" s="128">
        <v>22.0</v>
      </c>
      <c r="AO1156" s="128">
        <v>1209.5911551969764</v>
      </c>
      <c r="AP1156" s="128">
        <v>17.0</v>
      </c>
      <c r="AQ1156" s="128">
        <v>11.0</v>
      </c>
      <c r="AT1156" s="44">
        <v>1155.0</v>
      </c>
      <c r="AU1156" s="44"/>
      <c r="AW1156" s="93"/>
      <c r="AY1156" s="93"/>
      <c r="AZ1156" s="93"/>
      <c r="BA1156" s="93"/>
      <c r="BB1156" s="155"/>
      <c r="BC1156" s="93"/>
      <c r="BE1156" s="93"/>
      <c r="BG1156" s="93"/>
      <c r="BH1156" s="93"/>
      <c r="BI1156" s="93"/>
      <c r="BJ1156" s="155"/>
      <c r="BK1156" s="93"/>
    </row>
    <row r="1157">
      <c r="A1157" s="166">
        <v>44714.96982521991</v>
      </c>
      <c r="B1157" s="44" t="s">
        <v>486</v>
      </c>
      <c r="C1157" s="128">
        <v>907.1849703256185</v>
      </c>
      <c r="D1157" s="128">
        <v>21.0</v>
      </c>
      <c r="E1157" s="128">
        <v>904.700701384305</v>
      </c>
      <c r="F1157" s="44" t="s">
        <v>47</v>
      </c>
      <c r="G1157" s="128">
        <v>1043.2299975475055</v>
      </c>
      <c r="H1157" s="128">
        <v>25.0</v>
      </c>
      <c r="I1157" s="128">
        <v>1041.4470032976074</v>
      </c>
      <c r="J1157" s="44" t="s">
        <v>61</v>
      </c>
      <c r="K1157" s="128">
        <v>1093.5111521489225</v>
      </c>
      <c r="L1157" s="128">
        <v>21.0</v>
      </c>
      <c r="M1157" s="128">
        <v>1090.862501855271</v>
      </c>
      <c r="N1157" s="44" t="s">
        <v>34</v>
      </c>
      <c r="O1157" s="128">
        <v>1130.32949446806</v>
      </c>
      <c r="P1157" s="128">
        <v>19.0</v>
      </c>
      <c r="Q1157" s="128">
        <v>1127.245407952923</v>
      </c>
      <c r="V1157" s="44" t="s">
        <v>123</v>
      </c>
      <c r="W1157" s="128">
        <v>705.7390389331391</v>
      </c>
      <c r="X1157" s="128">
        <v>12.0</v>
      </c>
      <c r="Y1157" s="128">
        <v>706.7236806409929</v>
      </c>
      <c r="Z1157" s="44" t="s">
        <v>110</v>
      </c>
      <c r="AA1157" s="128">
        <v>1016.4119333320082</v>
      </c>
      <c r="AB1157" s="128">
        <v>18.0</v>
      </c>
      <c r="AC1157" s="128">
        <v>1018.2099948421369</v>
      </c>
      <c r="AD1157" s="44" t="s">
        <v>50</v>
      </c>
      <c r="AE1157" s="128">
        <v>1019.3726850347475</v>
      </c>
      <c r="AF1157" s="128">
        <v>23.0</v>
      </c>
      <c r="AG1157" s="128">
        <v>1022.210017583139</v>
      </c>
      <c r="AH1157" s="44" t="s">
        <v>31</v>
      </c>
      <c r="AI1157" s="128">
        <v>1439.9279329764151</v>
      </c>
      <c r="AJ1157" s="128">
        <v>31.0</v>
      </c>
      <c r="AK1157" s="128">
        <v>1444.3078972100411</v>
      </c>
      <c r="AP1157" s="128">
        <v>13.0</v>
      </c>
      <c r="AQ1157" s="128">
        <v>15.0</v>
      </c>
      <c r="AT1157" s="44">
        <v>1156.0</v>
      </c>
      <c r="AU1157" s="44"/>
      <c r="AW1157" s="93"/>
      <c r="AY1157" s="93"/>
      <c r="AZ1157" s="93"/>
      <c r="BA1157" s="93"/>
      <c r="BB1157" s="155"/>
      <c r="BC1157" s="93"/>
      <c r="BE1157" s="93"/>
      <c r="BG1157" s="93"/>
      <c r="BH1157" s="93"/>
      <c r="BI1157" s="93"/>
      <c r="BJ1157" s="155"/>
      <c r="BK1157" s="93"/>
    </row>
    <row r="1158">
      <c r="A1158" s="166">
        <v>44716.985234884254</v>
      </c>
      <c r="B1158" s="44" t="s">
        <v>98</v>
      </c>
      <c r="C1158" s="128">
        <v>943.7352175049874</v>
      </c>
      <c r="D1158" s="128">
        <v>22.0</v>
      </c>
      <c r="E1158" s="128">
        <v>935.2126653446236</v>
      </c>
      <c r="F1158" s="44" t="s">
        <v>47</v>
      </c>
      <c r="G1158" s="128">
        <v>1041.4470032976074</v>
      </c>
      <c r="H1158" s="128">
        <v>31.0</v>
      </c>
      <c r="I1158" s="128">
        <v>1037.391413767892</v>
      </c>
      <c r="J1158" s="44" t="s">
        <v>27</v>
      </c>
      <c r="K1158" s="128">
        <v>1209.5911551969764</v>
      </c>
      <c r="L1158" s="128">
        <v>27.0</v>
      </c>
      <c r="M1158" s="128">
        <v>1203.1692968870555</v>
      </c>
      <c r="N1158" s="44"/>
      <c r="O1158" s="128"/>
      <c r="P1158" s="128"/>
      <c r="Q1158" s="128"/>
      <c r="V1158" s="44" t="s">
        <v>123</v>
      </c>
      <c r="W1158" s="128">
        <v>706.7236806409929</v>
      </c>
      <c r="X1158" s="128">
        <v>24.0</v>
      </c>
      <c r="Y1158" s="128">
        <v>711.0043703676788</v>
      </c>
      <c r="Z1158" s="44" t="s">
        <v>38</v>
      </c>
      <c r="AA1158" s="128">
        <v>1061.6206077274899</v>
      </c>
      <c r="AB1158" s="128">
        <v>29.0</v>
      </c>
      <c r="AC1158" s="128">
        <v>1066.7754773313825</v>
      </c>
      <c r="AD1158" s="44" t="s">
        <v>31</v>
      </c>
      <c r="AE1158" s="128">
        <v>1444.3078972100411</v>
      </c>
      <c r="AF1158" s="128">
        <v>38.0</v>
      </c>
      <c r="AG1158" s="128">
        <v>1453.8723378794625</v>
      </c>
      <c r="AH1158" s="44"/>
      <c r="AI1158" s="128"/>
      <c r="AJ1158" s="128"/>
      <c r="AK1158" s="128"/>
      <c r="AP1158" s="128">
        <v>18.0</v>
      </c>
      <c r="AQ1158" s="128">
        <v>24.0</v>
      </c>
      <c r="AT1158" s="44">
        <v>1157.0</v>
      </c>
      <c r="AU1158" s="44"/>
      <c r="AW1158" s="93"/>
      <c r="AY1158" s="93"/>
      <c r="AZ1158" s="93"/>
      <c r="BA1158" s="93"/>
      <c r="BB1158" s="155"/>
      <c r="BC1158" s="93"/>
      <c r="BE1158" s="93"/>
      <c r="BG1158" s="93"/>
      <c r="BH1158" s="93"/>
      <c r="BI1158" s="93"/>
      <c r="BJ1158" s="155"/>
      <c r="BK1158" s="93"/>
    </row>
    <row r="1159">
      <c r="A1159" s="166">
        <v>44717.01625568287</v>
      </c>
      <c r="B1159" s="44" t="s">
        <v>125</v>
      </c>
      <c r="C1159" s="128">
        <v>666.3333872990622</v>
      </c>
      <c r="D1159" s="128">
        <v>20.0</v>
      </c>
      <c r="E1159" s="128">
        <v>661.3178853238113</v>
      </c>
      <c r="F1159" s="44" t="s">
        <v>108</v>
      </c>
      <c r="G1159" s="128">
        <v>849.0038418914417</v>
      </c>
      <c r="H1159" s="128">
        <v>8.0</v>
      </c>
      <c r="I1159" s="128">
        <v>836.1555578065633</v>
      </c>
      <c r="J1159" s="44" t="s">
        <v>31</v>
      </c>
      <c r="K1159" s="128">
        <v>1453.8723378794625</v>
      </c>
      <c r="L1159" s="128">
        <v>26.0</v>
      </c>
      <c r="M1159" s="128">
        <v>1450.7361239395918</v>
      </c>
      <c r="N1159" s="44"/>
      <c r="O1159" s="128"/>
      <c r="P1159" s="128"/>
      <c r="Q1159" s="128"/>
      <c r="V1159" s="44" t="s">
        <v>123</v>
      </c>
      <c r="W1159" s="128">
        <v>711.0043703676788</v>
      </c>
      <c r="X1159" s="128">
        <v>15.0</v>
      </c>
      <c r="Y1159" s="128">
        <v>716.1501900629987</v>
      </c>
      <c r="Z1159" s="44" t="s">
        <v>47</v>
      </c>
      <c r="AA1159" s="128">
        <v>1037.391413767892</v>
      </c>
      <c r="AB1159" s="128">
        <v>17.0</v>
      </c>
      <c r="AC1159" s="128">
        <v>1042.510339149954</v>
      </c>
      <c r="AD1159" s="44" t="s">
        <v>27</v>
      </c>
      <c r="AE1159" s="128">
        <v>1203.1692968870555</v>
      </c>
      <c r="AF1159" s="128">
        <v>27.0</v>
      </c>
      <c r="AG1159" s="128">
        <v>1213.9045518096734</v>
      </c>
      <c r="AH1159" s="44"/>
      <c r="AI1159" s="128"/>
      <c r="AJ1159" s="128"/>
      <c r="AK1159" s="128"/>
      <c r="AP1159" s="128">
        <v>12.0</v>
      </c>
      <c r="AQ1159" s="128">
        <v>16.0</v>
      </c>
      <c r="AT1159" s="44">
        <v>1158.0</v>
      </c>
      <c r="AU1159" s="44"/>
      <c r="AW1159" s="93"/>
      <c r="AY1159" s="93"/>
      <c r="AZ1159" s="93"/>
      <c r="BA1159" s="93"/>
      <c r="BB1159" s="155"/>
      <c r="BC1159" s="93"/>
      <c r="BE1159" s="93"/>
      <c r="BG1159" s="93"/>
      <c r="BH1159" s="93"/>
      <c r="BI1159" s="93"/>
      <c r="BJ1159" s="155"/>
      <c r="BK1159" s="93"/>
    </row>
    <row r="1160">
      <c r="A1160" s="166">
        <v>44717.9738683912</v>
      </c>
      <c r="B1160" s="44" t="s">
        <v>125</v>
      </c>
      <c r="C1160" s="128">
        <v>661.3178853238113</v>
      </c>
      <c r="D1160" s="128">
        <v>13.0</v>
      </c>
      <c r="E1160" s="128">
        <v>658.644692417548</v>
      </c>
      <c r="F1160" s="44" t="s">
        <v>486</v>
      </c>
      <c r="G1160" s="128">
        <v>904.700701384305</v>
      </c>
      <c r="H1160" s="128">
        <v>14.0</v>
      </c>
      <c r="I1160" s="128">
        <v>901.9298994160824</v>
      </c>
      <c r="J1160" s="44" t="s">
        <v>47</v>
      </c>
      <c r="K1160" s="128">
        <v>1042.510339149954</v>
      </c>
      <c r="L1160" s="128">
        <v>19.0</v>
      </c>
      <c r="M1160" s="128">
        <v>1040.583709810268</v>
      </c>
      <c r="N1160" s="44" t="s">
        <v>31</v>
      </c>
      <c r="O1160" s="128">
        <v>1450.7361239395918</v>
      </c>
      <c r="P1160" s="128">
        <v>21.0</v>
      </c>
      <c r="Q1160" s="128">
        <v>1449.1067481537639</v>
      </c>
      <c r="V1160" s="44" t="s">
        <v>123</v>
      </c>
      <c r="W1160" s="128">
        <v>716.1501900629987</v>
      </c>
      <c r="X1160" s="128">
        <v>19.0</v>
      </c>
      <c r="Y1160" s="128">
        <v>718.4595825671701</v>
      </c>
      <c r="Z1160" s="44" t="s">
        <v>50</v>
      </c>
      <c r="AA1160" s="128">
        <v>1022.210017583139</v>
      </c>
      <c r="AB1160" s="128">
        <v>30.0</v>
      </c>
      <c r="AC1160" s="128">
        <v>1026.2359426312871</v>
      </c>
      <c r="AD1160" s="44" t="s">
        <v>34</v>
      </c>
      <c r="AE1160" s="128">
        <v>1127.245407952923</v>
      </c>
      <c r="AF1160" s="128">
        <v>16.0</v>
      </c>
      <c r="AG1160" s="128">
        <v>1128.5911380361913</v>
      </c>
      <c r="AH1160" s="44" t="s">
        <v>27</v>
      </c>
      <c r="AI1160" s="128">
        <v>1213.9045518096734</v>
      </c>
      <c r="AJ1160" s="128">
        <v>16.0</v>
      </c>
      <c r="AK1160" s="128">
        <v>1215.2235041740855</v>
      </c>
      <c r="AP1160" s="128">
        <v>13.0</v>
      </c>
      <c r="AQ1160" s="128">
        <v>15.0</v>
      </c>
      <c r="AT1160" s="44">
        <v>1159.0</v>
      </c>
      <c r="AU1160" s="44"/>
      <c r="AW1160" s="93"/>
      <c r="AY1160" s="93"/>
      <c r="AZ1160" s="93"/>
      <c r="BA1160" s="93"/>
      <c r="BB1160" s="155"/>
      <c r="BC1160" s="93"/>
      <c r="BE1160" s="93"/>
      <c r="BG1160" s="93"/>
      <c r="BH1160" s="93"/>
      <c r="BI1160" s="93"/>
      <c r="BJ1160" s="155"/>
      <c r="BK1160" s="93"/>
    </row>
    <row r="1161">
      <c r="A1161" s="166">
        <v>44718.010493194444</v>
      </c>
      <c r="B1161" s="44" t="s">
        <v>125</v>
      </c>
      <c r="C1161" s="128">
        <v>656.028490881505</v>
      </c>
      <c r="D1161" s="128">
        <v>14.0</v>
      </c>
      <c r="E1161" s="128">
        <v>653.413999533333</v>
      </c>
      <c r="F1161" s="44" t="s">
        <v>486</v>
      </c>
      <c r="G1161" s="128">
        <v>897.7011957309417</v>
      </c>
      <c r="H1161" s="128">
        <v>7.0</v>
      </c>
      <c r="I1161" s="128">
        <v>893.4744086881028</v>
      </c>
      <c r="J1161" s="44" t="s">
        <v>47</v>
      </c>
      <c r="K1161" s="128">
        <v>1040.583709810268</v>
      </c>
      <c r="L1161" s="128">
        <v>24.0</v>
      </c>
      <c r="M1161" s="128">
        <v>1039.4415713862115</v>
      </c>
      <c r="N1161" s="44" t="s">
        <v>27</v>
      </c>
      <c r="O1161" s="128">
        <v>1215.2235041740855</v>
      </c>
      <c r="P1161" s="128">
        <v>25.0</v>
      </c>
      <c r="Q1161" s="128">
        <v>1214.2069209891526</v>
      </c>
      <c r="V1161" s="44" t="s">
        <v>123</v>
      </c>
      <c r="W1161" s="128">
        <v>718.4595825671701</v>
      </c>
      <c r="X1161" s="128">
        <v>9.0</v>
      </c>
      <c r="Y1161" s="128">
        <v>719.1682155719702</v>
      </c>
      <c r="Z1161" s="44" t="s">
        <v>112</v>
      </c>
      <c r="AA1161" s="128">
        <v>967.7997930413482</v>
      </c>
      <c r="AB1161" s="128">
        <v>24.0</v>
      </c>
      <c r="AC1161" s="128">
        <v>971.043715576602</v>
      </c>
      <c r="AD1161" s="44" t="s">
        <v>50</v>
      </c>
      <c r="AE1161" s="128">
        <v>1026.2359426312871</v>
      </c>
      <c r="AF1161" s="128">
        <v>22.0</v>
      </c>
      <c r="AG1161" s="128">
        <v>1029.065317470551</v>
      </c>
      <c r="AH1161" s="44" t="s">
        <v>34</v>
      </c>
      <c r="AI1161" s="128">
        <v>1128.5911380361913</v>
      </c>
      <c r="AJ1161" s="128">
        <v>19.0</v>
      </c>
      <c r="AK1161" s="128">
        <v>1130.8092076568735</v>
      </c>
      <c r="AP1161" s="128">
        <v>13.0</v>
      </c>
      <c r="AQ1161" s="128">
        <v>15.0</v>
      </c>
      <c r="AT1161" s="44">
        <v>1160.0</v>
      </c>
      <c r="AU1161" s="44"/>
      <c r="AW1161" s="93"/>
      <c r="AY1161" s="93"/>
      <c r="AZ1161" s="93"/>
      <c r="BA1161" s="93"/>
      <c r="BB1161" s="155"/>
      <c r="BC1161" s="93"/>
      <c r="BE1161" s="93"/>
      <c r="BG1161" s="93"/>
      <c r="BH1161" s="93"/>
      <c r="BI1161" s="93"/>
      <c r="BJ1161" s="155"/>
      <c r="BK1161" s="93"/>
    </row>
    <row r="1162">
      <c r="A1162" s="166">
        <v>44718.037936064815</v>
      </c>
      <c r="B1162" s="44" t="s">
        <v>125</v>
      </c>
      <c r="C1162" s="128">
        <v>653.413999533333</v>
      </c>
      <c r="D1162" s="128">
        <v>3.0</v>
      </c>
      <c r="E1162" s="128">
        <v>653.423999533333</v>
      </c>
      <c r="F1162" s="44" t="s">
        <v>50</v>
      </c>
      <c r="G1162" s="128">
        <v>1029.065317470551</v>
      </c>
      <c r="H1162" s="128">
        <v>20.0</v>
      </c>
      <c r="I1162" s="128">
        <v>1039.386406470398</v>
      </c>
      <c r="J1162" s="44" t="s">
        <v>35</v>
      </c>
      <c r="K1162" s="128">
        <v>1639.7</v>
      </c>
      <c r="L1162" s="128">
        <v>43.0</v>
      </c>
      <c r="M1162" s="128">
        <v>1674.2699199592996</v>
      </c>
      <c r="N1162" s="44"/>
      <c r="O1162" s="128"/>
      <c r="P1162" s="128"/>
      <c r="Q1162" s="128"/>
      <c r="V1162" s="44" t="s">
        <v>112</v>
      </c>
      <c r="W1162" s="128">
        <v>971.043715576602</v>
      </c>
      <c r="X1162" s="128">
        <v>17.0</v>
      </c>
      <c r="Y1162" s="128">
        <v>962.6023821506685</v>
      </c>
      <c r="Z1162" s="44" t="s">
        <v>34</v>
      </c>
      <c r="AA1162" s="128">
        <v>1130.8092076568735</v>
      </c>
      <c r="AB1162" s="128">
        <v>9.0</v>
      </c>
      <c r="AC1162" s="128">
        <v>1113.4088590104254</v>
      </c>
      <c r="AD1162" s="44" t="s">
        <v>27</v>
      </c>
      <c r="AE1162" s="128">
        <v>1214.2069209891526</v>
      </c>
      <c r="AF1162" s="128">
        <v>13.0</v>
      </c>
      <c r="AG1162" s="128">
        <v>1201.048603061534</v>
      </c>
      <c r="AH1162" s="44"/>
      <c r="AI1162" s="128"/>
      <c r="AJ1162" s="128"/>
      <c r="AK1162" s="128"/>
      <c r="AP1162" s="128">
        <v>21.0</v>
      </c>
      <c r="AQ1162" s="128">
        <v>7.0</v>
      </c>
      <c r="AT1162" s="44">
        <v>1161.0</v>
      </c>
      <c r="AU1162" s="44"/>
      <c r="AW1162" s="93"/>
      <c r="AY1162" s="93"/>
      <c r="AZ1162" s="93"/>
      <c r="BA1162" s="93"/>
      <c r="BB1162" s="155"/>
      <c r="BC1162" s="93"/>
      <c r="BE1162" s="93"/>
      <c r="BG1162" s="93"/>
      <c r="BH1162" s="93"/>
      <c r="BI1162" s="93"/>
      <c r="BJ1162" s="155"/>
      <c r="BK1162" s="93"/>
    </row>
    <row r="1163">
      <c r="A1163" s="166">
        <v>44718.952192384255</v>
      </c>
      <c r="B1163" s="44" t="s">
        <v>123</v>
      </c>
      <c r="C1163" s="128">
        <v>719.1682155719702</v>
      </c>
      <c r="D1163" s="128">
        <v>13.0</v>
      </c>
      <c r="E1163" s="128">
        <v>726.8420310048225</v>
      </c>
      <c r="F1163" s="44" t="s">
        <v>27</v>
      </c>
      <c r="G1163" s="128">
        <v>1201.048603061534</v>
      </c>
      <c r="H1163" s="128">
        <v>26.0</v>
      </c>
      <c r="I1163" s="128">
        <v>1222.3747876286818</v>
      </c>
      <c r="J1163" s="44"/>
      <c r="K1163" s="128"/>
      <c r="L1163" s="128"/>
      <c r="M1163" s="128"/>
      <c r="N1163" s="44"/>
      <c r="O1163" s="128"/>
      <c r="P1163" s="128"/>
      <c r="Q1163" s="128"/>
      <c r="V1163" s="44" t="s">
        <v>47</v>
      </c>
      <c r="W1163" s="128">
        <v>1039.4415713862115</v>
      </c>
      <c r="X1163" s="128">
        <v>15.0</v>
      </c>
      <c r="Y1163" s="128">
        <v>1024.9415735781547</v>
      </c>
      <c r="Z1163" s="44" t="s">
        <v>92</v>
      </c>
      <c r="AA1163" s="128">
        <v>1039.443382583433</v>
      </c>
      <c r="AB1163" s="128">
        <v>15.0</v>
      </c>
      <c r="AC1163" s="128">
        <v>1024.9433803914899</v>
      </c>
      <c r="AD1163" s="44"/>
      <c r="AE1163" s="128"/>
      <c r="AF1163" s="128"/>
      <c r="AG1163" s="128"/>
      <c r="AH1163" s="44"/>
      <c r="AI1163" s="128"/>
      <c r="AJ1163" s="128"/>
      <c r="AK1163" s="128"/>
      <c r="AP1163" s="128">
        <v>16.0</v>
      </c>
      <c r="AQ1163" s="128">
        <v>12.0</v>
      </c>
      <c r="AT1163" s="44">
        <v>1162.0</v>
      </c>
      <c r="AU1163" s="44"/>
      <c r="AW1163" s="93"/>
      <c r="AY1163" s="93"/>
      <c r="AZ1163" s="93"/>
      <c r="BA1163" s="93"/>
      <c r="BB1163" s="155"/>
      <c r="BC1163" s="93"/>
      <c r="BE1163" s="93"/>
      <c r="BG1163" s="93"/>
      <c r="BH1163" s="93"/>
      <c r="BI1163" s="93"/>
      <c r="BJ1163" s="155"/>
      <c r="BK1163" s="93"/>
    </row>
    <row r="1164">
      <c r="A1164" s="166">
        <v>44719.01529646991</v>
      </c>
      <c r="B1164" s="44" t="s">
        <v>125</v>
      </c>
      <c r="C1164" s="128">
        <v>653.423999533333</v>
      </c>
      <c r="D1164" s="128">
        <v>21.0</v>
      </c>
      <c r="E1164" s="128">
        <v>653.433999533333</v>
      </c>
      <c r="F1164" s="44" t="s">
        <v>123</v>
      </c>
      <c r="G1164" s="128">
        <v>726.8420310048225</v>
      </c>
      <c r="H1164" s="128">
        <v>21.0</v>
      </c>
      <c r="I1164" s="128">
        <v>726.8520310048225</v>
      </c>
      <c r="J1164" s="44"/>
      <c r="K1164" s="128"/>
      <c r="L1164" s="128"/>
      <c r="M1164" s="128"/>
      <c r="N1164" s="44"/>
      <c r="O1164" s="128"/>
      <c r="P1164" s="128"/>
      <c r="Q1164" s="128"/>
      <c r="V1164" s="44" t="s">
        <v>61</v>
      </c>
      <c r="W1164" s="128">
        <v>1090.862501855271</v>
      </c>
      <c r="X1164" s="128">
        <v>38.0</v>
      </c>
      <c r="Y1164" s="128">
        <v>1090.872501855271</v>
      </c>
      <c r="Z1164" s="44" t="s">
        <v>27</v>
      </c>
      <c r="AA1164" s="128">
        <v>1222.3747876286818</v>
      </c>
      <c r="AB1164" s="128">
        <v>23.0</v>
      </c>
      <c r="AC1164" s="128">
        <v>1222.3847876286818</v>
      </c>
      <c r="AD1164" s="44"/>
      <c r="AE1164" s="128"/>
      <c r="AF1164" s="128"/>
      <c r="AG1164" s="128"/>
      <c r="AH1164" s="44"/>
      <c r="AI1164" s="128"/>
      <c r="AJ1164" s="128"/>
      <c r="AK1164" s="128"/>
      <c r="AP1164" s="128">
        <v>16.0</v>
      </c>
      <c r="AQ1164" s="128">
        <v>26.0</v>
      </c>
      <c r="AS1164" s="44" t="s">
        <v>602</v>
      </c>
      <c r="AT1164" s="44">
        <v>1163.0</v>
      </c>
      <c r="AU1164" s="44"/>
      <c r="AW1164" s="93"/>
      <c r="AY1164" s="93"/>
      <c r="AZ1164" s="93"/>
      <c r="BA1164" s="93"/>
      <c r="BB1164" s="155"/>
      <c r="BC1164" s="93"/>
      <c r="BE1164" s="93"/>
      <c r="BG1164" s="93"/>
      <c r="BH1164" s="93"/>
      <c r="BI1164" s="93"/>
      <c r="BJ1164" s="155"/>
      <c r="BK1164" s="93"/>
    </row>
    <row r="1165">
      <c r="A1165" s="166">
        <v>44720.01033304398</v>
      </c>
      <c r="B1165" s="44" t="s">
        <v>125</v>
      </c>
      <c r="C1165" s="128">
        <v>653.433999533333</v>
      </c>
      <c r="D1165" s="128">
        <v>23.0</v>
      </c>
      <c r="E1165" s="128">
        <v>654.6153760636959</v>
      </c>
      <c r="F1165" s="44" t="s">
        <v>486</v>
      </c>
      <c r="G1165" s="128">
        <v>893.4744086881028</v>
      </c>
      <c r="H1165" s="128">
        <v>25.0</v>
      </c>
      <c r="I1165" s="128">
        <v>894.6589078086756</v>
      </c>
      <c r="J1165" s="44" t="s">
        <v>110</v>
      </c>
      <c r="K1165" s="128">
        <v>1018.2099948421369</v>
      </c>
      <c r="L1165" s="128">
        <v>32.0</v>
      </c>
      <c r="M1165" s="128">
        <v>1020.5814931645778</v>
      </c>
      <c r="N1165" s="44" t="s">
        <v>35</v>
      </c>
      <c r="O1165" s="128">
        <v>1674.2699199592996</v>
      </c>
      <c r="P1165" s="128">
        <v>43.0</v>
      </c>
      <c r="Q1165" s="128">
        <v>1678.532545985923</v>
      </c>
      <c r="V1165" s="44" t="s">
        <v>112</v>
      </c>
      <c r="W1165" s="128">
        <v>962.6023821506685</v>
      </c>
      <c r="X1165" s="128">
        <v>32.0</v>
      </c>
      <c r="Y1165" s="128">
        <v>960.8350578310351</v>
      </c>
      <c r="Z1165" s="44" t="s">
        <v>248</v>
      </c>
      <c r="AA1165" s="128">
        <v>963.3229920118711</v>
      </c>
      <c r="AB1165" s="128">
        <v>24.0</v>
      </c>
      <c r="AC1165" s="128">
        <v>960.0549962297249</v>
      </c>
      <c r="AD1165" s="44" t="s">
        <v>38</v>
      </c>
      <c r="AE1165" s="128">
        <v>1066.7754773313825</v>
      </c>
      <c r="AF1165" s="128">
        <v>32.0</v>
      </c>
      <c r="AG1165" s="128">
        <v>1064.925238856845</v>
      </c>
      <c r="AH1165" s="44" t="s">
        <v>27</v>
      </c>
      <c r="AI1165" s="128">
        <v>1222.3847876286818</v>
      </c>
      <c r="AJ1165" s="128">
        <v>31.0</v>
      </c>
      <c r="AK1165" s="128">
        <v>1220.2703462049988</v>
      </c>
      <c r="AP1165" s="128">
        <v>23.0</v>
      </c>
      <c r="AQ1165" s="128">
        <v>19.0</v>
      </c>
      <c r="AS1165" s="44" t="s">
        <v>603</v>
      </c>
      <c r="AT1165" s="44">
        <v>1164.0</v>
      </c>
      <c r="AU1165" s="44"/>
      <c r="AW1165" s="93"/>
      <c r="AY1165" s="93"/>
      <c r="AZ1165" s="93"/>
      <c r="BA1165" s="93"/>
      <c r="BB1165" s="155"/>
      <c r="BC1165" s="93"/>
      <c r="BE1165" s="93"/>
      <c r="BG1165" s="93"/>
      <c r="BH1165" s="93"/>
      <c r="BI1165" s="93"/>
      <c r="BJ1165" s="155"/>
      <c r="BK1165" s="93"/>
    </row>
    <row r="1166">
      <c r="A1166" s="166">
        <v>44720.044078287036</v>
      </c>
      <c r="B1166" s="44" t="s">
        <v>125</v>
      </c>
      <c r="C1166" s="128">
        <v>654.6153760636959</v>
      </c>
      <c r="D1166" s="128">
        <v>15.0</v>
      </c>
      <c r="E1166" s="128">
        <v>647.9479560944834</v>
      </c>
      <c r="F1166" s="44" t="s">
        <v>486</v>
      </c>
      <c r="G1166" s="128">
        <v>894.6589078086756</v>
      </c>
      <c r="H1166" s="128">
        <v>14.0</v>
      </c>
      <c r="I1166" s="128">
        <v>886.9804012271024</v>
      </c>
      <c r="J1166" s="44" t="s">
        <v>248</v>
      </c>
      <c r="K1166" s="128">
        <v>960.0549962297249</v>
      </c>
      <c r="L1166" s="128">
        <v>9.0</v>
      </c>
      <c r="M1166" s="128">
        <v>949.9787835794591</v>
      </c>
      <c r="N1166" s="44" t="s">
        <v>35</v>
      </c>
      <c r="O1166" s="128">
        <v>1678.532545985923</v>
      </c>
      <c r="P1166" s="128">
        <v>37.0</v>
      </c>
      <c r="Q1166" s="128">
        <v>1678.522545985923</v>
      </c>
      <c r="V1166" s="44" t="s">
        <v>112</v>
      </c>
      <c r="W1166" s="128">
        <v>960.8350578310351</v>
      </c>
      <c r="X1166" s="128">
        <v>13.0</v>
      </c>
      <c r="Y1166" s="128">
        <v>963.5686421405151</v>
      </c>
      <c r="Z1166" s="44" t="s">
        <v>50</v>
      </c>
      <c r="AA1166" s="128">
        <v>1039.386406470398</v>
      </c>
      <c r="AB1166" s="128">
        <v>19.0</v>
      </c>
      <c r="AC1166" s="128">
        <v>1044.766640910941</v>
      </c>
      <c r="AD1166" s="44" t="s">
        <v>38</v>
      </c>
      <c r="AE1166" s="128">
        <v>1064.925238856845</v>
      </c>
      <c r="AF1166" s="128">
        <v>20.0</v>
      </c>
      <c r="AG1166" s="128">
        <v>1070.7355675915549</v>
      </c>
      <c r="AH1166" s="44" t="s">
        <v>61</v>
      </c>
      <c r="AI1166" s="128">
        <v>1090.872501855271</v>
      </c>
      <c r="AJ1166" s="128">
        <v>25.0</v>
      </c>
      <c r="AK1166" s="128">
        <v>1098.948354370538</v>
      </c>
      <c r="AP1166" s="128">
        <v>12.0</v>
      </c>
      <c r="AQ1166" s="128">
        <v>16.0</v>
      </c>
      <c r="AS1166" s="44" t="s">
        <v>268</v>
      </c>
      <c r="AT1166" s="44">
        <v>1165.0</v>
      </c>
      <c r="AU1166" s="44"/>
      <c r="AW1166" s="93"/>
      <c r="AY1166" s="93"/>
      <c r="AZ1166" s="93"/>
      <c r="BA1166" s="93"/>
      <c r="BB1166" s="155"/>
      <c r="BC1166" s="93"/>
      <c r="BE1166" s="93"/>
      <c r="BG1166" s="93"/>
      <c r="BH1166" s="93"/>
      <c r="BI1166" s="93"/>
      <c r="BJ1166" s="155"/>
      <c r="BK1166" s="93"/>
    </row>
    <row r="1167">
      <c r="A1167" s="166">
        <v>44720.992842708336</v>
      </c>
      <c r="B1167" s="44" t="s">
        <v>125</v>
      </c>
      <c r="C1167" s="128">
        <v>647.9479560944834</v>
      </c>
      <c r="D1167" s="128">
        <v>8.0</v>
      </c>
      <c r="E1167" s="128">
        <v>636.2923086733805</v>
      </c>
      <c r="F1167" s="44" t="s">
        <v>486</v>
      </c>
      <c r="G1167" s="128">
        <v>886.9804012271024</v>
      </c>
      <c r="H1167" s="128">
        <v>25.0</v>
      </c>
      <c r="I1167" s="128">
        <v>885.0774387486578</v>
      </c>
      <c r="J1167" s="44" t="s">
        <v>27</v>
      </c>
      <c r="K1167" s="128">
        <v>1220.2703462049988</v>
      </c>
      <c r="L1167" s="128">
        <v>15.0</v>
      </c>
      <c r="M1167" s="128">
        <v>1211.8289561045463</v>
      </c>
      <c r="N1167" s="44"/>
      <c r="O1167" s="128"/>
      <c r="P1167" s="128"/>
      <c r="Q1167" s="128"/>
      <c r="V1167" s="44" t="s">
        <v>123</v>
      </c>
      <c r="W1167" s="128">
        <v>726.8520310048225</v>
      </c>
      <c r="X1167" s="128">
        <v>14.0</v>
      </c>
      <c r="Y1167" s="128">
        <v>730.6105203163377</v>
      </c>
      <c r="Z1167" s="44" t="s">
        <v>112</v>
      </c>
      <c r="AA1167" s="128">
        <v>963.5686421405151</v>
      </c>
      <c r="AB1167" s="128">
        <v>27.0</v>
      </c>
      <c r="AC1167" s="128">
        <v>974.5828238371184</v>
      </c>
      <c r="AD1167" s="44" t="s">
        <v>47</v>
      </c>
      <c r="AE1167" s="128">
        <v>1024.9415735781547</v>
      </c>
      <c r="AF1167" s="128">
        <v>21.0</v>
      </c>
      <c r="AG1167" s="128">
        <v>1032.1689025700362</v>
      </c>
      <c r="AH1167" s="44"/>
      <c r="AI1167" s="128"/>
      <c r="AJ1167" s="128"/>
      <c r="AK1167" s="128"/>
      <c r="AP1167" s="128">
        <v>10.0</v>
      </c>
      <c r="AQ1167" s="128">
        <v>18.0</v>
      </c>
      <c r="AT1167" s="44">
        <v>1166.0</v>
      </c>
      <c r="AU1167" s="44"/>
      <c r="AW1167" s="93"/>
      <c r="AY1167" s="93"/>
      <c r="AZ1167" s="93"/>
      <c r="BA1167" s="93"/>
      <c r="BB1167" s="155"/>
      <c r="BC1167" s="93"/>
      <c r="BE1167" s="93"/>
      <c r="BG1167" s="93"/>
      <c r="BH1167" s="93"/>
      <c r="BI1167" s="93"/>
      <c r="BJ1167" s="155"/>
      <c r="BK1167" s="93"/>
    </row>
    <row r="1168">
      <c r="A1168" s="166">
        <v>44721.029142280095</v>
      </c>
      <c r="B1168" s="44" t="s">
        <v>125</v>
      </c>
      <c r="C1168" s="128">
        <v>636.2923086733805</v>
      </c>
      <c r="D1168" s="128">
        <v>13.0</v>
      </c>
      <c r="E1168" s="128">
        <v>628.2574055912415</v>
      </c>
      <c r="F1168" s="44" t="s">
        <v>108</v>
      </c>
      <c r="G1168" s="128">
        <v>836.1555578065633</v>
      </c>
      <c r="H1168" s="128">
        <v>12.0</v>
      </c>
      <c r="I1168" s="128">
        <v>826.9793465840221</v>
      </c>
      <c r="J1168" s="44" t="s">
        <v>27</v>
      </c>
      <c r="K1168" s="128">
        <v>1211.8289561045463</v>
      </c>
      <c r="L1168" s="128">
        <v>20.0</v>
      </c>
      <c r="M1168" s="128">
        <v>1207.0400704092262</v>
      </c>
      <c r="N1168" s="44"/>
      <c r="O1168" s="128"/>
      <c r="P1168" s="128"/>
      <c r="Q1168" s="128"/>
      <c r="V1168" s="44" t="s">
        <v>123</v>
      </c>
      <c r="W1168" s="128">
        <v>730.6105203163377</v>
      </c>
      <c r="X1168" s="128">
        <v>20.0</v>
      </c>
      <c r="Y1168" s="128">
        <v>737.5757161059136</v>
      </c>
      <c r="Z1168" s="44" t="s">
        <v>486</v>
      </c>
      <c r="AA1168" s="128">
        <v>885.0774387486578</v>
      </c>
      <c r="AB1168" s="128">
        <v>29.0</v>
      </c>
      <c r="AC1168" s="128">
        <v>897.0386563240058</v>
      </c>
      <c r="AD1168" s="44" t="s">
        <v>47</v>
      </c>
      <c r="AE1168" s="128">
        <v>1032.1689025700362</v>
      </c>
      <c r="AF1168" s="128">
        <v>15.0</v>
      </c>
      <c r="AG1168" s="128">
        <v>1035.2424892051122</v>
      </c>
      <c r="AH1168" s="44"/>
      <c r="AI1168" s="128"/>
      <c r="AJ1168" s="128"/>
      <c r="AK1168" s="128"/>
      <c r="AP1168" s="128">
        <v>10.0</v>
      </c>
      <c r="AQ1168" s="128">
        <v>18.0</v>
      </c>
      <c r="AT1168" s="44">
        <v>1167.0</v>
      </c>
      <c r="AU1168" s="44"/>
      <c r="AW1168" s="93"/>
      <c r="AY1168" s="93"/>
      <c r="AZ1168" s="93"/>
      <c r="BA1168" s="93"/>
      <c r="BB1168" s="155"/>
      <c r="BC1168" s="93"/>
      <c r="BE1168" s="93"/>
      <c r="BG1168" s="93"/>
      <c r="BH1168" s="93"/>
      <c r="BI1168" s="93"/>
      <c r="BJ1168" s="155"/>
      <c r="BK1168" s="93"/>
    </row>
    <row r="1169">
      <c r="A1169" s="166">
        <v>44721.92057714121</v>
      </c>
      <c r="B1169" s="44" t="s">
        <v>123</v>
      </c>
      <c r="C1169" s="128">
        <v>737.5757161059136</v>
      </c>
      <c r="D1169" s="128">
        <v>25.0</v>
      </c>
      <c r="E1169" s="128">
        <v>731.4200341113002</v>
      </c>
      <c r="F1169" s="44" t="s">
        <v>38</v>
      </c>
      <c r="G1169" s="128">
        <v>1070.7355675915549</v>
      </c>
      <c r="H1169" s="128">
        <v>19.0</v>
      </c>
      <c r="I1169" s="128">
        <v>1060.1279377367237</v>
      </c>
      <c r="J1169" s="44" t="s">
        <v>61</v>
      </c>
      <c r="K1169" s="128">
        <v>1098.948354370538</v>
      </c>
      <c r="L1169" s="128">
        <v>30.0</v>
      </c>
      <c r="M1169" s="128">
        <v>1094.7116662199826</v>
      </c>
      <c r="N1169" s="44"/>
      <c r="O1169" s="128"/>
      <c r="P1169" s="128"/>
      <c r="Q1169" s="128"/>
      <c r="V1169" s="44" t="s">
        <v>108</v>
      </c>
      <c r="W1169" s="128">
        <v>826.9793465840221</v>
      </c>
      <c r="X1169" s="128">
        <v>22.0</v>
      </c>
      <c r="Y1169" s="128">
        <v>829.3723180976643</v>
      </c>
      <c r="Z1169" s="44" t="s">
        <v>92</v>
      </c>
      <c r="AA1169" s="128">
        <v>1024.9433803914899</v>
      </c>
      <c r="AB1169" s="128">
        <v>38.0</v>
      </c>
      <c r="AC1169" s="128">
        <v>1036.0094422591121</v>
      </c>
      <c r="AD1169" s="44" t="s">
        <v>47</v>
      </c>
      <c r="AE1169" s="128">
        <v>1035.2424892051122</v>
      </c>
      <c r="AF1169" s="128">
        <v>32.0</v>
      </c>
      <c r="AG1169" s="128">
        <v>1042.7834558238476</v>
      </c>
      <c r="AH1169" s="44"/>
      <c r="AI1169" s="128"/>
      <c r="AJ1169" s="128"/>
      <c r="AK1169" s="128"/>
      <c r="AP1169" s="128">
        <v>18.0</v>
      </c>
      <c r="AQ1169" s="128">
        <v>24.0</v>
      </c>
      <c r="AS1169" s="44" t="s">
        <v>362</v>
      </c>
      <c r="AT1169" s="44">
        <v>1168.0</v>
      </c>
      <c r="AU1169" s="44"/>
      <c r="AW1169" s="93"/>
      <c r="AY1169" s="93"/>
      <c r="AZ1169" s="93"/>
      <c r="BA1169" s="93"/>
      <c r="BB1169" s="155"/>
      <c r="BC1169" s="93"/>
      <c r="BE1169" s="93"/>
      <c r="BG1169" s="93"/>
      <c r="BH1169" s="93"/>
      <c r="BI1169" s="93"/>
      <c r="BJ1169" s="155"/>
      <c r="BK1169" s="93"/>
    </row>
    <row r="1170">
      <c r="A1170" s="166">
        <v>44721.985057048616</v>
      </c>
      <c r="B1170" s="44" t="s">
        <v>123</v>
      </c>
      <c r="C1170" s="128">
        <v>731.4200341113002</v>
      </c>
      <c r="D1170" s="128">
        <v>20.0</v>
      </c>
      <c r="E1170" s="128">
        <v>727.4270704877023</v>
      </c>
      <c r="F1170" s="44" t="s">
        <v>486</v>
      </c>
      <c r="G1170" s="128">
        <v>897.0386563240058</v>
      </c>
      <c r="H1170" s="128">
        <v>31.0</v>
      </c>
      <c r="I1170" s="128">
        <v>895.0981076600372</v>
      </c>
      <c r="J1170" s="44" t="s">
        <v>38</v>
      </c>
      <c r="K1170" s="128">
        <v>1060.1279377367237</v>
      </c>
      <c r="L1170" s="128">
        <v>22.0</v>
      </c>
      <c r="M1170" s="128">
        <v>1056.1563522949677</v>
      </c>
      <c r="N1170" s="44" t="s">
        <v>27</v>
      </c>
      <c r="O1170" s="128">
        <v>1207.0400704092262</v>
      </c>
      <c r="P1170" s="128">
        <v>41.0</v>
      </c>
      <c r="Q1170" s="128">
        <v>1206.9451681385488</v>
      </c>
      <c r="V1170" s="44" t="s">
        <v>108</v>
      </c>
      <c r="W1170" s="128">
        <v>829.3723180976643</v>
      </c>
      <c r="X1170" s="128">
        <v>20.0</v>
      </c>
      <c r="Y1170" s="128">
        <v>829.6489031757294</v>
      </c>
      <c r="Z1170" s="44" t="s">
        <v>112</v>
      </c>
      <c r="AA1170" s="128">
        <v>974.5828238371184</v>
      </c>
      <c r="AB1170" s="128">
        <v>33.0</v>
      </c>
      <c r="AC1170" s="128">
        <v>977.3793970816254</v>
      </c>
      <c r="AD1170" s="44" t="s">
        <v>92</v>
      </c>
      <c r="AE1170" s="128">
        <v>1036.0094422591121</v>
      </c>
      <c r="AF1170" s="128">
        <v>33.0</v>
      </c>
      <c r="AG1170" s="128">
        <v>1038.7466235826123</v>
      </c>
      <c r="AH1170" s="44" t="s">
        <v>47</v>
      </c>
      <c r="AI1170" s="128">
        <v>1042.7834558238476</v>
      </c>
      <c r="AJ1170" s="128">
        <v>40.0</v>
      </c>
      <c r="AK1170" s="128">
        <v>1046.9731161777754</v>
      </c>
      <c r="AP1170" s="128">
        <v>19.0</v>
      </c>
      <c r="AQ1170" s="128">
        <v>22.0</v>
      </c>
      <c r="AS1170" s="44" t="s">
        <v>290</v>
      </c>
      <c r="AT1170" s="44">
        <v>1169.0</v>
      </c>
      <c r="AU1170" s="44"/>
      <c r="AW1170" s="93"/>
      <c r="AY1170" s="93"/>
      <c r="AZ1170" s="93"/>
      <c r="BA1170" s="93"/>
      <c r="BB1170" s="155"/>
      <c r="BC1170" s="93"/>
      <c r="BE1170" s="93"/>
      <c r="BG1170" s="93"/>
      <c r="BH1170" s="93"/>
      <c r="BI1170" s="93"/>
      <c r="BJ1170" s="155"/>
      <c r="BK1170" s="93"/>
    </row>
    <row r="1171">
      <c r="A1171" s="166">
        <v>44722.01301322917</v>
      </c>
      <c r="B1171" s="44" t="s">
        <v>123</v>
      </c>
      <c r="C1171" s="128">
        <v>727.4270704877023</v>
      </c>
      <c r="D1171" s="128">
        <v>18.0</v>
      </c>
      <c r="E1171" s="128">
        <v>725.5379189611064</v>
      </c>
      <c r="F1171" s="44" t="s">
        <v>108</v>
      </c>
      <c r="G1171" s="128">
        <v>829.6489031757294</v>
      </c>
      <c r="H1171" s="128">
        <v>10.0</v>
      </c>
      <c r="I1171" s="128">
        <v>826.1752285587061</v>
      </c>
      <c r="J1171" s="44" t="s">
        <v>47</v>
      </c>
      <c r="K1171" s="128">
        <v>1046.9731161777754</v>
      </c>
      <c r="L1171" s="128">
        <v>23.0</v>
      </c>
      <c r="M1171" s="128">
        <v>1045.8126228221145</v>
      </c>
      <c r="N1171" s="44" t="s">
        <v>38</v>
      </c>
      <c r="O1171" s="128">
        <v>1056.1563522949677</v>
      </c>
      <c r="P1171" s="128">
        <v>16.0</v>
      </c>
      <c r="Q1171" s="128">
        <v>1053.6796717942477</v>
      </c>
      <c r="V1171" s="44" t="s">
        <v>125</v>
      </c>
      <c r="W1171" s="128">
        <v>628.2574055912415</v>
      </c>
      <c r="X1171" s="128">
        <v>15.0</v>
      </c>
      <c r="Y1171" s="128">
        <v>629.8705027331088</v>
      </c>
      <c r="Z1171" s="44" t="s">
        <v>486</v>
      </c>
      <c r="AA1171" s="128">
        <v>895.0981076600372</v>
      </c>
      <c r="AB1171" s="128">
        <v>20.0</v>
      </c>
      <c r="AC1171" s="128">
        <v>897.3794152393019</v>
      </c>
      <c r="AD1171" s="44" t="s">
        <v>112</v>
      </c>
      <c r="AE1171" s="128">
        <v>977.3793970816254</v>
      </c>
      <c r="AF1171" s="128">
        <v>22.0</v>
      </c>
      <c r="AG1171" s="128">
        <v>979.979879697493</v>
      </c>
      <c r="AH1171" s="44" t="s">
        <v>27</v>
      </c>
      <c r="AI1171" s="128">
        <v>1206.9451681385488</v>
      </c>
      <c r="AJ1171" s="128">
        <v>22.0</v>
      </c>
      <c r="AK1171" s="128">
        <v>1209.4502808015493</v>
      </c>
      <c r="AP1171" s="128">
        <v>13.0</v>
      </c>
      <c r="AQ1171" s="128">
        <v>15.0</v>
      </c>
      <c r="AS1171" s="44" t="s">
        <v>501</v>
      </c>
      <c r="AT1171" s="44">
        <v>1170.0</v>
      </c>
      <c r="AU1171" s="44"/>
      <c r="AW1171" s="93"/>
      <c r="AY1171" s="93"/>
      <c r="AZ1171" s="93"/>
      <c r="BA1171" s="93"/>
      <c r="BB1171" s="155"/>
      <c r="BC1171" s="93"/>
      <c r="BE1171" s="93"/>
      <c r="BG1171" s="93"/>
      <c r="BH1171" s="93"/>
      <c r="BI1171" s="93"/>
      <c r="BJ1171" s="155"/>
      <c r="BK1171" s="93"/>
    </row>
    <row r="1172">
      <c r="A1172" s="166">
        <v>44722.97106077547</v>
      </c>
      <c r="B1172" s="44" t="s">
        <v>123</v>
      </c>
      <c r="C1172" s="128">
        <v>725.5379189611064</v>
      </c>
      <c r="D1172" s="128">
        <v>12.0</v>
      </c>
      <c r="E1172" s="128">
        <v>720.2835182950861</v>
      </c>
      <c r="F1172" s="44" t="s">
        <v>47</v>
      </c>
      <c r="G1172" s="128">
        <v>1045.8126228221145</v>
      </c>
      <c r="H1172" s="128">
        <v>17.0</v>
      </c>
      <c r="I1172" s="128">
        <v>1042.0670234881347</v>
      </c>
      <c r="J1172" s="44"/>
      <c r="K1172" s="128"/>
      <c r="L1172" s="128"/>
      <c r="M1172" s="128"/>
      <c r="N1172" s="44"/>
      <c r="O1172" s="128"/>
      <c r="P1172" s="128"/>
      <c r="Q1172" s="128"/>
      <c r="V1172" s="44" t="s">
        <v>486</v>
      </c>
      <c r="W1172" s="128">
        <v>897.3794152393019</v>
      </c>
      <c r="X1172" s="128">
        <v>15.0</v>
      </c>
      <c r="Y1172" s="128">
        <v>900.3012616020957</v>
      </c>
      <c r="Z1172" s="44" t="s">
        <v>61</v>
      </c>
      <c r="AA1172" s="128">
        <v>1094.7116662199826</v>
      </c>
      <c r="AB1172" s="128">
        <v>24.0</v>
      </c>
      <c r="AC1172" s="128">
        <v>1100.7898198571888</v>
      </c>
      <c r="AD1172" s="44"/>
      <c r="AE1172" s="128"/>
      <c r="AF1172" s="128"/>
      <c r="AG1172" s="128"/>
      <c r="AH1172" s="44"/>
      <c r="AI1172" s="128"/>
      <c r="AJ1172" s="128"/>
      <c r="AK1172" s="128"/>
      <c r="AP1172" s="128">
        <v>11.0</v>
      </c>
      <c r="AQ1172" s="128">
        <v>17.0</v>
      </c>
      <c r="AT1172" s="44">
        <v>1171.0</v>
      </c>
      <c r="AU1172" s="44"/>
      <c r="AW1172" s="93"/>
      <c r="AY1172" s="93"/>
      <c r="AZ1172" s="93"/>
      <c r="BA1172" s="93"/>
      <c r="BB1172" s="155"/>
      <c r="BC1172" s="93"/>
      <c r="BE1172" s="93"/>
      <c r="BG1172" s="93"/>
      <c r="BH1172" s="93"/>
      <c r="BI1172" s="93"/>
      <c r="BJ1172" s="155"/>
      <c r="BK1172" s="93"/>
    </row>
    <row r="1173">
      <c r="A1173" s="166">
        <v>44722.996099675926</v>
      </c>
      <c r="B1173" s="44" t="s">
        <v>123</v>
      </c>
      <c r="C1173" s="128">
        <v>720.2835182950861</v>
      </c>
      <c r="D1173" s="128">
        <v>11.0</v>
      </c>
      <c r="E1173" s="128">
        <v>720.8319243494278</v>
      </c>
      <c r="F1173" s="44" t="s">
        <v>47</v>
      </c>
      <c r="G1173" s="128">
        <v>1042.0670234881347</v>
      </c>
      <c r="H1173" s="128">
        <v>23.0</v>
      </c>
      <c r="I1173" s="128">
        <v>1043.518617433793</v>
      </c>
      <c r="J1173" s="44"/>
      <c r="K1173" s="128"/>
      <c r="L1173" s="128"/>
      <c r="M1173" s="128"/>
      <c r="N1173" s="44"/>
      <c r="O1173" s="128"/>
      <c r="P1173" s="128"/>
      <c r="Q1173" s="128"/>
      <c r="V1173" s="44" t="s">
        <v>486</v>
      </c>
      <c r="W1173" s="128">
        <v>900.3012616020957</v>
      </c>
      <c r="X1173" s="128">
        <v>16.0</v>
      </c>
      <c r="Y1173" s="128">
        <v>899.3489096572354</v>
      </c>
      <c r="Z1173" s="44" t="s">
        <v>248</v>
      </c>
      <c r="AA1173" s="128">
        <v>949.9787835794591</v>
      </c>
      <c r="AB1173" s="128">
        <v>15.0</v>
      </c>
      <c r="AC1173" s="128">
        <v>948.9311355243194</v>
      </c>
      <c r="AD1173" s="44"/>
      <c r="AE1173" s="128"/>
      <c r="AF1173" s="128"/>
      <c r="AG1173" s="128"/>
      <c r="AH1173" s="44"/>
      <c r="AI1173" s="128"/>
      <c r="AJ1173" s="128"/>
      <c r="AK1173" s="128"/>
      <c r="AP1173" s="128">
        <v>14.0</v>
      </c>
      <c r="AQ1173" s="128">
        <v>14.0</v>
      </c>
      <c r="AT1173" s="44">
        <v>1172.0</v>
      </c>
      <c r="AU1173" s="44"/>
      <c r="AW1173" s="93"/>
      <c r="AY1173" s="93"/>
      <c r="AZ1173" s="93"/>
      <c r="BA1173" s="93"/>
      <c r="BB1173" s="155"/>
      <c r="BC1173" s="93"/>
      <c r="BE1173" s="93"/>
      <c r="BG1173" s="93"/>
      <c r="BH1173" s="93"/>
      <c r="BI1173" s="93"/>
      <c r="BJ1173" s="155"/>
      <c r="BK1173" s="93"/>
    </row>
    <row r="1174">
      <c r="A1174" s="166">
        <v>44725.854726412035</v>
      </c>
      <c r="B1174" s="44" t="s">
        <v>123</v>
      </c>
      <c r="C1174" s="128">
        <v>720.8319243494278</v>
      </c>
      <c r="D1174" s="128">
        <v>12.0</v>
      </c>
      <c r="E1174" s="128">
        <v>717.645347013439</v>
      </c>
      <c r="F1174" s="44" t="s">
        <v>61</v>
      </c>
      <c r="G1174" s="128">
        <v>1100.7898198571888</v>
      </c>
      <c r="H1174" s="128">
        <v>17.0</v>
      </c>
      <c r="I1174" s="128">
        <v>1098.327328632138</v>
      </c>
      <c r="J1174" s="44" t="s">
        <v>23</v>
      </c>
      <c r="K1174" s="128">
        <v>1373.3522520064796</v>
      </c>
      <c r="L1174" s="128">
        <v>23.0</v>
      </c>
      <c r="M1174" s="128">
        <v>1372.0013205675193</v>
      </c>
      <c r="N1174" s="44"/>
      <c r="O1174" s="128"/>
      <c r="P1174" s="128"/>
      <c r="Q1174" s="128"/>
      <c r="V1174" s="44" t="s">
        <v>92</v>
      </c>
      <c r="W1174" s="128">
        <v>1038.7466235826123</v>
      </c>
      <c r="X1174" s="128">
        <v>27.0</v>
      </c>
      <c r="Y1174" s="128">
        <v>1042.5273771733314</v>
      </c>
      <c r="Z1174" s="44" t="s">
        <v>47</v>
      </c>
      <c r="AA1174" s="128">
        <v>1043.518617433793</v>
      </c>
      <c r="AB1174" s="128">
        <v>13.0</v>
      </c>
      <c r="AC1174" s="128">
        <v>1044.5748070504437</v>
      </c>
      <c r="AD1174" s="44" t="s">
        <v>27</v>
      </c>
      <c r="AE1174" s="128">
        <v>1209.4502808015493</v>
      </c>
      <c r="AF1174" s="128">
        <v>19.0</v>
      </c>
      <c r="AG1174" s="128">
        <v>1211.6133375941795</v>
      </c>
      <c r="AH1174" s="44"/>
      <c r="AI1174" s="128"/>
      <c r="AJ1174" s="128"/>
      <c r="AK1174" s="128"/>
      <c r="AP1174" s="128">
        <v>13.0</v>
      </c>
      <c r="AQ1174" s="128">
        <v>15.0</v>
      </c>
      <c r="AT1174" s="44">
        <v>1173.0</v>
      </c>
      <c r="AU1174" s="44"/>
      <c r="AW1174" s="93"/>
      <c r="AY1174" s="93"/>
      <c r="AZ1174" s="93"/>
      <c r="BA1174" s="93"/>
      <c r="BB1174" s="155"/>
      <c r="BC1174" s="93"/>
      <c r="BE1174" s="93"/>
      <c r="BG1174" s="93"/>
      <c r="BH1174" s="93"/>
      <c r="BI1174" s="93"/>
      <c r="BJ1174" s="155"/>
      <c r="BK1174" s="93"/>
    </row>
    <row r="1175">
      <c r="A1175" s="166">
        <v>44725.93369384259</v>
      </c>
      <c r="B1175" s="44" t="s">
        <v>123</v>
      </c>
      <c r="C1175" s="128">
        <v>717.645347013439</v>
      </c>
      <c r="D1175" s="128">
        <v>14.0</v>
      </c>
      <c r="E1175" s="128">
        <v>708.6088672722567</v>
      </c>
      <c r="F1175" s="44" t="s">
        <v>110</v>
      </c>
      <c r="G1175" s="128">
        <v>1020.5814931645778</v>
      </c>
      <c r="H1175" s="128">
        <v>17.0</v>
      </c>
      <c r="I1175" s="128">
        <v>1012.6758488136923</v>
      </c>
      <c r="J1175" s="44" t="s">
        <v>27</v>
      </c>
      <c r="K1175" s="128">
        <v>1211.6133375941795</v>
      </c>
      <c r="L1175" s="128">
        <v>22.0</v>
      </c>
      <c r="M1175" s="128">
        <v>1206.5554616862473</v>
      </c>
      <c r="N1175" s="44"/>
      <c r="O1175" s="128"/>
      <c r="P1175" s="128"/>
      <c r="Q1175" s="128"/>
      <c r="V1175" s="44" t="s">
        <v>108</v>
      </c>
      <c r="W1175" s="128">
        <v>826.1752285587061</v>
      </c>
      <c r="X1175" s="128">
        <v>19.0</v>
      </c>
      <c r="Y1175" s="128">
        <v>834.0114946879523</v>
      </c>
      <c r="Z1175" s="44" t="s">
        <v>92</v>
      </c>
      <c r="AA1175" s="128">
        <v>1042.5273771733314</v>
      </c>
      <c r="AB1175" s="128">
        <v>22.0</v>
      </c>
      <c r="AC1175" s="128">
        <v>1051.7496454464354</v>
      </c>
      <c r="AD1175" s="44" t="s">
        <v>47</v>
      </c>
      <c r="AE1175" s="128">
        <v>1044.5748070504437</v>
      </c>
      <c r="AF1175" s="128">
        <v>15.0</v>
      </c>
      <c r="AG1175" s="128">
        <v>1049.5162726480935</v>
      </c>
      <c r="AH1175" s="44"/>
      <c r="AI1175" s="128"/>
      <c r="AJ1175" s="128"/>
      <c r="AK1175" s="128"/>
      <c r="AP1175" s="128">
        <v>12.0</v>
      </c>
      <c r="AQ1175" s="128">
        <v>16.0</v>
      </c>
      <c r="AT1175" s="44">
        <v>1174.0</v>
      </c>
      <c r="AU1175" s="44"/>
      <c r="AW1175" s="93"/>
      <c r="AY1175" s="93"/>
      <c r="AZ1175" s="93"/>
      <c r="BA1175" s="93"/>
      <c r="BB1175" s="155"/>
      <c r="BC1175" s="93"/>
      <c r="BE1175" s="93"/>
      <c r="BG1175" s="93"/>
      <c r="BH1175" s="93"/>
      <c r="BI1175" s="93"/>
      <c r="BJ1175" s="155"/>
      <c r="BK1175" s="93"/>
    </row>
    <row r="1176">
      <c r="A1176" s="166">
        <v>44725.97164209491</v>
      </c>
      <c r="B1176" s="44" t="s">
        <v>125</v>
      </c>
      <c r="C1176" s="128">
        <v>629.8705027331088</v>
      </c>
      <c r="D1176" s="128">
        <v>7.0</v>
      </c>
      <c r="E1176" s="128">
        <v>619.8849189559706</v>
      </c>
      <c r="F1176" s="44" t="s">
        <v>110</v>
      </c>
      <c r="G1176" s="128">
        <v>1012.6758488136923</v>
      </c>
      <c r="H1176" s="128">
        <v>23.0</v>
      </c>
      <c r="I1176" s="128">
        <v>1008.888277893841</v>
      </c>
      <c r="J1176" s="44" t="s">
        <v>47</v>
      </c>
      <c r="K1176" s="128">
        <v>1049.5162726480935</v>
      </c>
      <c r="L1176" s="128">
        <v>30.0</v>
      </c>
      <c r="M1176" s="128">
        <v>1048.7478278743858</v>
      </c>
      <c r="N1176" s="44" t="s">
        <v>92</v>
      </c>
      <c r="O1176" s="128">
        <v>1051.7496454464354</v>
      </c>
      <c r="P1176" s="128">
        <v>17.0</v>
      </c>
      <c r="Q1176" s="128">
        <v>1045.2912449171322</v>
      </c>
      <c r="V1176" s="44" t="s">
        <v>123</v>
      </c>
      <c r="W1176" s="128">
        <v>708.6088672722567</v>
      </c>
      <c r="X1176" s="128">
        <v>15.0</v>
      </c>
      <c r="Y1176" s="128">
        <v>712.3967338861237</v>
      </c>
      <c r="Z1176" s="44" t="s">
        <v>108</v>
      </c>
      <c r="AA1176" s="128">
        <v>834.0114946879523</v>
      </c>
      <c r="AB1176" s="128">
        <v>19.0</v>
      </c>
      <c r="AC1176" s="128">
        <v>839.2580705266372</v>
      </c>
      <c r="AD1176" s="44" t="s">
        <v>112</v>
      </c>
      <c r="AE1176" s="128">
        <v>979.979879697493</v>
      </c>
      <c r="AF1176" s="128">
        <v>19.0</v>
      </c>
      <c r="AG1176" s="128">
        <v>984.9768057190639</v>
      </c>
      <c r="AH1176" s="44" t="s">
        <v>27</v>
      </c>
      <c r="AI1176" s="128">
        <v>1206.5554616862473</v>
      </c>
      <c r="AJ1176" s="128">
        <v>24.0</v>
      </c>
      <c r="AK1176" s="128">
        <v>1213.5240932121246</v>
      </c>
      <c r="AP1176" s="128">
        <v>12.0</v>
      </c>
      <c r="AQ1176" s="128">
        <v>16.0</v>
      </c>
      <c r="AT1176" s="44">
        <v>1175.0</v>
      </c>
      <c r="AU1176" s="44"/>
      <c r="AW1176" s="93"/>
      <c r="AY1176" s="93"/>
      <c r="AZ1176" s="93"/>
      <c r="BA1176" s="93"/>
      <c r="BB1176" s="155"/>
      <c r="BC1176" s="93"/>
      <c r="BE1176" s="93"/>
      <c r="BG1176" s="93"/>
      <c r="BH1176" s="93"/>
      <c r="BI1176" s="93"/>
      <c r="BJ1176" s="155"/>
      <c r="BK1176" s="93"/>
    </row>
    <row r="1177">
      <c r="A1177" s="166">
        <v>44726.00838555556</v>
      </c>
      <c r="B1177" s="44" t="s">
        <v>125</v>
      </c>
      <c r="C1177" s="128">
        <v>619.8849189559706</v>
      </c>
      <c r="D1177" s="128">
        <v>17.0</v>
      </c>
      <c r="E1177" s="128">
        <v>625.1801941720039</v>
      </c>
      <c r="F1177" s="44" t="s">
        <v>92</v>
      </c>
      <c r="G1177" s="128">
        <v>1045.2912449171322</v>
      </c>
      <c r="H1177" s="128">
        <v>19.0</v>
      </c>
      <c r="I1177" s="128">
        <v>1050.224164628534</v>
      </c>
      <c r="J1177" s="44" t="s">
        <v>47</v>
      </c>
      <c r="K1177" s="128">
        <v>1048.7478278743858</v>
      </c>
      <c r="L1177" s="128">
        <v>20.0</v>
      </c>
      <c r="M1177" s="128">
        <v>1054.4431472567644</v>
      </c>
      <c r="N1177" s="44" t="s">
        <v>245</v>
      </c>
      <c r="O1177" s="128">
        <v>1063.783793414677</v>
      </c>
      <c r="P1177" s="128">
        <v>40.0</v>
      </c>
      <c r="Q1177" s="128">
        <v>1084.8602791048634</v>
      </c>
      <c r="V1177" s="44" t="s">
        <v>123</v>
      </c>
      <c r="W1177" s="128">
        <v>712.3967338861237</v>
      </c>
      <c r="X1177" s="128">
        <v>13.0</v>
      </c>
      <c r="Y1177" s="128">
        <v>700.3084408994757</v>
      </c>
      <c r="Z1177" s="44" t="s">
        <v>108</v>
      </c>
      <c r="AA1177" s="128">
        <v>839.2580705266372</v>
      </c>
      <c r="AB1177" s="128">
        <v>9.0</v>
      </c>
      <c r="AC1177" s="128">
        <v>823.6207002606307</v>
      </c>
      <c r="AD1177" s="44" t="s">
        <v>112</v>
      </c>
      <c r="AE1177" s="128">
        <v>984.9768057190639</v>
      </c>
      <c r="AF1177" s="128">
        <v>33.0</v>
      </c>
      <c r="AG1177" s="128">
        <v>984.9668057190639</v>
      </c>
      <c r="AH1177" s="44" t="s">
        <v>27</v>
      </c>
      <c r="AI1177" s="128">
        <v>1213.5240932121246</v>
      </c>
      <c r="AJ1177" s="128">
        <v>15.0</v>
      </c>
      <c r="AK1177" s="128">
        <v>1201.7794402003963</v>
      </c>
      <c r="AP1177" s="128">
        <v>21.0</v>
      </c>
      <c r="AQ1177" s="128">
        <v>7.0</v>
      </c>
      <c r="AR1177" s="44" t="s">
        <v>604</v>
      </c>
      <c r="AS1177" s="44" t="s">
        <v>268</v>
      </c>
      <c r="AT1177" s="44">
        <v>1176.0</v>
      </c>
      <c r="AU1177" s="44"/>
      <c r="AW1177" s="93"/>
      <c r="AY1177" s="93"/>
      <c r="AZ1177" s="93"/>
      <c r="BA1177" s="93"/>
      <c r="BB1177" s="155"/>
      <c r="BC1177" s="93"/>
      <c r="BE1177" s="93"/>
      <c r="BG1177" s="93"/>
      <c r="BH1177" s="93"/>
      <c r="BI1177" s="93"/>
      <c r="BJ1177" s="155"/>
      <c r="BK1177" s="93"/>
    </row>
    <row r="1178">
      <c r="A1178" s="166">
        <v>44732.43807685185</v>
      </c>
      <c r="B1178" s="44" t="s">
        <v>47</v>
      </c>
      <c r="C1178" s="128">
        <v>1054.4431472567644</v>
      </c>
      <c r="D1178" s="128">
        <v>15.0</v>
      </c>
      <c r="E1178" s="128">
        <v>1051.8721625044952</v>
      </c>
      <c r="F1178" s="44" t="s">
        <v>34</v>
      </c>
      <c r="G1178" s="128">
        <v>1113.4088590104254</v>
      </c>
      <c r="H1178" s="128">
        <v>22.0</v>
      </c>
      <c r="I1178" s="128">
        <v>1112.1781367986346</v>
      </c>
      <c r="J1178" s="44" t="s">
        <v>27</v>
      </c>
      <c r="K1178" s="128">
        <v>1201.7794402003963</v>
      </c>
      <c r="L1178" s="128">
        <v>12.0</v>
      </c>
      <c r="M1178" s="128">
        <v>1198.5811471644563</v>
      </c>
      <c r="N1178" s="44"/>
      <c r="O1178" s="128"/>
      <c r="P1178" s="128"/>
      <c r="Q1178" s="128"/>
      <c r="V1178" s="44" t="s">
        <v>486</v>
      </c>
      <c r="W1178" s="128">
        <v>899.3489096572354</v>
      </c>
      <c r="X1178" s="128">
        <v>11.0</v>
      </c>
      <c r="Y1178" s="128">
        <v>900.0284294504635</v>
      </c>
      <c r="Z1178" s="44" t="s">
        <v>38</v>
      </c>
      <c r="AA1178" s="128">
        <v>1053.6796717942477</v>
      </c>
      <c r="AB1178" s="128">
        <v>19.0</v>
      </c>
      <c r="AC1178" s="128">
        <v>1055.8176992675792</v>
      </c>
      <c r="AD1178" s="44" t="s">
        <v>35</v>
      </c>
      <c r="AE1178" s="128">
        <v>1678.522545985923</v>
      </c>
      <c r="AF1178" s="128">
        <v>30.0</v>
      </c>
      <c r="AG1178" s="128">
        <v>1682.7049987193634</v>
      </c>
      <c r="AH1178" s="44"/>
      <c r="AI1178" s="128"/>
      <c r="AJ1178" s="128"/>
      <c r="AK1178" s="128"/>
      <c r="AP1178" s="128">
        <v>12.0</v>
      </c>
      <c r="AQ1178" s="128">
        <v>16.0</v>
      </c>
      <c r="AT1178" s="44">
        <v>1177.0</v>
      </c>
      <c r="AU1178" s="44"/>
      <c r="AW1178" s="93"/>
      <c r="AY1178" s="93"/>
      <c r="AZ1178" s="93"/>
      <c r="BA1178" s="93"/>
      <c r="BB1178" s="155"/>
      <c r="BC1178" s="93"/>
      <c r="BE1178" s="93"/>
      <c r="BG1178" s="93"/>
      <c r="BH1178" s="93"/>
      <c r="BI1178" s="93"/>
      <c r="BJ1178" s="155"/>
      <c r="BK1178" s="93"/>
    </row>
    <row r="1179">
      <c r="A1179" s="166">
        <v>44733.95578260417</v>
      </c>
      <c r="B1179" s="44" t="s">
        <v>47</v>
      </c>
      <c r="C1179" s="128">
        <v>1051.8721625044952</v>
      </c>
      <c r="D1179" s="128">
        <v>24.0</v>
      </c>
      <c r="E1179" s="128">
        <v>1056.2279928453725</v>
      </c>
      <c r="F1179" s="44" t="s">
        <v>38</v>
      </c>
      <c r="G1179" s="128">
        <v>1055.8176992675792</v>
      </c>
      <c r="H1179" s="128">
        <v>18.0</v>
      </c>
      <c r="I1179" s="128">
        <v>1058.6712397916276</v>
      </c>
      <c r="J1179" s="44" t="s">
        <v>27</v>
      </c>
      <c r="K1179" s="128">
        <v>1198.5811471644563</v>
      </c>
      <c r="L1179" s="128">
        <v>14.0</v>
      </c>
      <c r="M1179" s="128">
        <v>1200.3717762995307</v>
      </c>
      <c r="N1179" s="44"/>
      <c r="O1179" s="128"/>
      <c r="P1179" s="128"/>
      <c r="Q1179" s="128"/>
      <c r="V1179" s="44" t="s">
        <v>486</v>
      </c>
      <c r="W1179" s="128">
        <v>900.0284294504635</v>
      </c>
      <c r="X1179" s="128">
        <v>9.0</v>
      </c>
      <c r="Y1179" s="128">
        <v>895.1973403114557</v>
      </c>
      <c r="Z1179" s="44" t="s">
        <v>112</v>
      </c>
      <c r="AA1179" s="128">
        <v>984.9668057190639</v>
      </c>
      <c r="AB1179" s="128">
        <v>24.0</v>
      </c>
      <c r="AC1179" s="128">
        <v>983.8225318055165</v>
      </c>
      <c r="AD1179" s="44" t="s">
        <v>23</v>
      </c>
      <c r="AE1179" s="128">
        <v>1372.0013205675193</v>
      </c>
      <c r="AF1179" s="128">
        <v>17.0</v>
      </c>
      <c r="AG1179" s="128">
        <v>1368.9766836200745</v>
      </c>
      <c r="AH1179" s="44"/>
      <c r="AI1179" s="128"/>
      <c r="AJ1179" s="128"/>
      <c r="AK1179" s="128"/>
      <c r="AP1179" s="128">
        <v>15.0</v>
      </c>
      <c r="AQ1179" s="128">
        <v>13.0</v>
      </c>
      <c r="AT1179" s="44">
        <v>1178.0</v>
      </c>
      <c r="AU1179" s="44"/>
      <c r="AW1179" s="93"/>
      <c r="AY1179" s="93"/>
      <c r="AZ1179" s="93"/>
      <c r="BA1179" s="93"/>
      <c r="BB1179" s="155"/>
      <c r="BC1179" s="93"/>
      <c r="BE1179" s="93"/>
      <c r="BG1179" s="93"/>
      <c r="BH1179" s="93"/>
      <c r="BI1179" s="93"/>
      <c r="BJ1179" s="155"/>
      <c r="BK1179" s="93"/>
    </row>
    <row r="1180">
      <c r="A1180" s="166">
        <v>44734.002769108796</v>
      </c>
      <c r="B1180" s="44" t="s">
        <v>125</v>
      </c>
      <c r="C1180" s="128">
        <v>625.1801941720039</v>
      </c>
      <c r="D1180" s="128">
        <v>14.0</v>
      </c>
      <c r="E1180" s="128">
        <v>628.604814808707</v>
      </c>
      <c r="F1180" s="44" t="s">
        <v>47</v>
      </c>
      <c r="G1180" s="128">
        <v>1056.2279928453725</v>
      </c>
      <c r="H1180" s="128">
        <v>29.0</v>
      </c>
      <c r="I1180" s="128">
        <v>1069.3864837129468</v>
      </c>
      <c r="J1180" s="44" t="s">
        <v>34</v>
      </c>
      <c r="K1180" s="128">
        <v>1112.1781367986346</v>
      </c>
      <c r="L1180" s="128">
        <v>22.0</v>
      </c>
      <c r="M1180" s="128">
        <v>1119.8254132807526</v>
      </c>
      <c r="N1180" s="44" t="s">
        <v>23</v>
      </c>
      <c r="O1180" s="128">
        <v>1368.9766836200745</v>
      </c>
      <c r="P1180" s="128">
        <v>29.0</v>
      </c>
      <c r="Q1180" s="128">
        <v>1381.746295633679</v>
      </c>
      <c r="V1180" s="44" t="s">
        <v>486</v>
      </c>
      <c r="W1180" s="128">
        <v>895.1973403114557</v>
      </c>
      <c r="X1180" s="128">
        <v>17.0</v>
      </c>
      <c r="Y1180" s="128">
        <v>885.4620940423495</v>
      </c>
      <c r="Z1180" s="44" t="s">
        <v>112</v>
      </c>
      <c r="AA1180" s="128">
        <v>983.8225318055165</v>
      </c>
      <c r="AB1180" s="128">
        <v>21.0</v>
      </c>
      <c r="AC1180" s="128">
        <v>976.9490593415488</v>
      </c>
      <c r="AD1180" s="44" t="s">
        <v>38</v>
      </c>
      <c r="AE1180" s="128">
        <v>1058.6712397916276</v>
      </c>
      <c r="AF1180" s="128">
        <v>13.0</v>
      </c>
      <c r="AG1180" s="128">
        <v>1045.4851064006575</v>
      </c>
      <c r="AH1180" s="44" t="s">
        <v>27</v>
      </c>
      <c r="AI1180" s="128">
        <v>1200.3717762995307</v>
      </c>
      <c r="AJ1180" s="128">
        <v>21.0</v>
      </c>
      <c r="AK1180" s="128">
        <v>1193.1666284235748</v>
      </c>
      <c r="AP1180" s="128">
        <v>21.0</v>
      </c>
      <c r="AQ1180" s="128">
        <v>7.0</v>
      </c>
      <c r="AT1180" s="44">
        <v>1179.0</v>
      </c>
      <c r="AU1180" s="44"/>
      <c r="AW1180" s="93"/>
      <c r="AY1180" s="93"/>
      <c r="AZ1180" s="93"/>
      <c r="BA1180" s="93"/>
      <c r="BB1180" s="155"/>
      <c r="BC1180" s="93"/>
      <c r="BE1180" s="93"/>
      <c r="BG1180" s="93"/>
      <c r="BH1180" s="93"/>
      <c r="BI1180" s="93"/>
      <c r="BJ1180" s="155"/>
      <c r="BK1180" s="93"/>
    </row>
    <row r="1181">
      <c r="A1181" s="166">
        <v>44734.05530083334</v>
      </c>
      <c r="B1181" s="44" t="s">
        <v>125</v>
      </c>
      <c r="C1181" s="128">
        <v>628.604814808707</v>
      </c>
      <c r="D1181" s="128">
        <v>20.0</v>
      </c>
      <c r="E1181" s="128">
        <v>629.9804823984408</v>
      </c>
      <c r="F1181" s="44" t="s">
        <v>23</v>
      </c>
      <c r="G1181" s="128">
        <v>1381.746295633679</v>
      </c>
      <c r="H1181" s="128">
        <v>36.0</v>
      </c>
      <c r="I1181" s="128">
        <v>1387.2315054465862</v>
      </c>
      <c r="J1181" s="44" t="s">
        <v>31</v>
      </c>
      <c r="K1181" s="128">
        <v>1449.1067481537639</v>
      </c>
      <c r="L1181" s="128">
        <v>35.0</v>
      </c>
      <c r="M1181" s="128">
        <v>1454.245870751123</v>
      </c>
      <c r="N1181" s="44"/>
      <c r="O1181" s="128"/>
      <c r="P1181" s="128"/>
      <c r="Q1181" s="128"/>
      <c r="V1181" s="44" t="s">
        <v>38</v>
      </c>
      <c r="W1181" s="128">
        <v>1045.4851064006575</v>
      </c>
      <c r="X1181" s="128">
        <v>18.0</v>
      </c>
      <c r="Y1181" s="128">
        <v>1039.1998338651722</v>
      </c>
      <c r="Z1181" s="44" t="s">
        <v>47</v>
      </c>
      <c r="AA1181" s="128">
        <v>1069.3864837129468</v>
      </c>
      <c r="AB1181" s="128">
        <v>32.0</v>
      </c>
      <c r="AC1181" s="128">
        <v>1067.743497721784</v>
      </c>
      <c r="AD1181" s="44" t="s">
        <v>27</v>
      </c>
      <c r="AE1181" s="128">
        <v>1193.1666284235748</v>
      </c>
      <c r="AF1181" s="128">
        <v>25.0</v>
      </c>
      <c r="AG1181" s="128">
        <v>1189.0948869502229</v>
      </c>
      <c r="AH1181" s="44"/>
      <c r="AI1181" s="128"/>
      <c r="AJ1181" s="128"/>
      <c r="AK1181" s="128"/>
      <c r="AP1181" s="128">
        <v>25.0</v>
      </c>
      <c r="AQ1181" s="128">
        <v>17.0</v>
      </c>
      <c r="AT1181" s="44">
        <v>1180.0</v>
      </c>
      <c r="AU1181" s="44"/>
      <c r="AW1181" s="93"/>
      <c r="AY1181" s="93"/>
      <c r="AZ1181" s="93"/>
      <c r="BA1181" s="93"/>
      <c r="BB1181" s="155"/>
      <c r="BC1181" s="93"/>
      <c r="BE1181" s="93"/>
      <c r="BG1181" s="93"/>
      <c r="BH1181" s="93"/>
      <c r="BI1181" s="93"/>
      <c r="BJ1181" s="155"/>
      <c r="BK1181" s="93"/>
    </row>
    <row r="1182">
      <c r="A1182" s="166">
        <v>44739.92966060185</v>
      </c>
      <c r="B1182" s="44" t="s">
        <v>123</v>
      </c>
      <c r="C1182" s="128">
        <v>700.3084408994757</v>
      </c>
      <c r="D1182" s="128">
        <v>15.0</v>
      </c>
      <c r="E1182" s="128">
        <v>683.7925972272275</v>
      </c>
      <c r="F1182" s="44" t="s">
        <v>108</v>
      </c>
      <c r="G1182" s="128">
        <v>823.6207002606307</v>
      </c>
      <c r="H1182" s="128">
        <v>12.0</v>
      </c>
      <c r="I1182" s="128">
        <v>802.5626668256058</v>
      </c>
      <c r="J1182" s="44" t="s">
        <v>35</v>
      </c>
      <c r="K1182" s="128">
        <v>1682.7049987193634</v>
      </c>
      <c r="L1182" s="128">
        <v>23.0</v>
      </c>
      <c r="M1182" s="128">
        <v>1674.2788758266365</v>
      </c>
      <c r="N1182" s="44"/>
      <c r="O1182" s="128"/>
      <c r="P1182" s="128"/>
      <c r="Q1182" s="128"/>
      <c r="V1182" s="44" t="s">
        <v>38</v>
      </c>
      <c r="W1182" s="128">
        <v>1039.1998338651722</v>
      </c>
      <c r="X1182" s="128">
        <v>19.0</v>
      </c>
      <c r="Y1182" s="128">
        <v>1050.7458199871937</v>
      </c>
      <c r="Z1182" s="44" t="s">
        <v>92</v>
      </c>
      <c r="AA1182" s="128">
        <v>1050.224164628534</v>
      </c>
      <c r="AB1182" s="128">
        <v>24.0</v>
      </c>
      <c r="AC1182" s="128">
        <v>1068.1197659273696</v>
      </c>
      <c r="AD1182" s="44" t="s">
        <v>47</v>
      </c>
      <c r="AE1182" s="128">
        <v>1067.743497721784</v>
      </c>
      <c r="AF1182" s="128">
        <v>23.0</v>
      </c>
      <c r="AG1182" s="128">
        <v>1084.301910300927</v>
      </c>
      <c r="AH1182" s="44"/>
      <c r="AI1182" s="128"/>
      <c r="AJ1182" s="128"/>
      <c r="AK1182" s="128"/>
      <c r="AP1182" s="128">
        <v>9.0</v>
      </c>
      <c r="AQ1182" s="128">
        <v>19.0</v>
      </c>
      <c r="AT1182" s="44">
        <v>1181.0</v>
      </c>
      <c r="AU1182" s="44"/>
      <c r="AW1182" s="93"/>
      <c r="AY1182" s="93"/>
      <c r="AZ1182" s="93"/>
      <c r="BA1182" s="93"/>
      <c r="BB1182" s="155"/>
      <c r="BC1182" s="93"/>
      <c r="BE1182" s="93"/>
      <c r="BG1182" s="93"/>
      <c r="BH1182" s="93"/>
      <c r="BI1182" s="93"/>
      <c r="BJ1182" s="155"/>
      <c r="BK1182" s="93"/>
    </row>
    <row r="1183">
      <c r="A1183" s="166">
        <v>44739.970104594904</v>
      </c>
      <c r="B1183" s="44" t="s">
        <v>123</v>
      </c>
      <c r="C1183" s="128">
        <v>683.7925972272275</v>
      </c>
      <c r="D1183" s="128">
        <v>10.0</v>
      </c>
      <c r="E1183" s="128">
        <v>674.6269099577145</v>
      </c>
      <c r="F1183" s="44" t="s">
        <v>92</v>
      </c>
      <c r="G1183" s="128">
        <v>1068.1197659273696</v>
      </c>
      <c r="H1183" s="128">
        <v>18.0</v>
      </c>
      <c r="I1183" s="128">
        <v>1062.7105876741705</v>
      </c>
      <c r="J1183" s="44" t="s">
        <v>47</v>
      </c>
      <c r="K1183" s="128">
        <v>1084.301910300927</v>
      </c>
      <c r="L1183" s="128">
        <v>18.0</v>
      </c>
      <c r="M1183" s="128">
        <v>1078.876775823639</v>
      </c>
      <c r="N1183" s="44"/>
      <c r="O1183" s="128"/>
      <c r="P1183" s="128"/>
      <c r="Q1183" s="128"/>
      <c r="V1183" s="44" t="s">
        <v>108</v>
      </c>
      <c r="W1183" s="128">
        <v>802.5626668256058</v>
      </c>
      <c r="X1183" s="128">
        <v>18.0</v>
      </c>
      <c r="Y1183" s="128">
        <v>807.5163633018722</v>
      </c>
      <c r="Z1183" s="44" t="s">
        <v>112</v>
      </c>
      <c r="AA1183" s="128">
        <v>976.9490593415488</v>
      </c>
      <c r="AB1183" s="128">
        <v>24.0</v>
      </c>
      <c r="AC1183" s="128">
        <v>984.8132069755211</v>
      </c>
      <c r="AD1183" s="44" t="s">
        <v>38</v>
      </c>
      <c r="AE1183" s="128">
        <v>1050.7458199871937</v>
      </c>
      <c r="AF1183" s="128">
        <v>23.0</v>
      </c>
      <c r="AG1183" s="128">
        <v>1057.927975876955</v>
      </c>
      <c r="AH1183" s="44"/>
      <c r="AI1183" s="128"/>
      <c r="AJ1183" s="128"/>
      <c r="AK1183" s="128"/>
      <c r="AP1183" s="128">
        <v>10.0</v>
      </c>
      <c r="AQ1183" s="128">
        <v>18.0</v>
      </c>
      <c r="AT1183" s="44">
        <v>1182.0</v>
      </c>
      <c r="AU1183" s="44"/>
      <c r="AW1183" s="93"/>
      <c r="AY1183" s="93"/>
      <c r="AZ1183" s="93"/>
      <c r="BA1183" s="93"/>
      <c r="BB1183" s="155"/>
      <c r="BC1183" s="93"/>
      <c r="BE1183" s="93"/>
      <c r="BG1183" s="93"/>
      <c r="BH1183" s="93"/>
      <c r="BI1183" s="93"/>
      <c r="BJ1183" s="155"/>
      <c r="BK1183" s="93"/>
    </row>
    <row r="1184">
      <c r="A1184" s="166">
        <v>44741.006781828706</v>
      </c>
      <c r="B1184" s="44" t="s">
        <v>123</v>
      </c>
      <c r="C1184" s="128">
        <v>674.6269099577145</v>
      </c>
      <c r="D1184" s="128">
        <v>20.0</v>
      </c>
      <c r="E1184" s="128">
        <v>670.5060266564278</v>
      </c>
      <c r="F1184" s="44" t="s">
        <v>38</v>
      </c>
      <c r="G1184" s="128">
        <v>1057.927975876955</v>
      </c>
      <c r="H1184" s="128">
        <v>8.0</v>
      </c>
      <c r="I1184" s="128">
        <v>1045.688202438655</v>
      </c>
      <c r="J1184" s="44" t="s">
        <v>27</v>
      </c>
      <c r="K1184" s="128">
        <v>1189.0948869502229</v>
      </c>
      <c r="L1184" s="128">
        <v>19.0</v>
      </c>
      <c r="M1184" s="128">
        <v>1183.4555436898095</v>
      </c>
      <c r="N1184" s="44"/>
      <c r="O1184" s="128"/>
      <c r="P1184" s="128"/>
      <c r="Q1184" s="128"/>
      <c r="V1184" s="44" t="s">
        <v>108</v>
      </c>
      <c r="W1184" s="128">
        <v>807.5163633018722</v>
      </c>
      <c r="X1184" s="128">
        <v>21.0</v>
      </c>
      <c r="Y1184" s="128">
        <v>815.4084700706331</v>
      </c>
      <c r="Z1184" s="44" t="s">
        <v>110</v>
      </c>
      <c r="AA1184" s="128">
        <v>1008.888277893841</v>
      </c>
      <c r="AB1184" s="128">
        <v>19.0</v>
      </c>
      <c r="AC1184" s="128">
        <v>1015.0704318789413</v>
      </c>
      <c r="AD1184" s="44" t="s">
        <v>92</v>
      </c>
      <c r="AE1184" s="128">
        <v>1062.7105876741705</v>
      </c>
      <c r="AF1184" s="128">
        <v>22.0</v>
      </c>
      <c r="AG1184" s="128">
        <v>1070.636326920309</v>
      </c>
      <c r="AH1184" s="44"/>
      <c r="AI1184" s="128"/>
      <c r="AJ1184" s="128"/>
      <c r="AK1184" s="128"/>
      <c r="AP1184" s="128">
        <v>12.0</v>
      </c>
      <c r="AQ1184" s="128">
        <v>16.0</v>
      </c>
      <c r="AT1184" s="44">
        <v>1183.0</v>
      </c>
      <c r="AU1184" s="44"/>
      <c r="AW1184" s="93"/>
      <c r="AY1184" s="93"/>
      <c r="AZ1184" s="93"/>
      <c r="BA1184" s="93"/>
      <c r="BB1184" s="155"/>
      <c r="BC1184" s="93"/>
      <c r="BE1184" s="93"/>
      <c r="BG1184" s="93"/>
      <c r="BH1184" s="93"/>
      <c r="BI1184" s="93"/>
      <c r="BJ1184" s="155"/>
      <c r="BK1184" s="93"/>
    </row>
    <row r="1185">
      <c r="A1185" s="166">
        <v>44746.97298318287</v>
      </c>
      <c r="B1185" s="44" t="s">
        <v>123</v>
      </c>
      <c r="C1185" s="128">
        <v>670.5060266564278</v>
      </c>
      <c r="D1185" s="128">
        <v>17.0</v>
      </c>
      <c r="E1185" s="128">
        <v>675.5967022526983</v>
      </c>
      <c r="F1185" s="44" t="s">
        <v>47</v>
      </c>
      <c r="G1185" s="128">
        <v>1078.876775823639</v>
      </c>
      <c r="H1185" s="128">
        <v>26.0</v>
      </c>
      <c r="I1185" s="128">
        <v>1087.783349272384</v>
      </c>
      <c r="J1185" s="44" t="s">
        <v>23</v>
      </c>
      <c r="K1185" s="128">
        <v>1387.2315054465862</v>
      </c>
      <c r="L1185" s="128">
        <v>19.0</v>
      </c>
      <c r="M1185" s="128">
        <v>1392.234256401571</v>
      </c>
      <c r="N1185" s="44"/>
      <c r="O1185" s="128"/>
      <c r="P1185" s="128"/>
      <c r="Q1185" s="128"/>
      <c r="V1185" s="44" t="s">
        <v>108</v>
      </c>
      <c r="W1185" s="128">
        <v>815.4084700706331</v>
      </c>
      <c r="X1185" s="128">
        <v>7.0</v>
      </c>
      <c r="Y1185" s="128">
        <v>805.8083791418817</v>
      </c>
      <c r="Z1185" s="44" t="s">
        <v>34</v>
      </c>
      <c r="AA1185" s="128">
        <v>1119.8254132807526</v>
      </c>
      <c r="AB1185" s="128">
        <v>15.0</v>
      </c>
      <c r="AC1185" s="128">
        <v>1114.0893720618724</v>
      </c>
      <c r="AD1185" s="44" t="s">
        <v>27</v>
      </c>
      <c r="AE1185" s="128">
        <v>1183.4555436898095</v>
      </c>
      <c r="AF1185" s="128">
        <v>19.0</v>
      </c>
      <c r="AG1185" s="128">
        <v>1179.7916758374413</v>
      </c>
      <c r="AH1185" s="44"/>
      <c r="AI1185" s="128"/>
      <c r="AJ1185" s="128"/>
      <c r="AK1185" s="128"/>
      <c r="AP1185" s="128">
        <v>17.0</v>
      </c>
      <c r="AQ1185" s="128">
        <v>11.0</v>
      </c>
      <c r="AS1185" s="44" t="s">
        <v>229</v>
      </c>
      <c r="AT1185" s="44">
        <v>1184.0</v>
      </c>
      <c r="AU1185" s="44"/>
      <c r="AW1185" s="93"/>
      <c r="AY1185" s="93"/>
      <c r="AZ1185" s="93"/>
      <c r="BA1185" s="93"/>
      <c r="BB1185" s="155"/>
      <c r="BC1185" s="93"/>
      <c r="BE1185" s="93"/>
      <c r="BG1185" s="93"/>
      <c r="BH1185" s="93"/>
      <c r="BI1185" s="93"/>
      <c r="BJ1185" s="155"/>
      <c r="BK1185" s="93"/>
    </row>
    <row r="1186">
      <c r="A1186" s="166">
        <v>44747.025551203704</v>
      </c>
      <c r="B1186" s="44" t="s">
        <v>123</v>
      </c>
      <c r="C1186" s="128">
        <v>675.5967022526983</v>
      </c>
      <c r="D1186" s="128">
        <v>27.0</v>
      </c>
      <c r="E1186" s="128">
        <v>680.5869271411538</v>
      </c>
      <c r="F1186" s="44" t="s">
        <v>112</v>
      </c>
      <c r="G1186" s="128">
        <v>984.8132069755211</v>
      </c>
      <c r="H1186" s="128">
        <v>28.0</v>
      </c>
      <c r="I1186" s="128">
        <v>989.0370387878489</v>
      </c>
      <c r="J1186" s="44" t="s">
        <v>23</v>
      </c>
      <c r="K1186" s="128">
        <v>1392.234256401571</v>
      </c>
      <c r="L1186" s="128">
        <v>42.0</v>
      </c>
      <c r="M1186" s="128">
        <v>1404.0201997007878</v>
      </c>
      <c r="N1186" s="44"/>
      <c r="O1186" s="128"/>
      <c r="P1186" s="128"/>
      <c r="Q1186" s="128"/>
      <c r="V1186" s="44" t="s">
        <v>108</v>
      </c>
      <c r="W1186" s="128">
        <v>805.8083791418817</v>
      </c>
      <c r="X1186" s="128">
        <v>17.0</v>
      </c>
      <c r="Y1186" s="128">
        <v>794.4682773360281</v>
      </c>
      <c r="Z1186" s="44" t="s">
        <v>47</v>
      </c>
      <c r="AA1186" s="128">
        <v>1087.783349272384</v>
      </c>
      <c r="AB1186" s="128">
        <v>33.0</v>
      </c>
      <c r="AC1186" s="128">
        <v>1085.0573484728188</v>
      </c>
      <c r="AD1186" s="44" t="s">
        <v>27</v>
      </c>
      <c r="AE1186" s="128">
        <v>1179.7916758374413</v>
      </c>
      <c r="AF1186" s="128">
        <v>26.0</v>
      </c>
      <c r="AG1186" s="128">
        <v>1172.85777844286</v>
      </c>
      <c r="AH1186" s="44"/>
      <c r="AI1186" s="128"/>
      <c r="AJ1186" s="128"/>
      <c r="AK1186" s="128"/>
      <c r="AP1186" s="128">
        <v>25.0</v>
      </c>
      <c r="AQ1186" s="128">
        <v>17.0</v>
      </c>
      <c r="AS1186" s="44" t="s">
        <v>605</v>
      </c>
      <c r="AT1186" s="44">
        <v>1185.0</v>
      </c>
      <c r="AU1186" s="44"/>
      <c r="AW1186" s="93"/>
      <c r="AY1186" s="93"/>
      <c r="AZ1186" s="93"/>
      <c r="BA1186" s="93"/>
      <c r="BB1186" s="155"/>
      <c r="BC1186" s="93"/>
      <c r="BE1186" s="93"/>
      <c r="BG1186" s="93"/>
      <c r="BH1186" s="93"/>
      <c r="BI1186" s="93"/>
      <c r="BJ1186" s="155"/>
      <c r="BK1186" s="93"/>
    </row>
    <row r="1187">
      <c r="A1187" s="166">
        <v>44747.98331332176</v>
      </c>
      <c r="B1187" s="44" t="s">
        <v>123</v>
      </c>
      <c r="C1187" s="128">
        <v>680.5869271411538</v>
      </c>
      <c r="D1187" s="128">
        <v>20.0</v>
      </c>
      <c r="E1187" s="128">
        <v>685.837583312817</v>
      </c>
      <c r="F1187" s="44" t="s">
        <v>47</v>
      </c>
      <c r="G1187" s="128">
        <v>1085.0573484728188</v>
      </c>
      <c r="H1187" s="128">
        <v>18.0</v>
      </c>
      <c r="I1187" s="128">
        <v>1088.7631871698648</v>
      </c>
      <c r="J1187" s="44" t="s">
        <v>23</v>
      </c>
      <c r="K1187" s="128">
        <v>1404.0201997007878</v>
      </c>
      <c r="L1187" s="128">
        <v>24.0</v>
      </c>
      <c r="M1187" s="128">
        <v>1410.0637048320787</v>
      </c>
      <c r="N1187" s="44"/>
      <c r="O1187" s="128"/>
      <c r="P1187" s="128"/>
      <c r="Q1187" s="128"/>
      <c r="V1187" s="44" t="s">
        <v>108</v>
      </c>
      <c r="W1187" s="128">
        <v>794.4682773360281</v>
      </c>
      <c r="X1187" s="128">
        <v>11.0</v>
      </c>
      <c r="Y1187" s="128">
        <v>787.1016494123159</v>
      </c>
      <c r="Z1187" s="44" t="s">
        <v>34</v>
      </c>
      <c r="AA1187" s="128">
        <v>1114.0893720618724</v>
      </c>
      <c r="AB1187" s="128">
        <v>22.0</v>
      </c>
      <c r="AC1187" s="128">
        <v>1110.9163167774645</v>
      </c>
      <c r="AD1187" s="44" t="s">
        <v>27</v>
      </c>
      <c r="AE1187" s="128">
        <v>1172.85777844286</v>
      </c>
      <c r="AF1187" s="128">
        <v>19.0</v>
      </c>
      <c r="AG1187" s="128">
        <v>1168.3974616509802</v>
      </c>
      <c r="AH1187" s="44"/>
      <c r="AI1187" s="128"/>
      <c r="AJ1187" s="128"/>
      <c r="AK1187" s="128"/>
      <c r="AP1187" s="128">
        <v>17.0</v>
      </c>
      <c r="AQ1187" s="128">
        <v>11.0</v>
      </c>
      <c r="AS1187" s="44" t="s">
        <v>266</v>
      </c>
      <c r="AT1187" s="44">
        <v>1186.0</v>
      </c>
      <c r="AU1187" s="44"/>
      <c r="AW1187" s="93"/>
      <c r="AY1187" s="93"/>
      <c r="AZ1187" s="93"/>
      <c r="BA1187" s="93"/>
      <c r="BB1187" s="155"/>
      <c r="BC1187" s="93"/>
      <c r="BE1187" s="93"/>
      <c r="BG1187" s="93"/>
      <c r="BH1187" s="93"/>
      <c r="BI1187" s="93"/>
      <c r="BJ1187" s="155"/>
      <c r="BK1187" s="93"/>
    </row>
    <row r="1188">
      <c r="A1188" s="166">
        <v>44748.01841505787</v>
      </c>
      <c r="B1188" s="44" t="s">
        <v>123</v>
      </c>
      <c r="C1188" s="128">
        <v>685.837583312817</v>
      </c>
      <c r="D1188" s="128">
        <v>11.0</v>
      </c>
      <c r="E1188" s="128">
        <v>687.203857798156</v>
      </c>
      <c r="F1188" s="44" t="s">
        <v>486</v>
      </c>
      <c r="G1188" s="128">
        <v>885.4620940423495</v>
      </c>
      <c r="H1188" s="128">
        <v>20.0</v>
      </c>
      <c r="I1188" s="128">
        <v>889.9793420272636</v>
      </c>
      <c r="J1188" s="44" t="s">
        <v>47</v>
      </c>
      <c r="K1188" s="128">
        <v>1088.7631871698648</v>
      </c>
      <c r="L1188" s="128">
        <v>23.0</v>
      </c>
      <c r="M1188" s="128">
        <v>1094.2103352872437</v>
      </c>
      <c r="N1188" s="44" t="s">
        <v>23</v>
      </c>
      <c r="O1188" s="128">
        <v>1410.0637048320787</v>
      </c>
      <c r="P1188" s="128">
        <v>29.0</v>
      </c>
      <c r="Q1188" s="128">
        <v>1417.7330342444466</v>
      </c>
      <c r="V1188" s="44" t="s">
        <v>108</v>
      </c>
      <c r="W1188" s="128">
        <v>787.1016494123159</v>
      </c>
      <c r="X1188" s="128">
        <v>16.0</v>
      </c>
      <c r="Y1188" s="128">
        <v>781.5528054839848</v>
      </c>
      <c r="Z1188" s="44" t="s">
        <v>112</v>
      </c>
      <c r="AA1188" s="128">
        <v>989.0370387878489</v>
      </c>
      <c r="AB1188" s="128">
        <v>20.0</v>
      </c>
      <c r="AC1188" s="128">
        <v>984.7732384158815</v>
      </c>
      <c r="AD1188" s="44" t="s">
        <v>34</v>
      </c>
      <c r="AE1188" s="128">
        <v>1110.9163167774645</v>
      </c>
      <c r="AF1188" s="128">
        <v>25.0</v>
      </c>
      <c r="AG1188" s="128">
        <v>1108.5187412253943</v>
      </c>
      <c r="AH1188" s="44" t="s">
        <v>27</v>
      </c>
      <c r="AI1188" s="128">
        <v>1168.3974616509802</v>
      </c>
      <c r="AJ1188" s="128">
        <v>14.0</v>
      </c>
      <c r="AK1188" s="128">
        <v>1161.607681503349</v>
      </c>
      <c r="AP1188" s="128">
        <v>16.0</v>
      </c>
      <c r="AQ1188" s="128">
        <v>12.0</v>
      </c>
      <c r="AS1188" s="44" t="s">
        <v>235</v>
      </c>
      <c r="AT1188" s="44">
        <v>1187.0</v>
      </c>
      <c r="AU1188" s="44"/>
      <c r="AW1188" s="93"/>
      <c r="AY1188" s="93"/>
      <c r="AZ1188" s="93"/>
      <c r="BA1188" s="93"/>
      <c r="BB1188" s="155"/>
      <c r="BC1188" s="93"/>
      <c r="BE1188" s="93"/>
      <c r="BG1188" s="93"/>
      <c r="BH1188" s="93"/>
      <c r="BI1188" s="93"/>
      <c r="BJ1188" s="155"/>
      <c r="BK1188" s="93"/>
    </row>
    <row r="1189">
      <c r="A1189" s="166">
        <v>44754.926950636574</v>
      </c>
      <c r="B1189" s="44" t="s">
        <v>38</v>
      </c>
      <c r="C1189" s="128">
        <v>1045.688202438655</v>
      </c>
      <c r="D1189" s="128">
        <v>13.0</v>
      </c>
      <c r="E1189" s="128">
        <v>1048.205733360871</v>
      </c>
      <c r="F1189" s="44" t="s">
        <v>23</v>
      </c>
      <c r="G1189" s="128">
        <v>1417.7330342444466</v>
      </c>
      <c r="H1189" s="128">
        <v>24.0</v>
      </c>
      <c r="I1189" s="128">
        <v>1424.2155033222307</v>
      </c>
      <c r="J1189" s="44"/>
      <c r="K1189" s="128"/>
      <c r="L1189" s="128"/>
      <c r="M1189" s="128"/>
      <c r="N1189" s="44"/>
      <c r="O1189" s="128"/>
      <c r="P1189" s="128"/>
      <c r="Q1189" s="128"/>
      <c r="V1189" s="44" t="s">
        <v>47</v>
      </c>
      <c r="W1189" s="128">
        <v>1094.2103352872437</v>
      </c>
      <c r="X1189" s="128">
        <v>17.0</v>
      </c>
      <c r="Y1189" s="128">
        <v>1090.8513140912519</v>
      </c>
      <c r="Z1189" s="44" t="s">
        <v>27</v>
      </c>
      <c r="AA1189" s="128">
        <v>1161.607681503349</v>
      </c>
      <c r="AB1189" s="128">
        <v>11.0</v>
      </c>
      <c r="AC1189" s="128">
        <v>1155.9667026993409</v>
      </c>
      <c r="AD1189" s="44"/>
      <c r="AE1189" s="128"/>
      <c r="AF1189" s="128"/>
      <c r="AG1189" s="128"/>
      <c r="AH1189" s="44"/>
      <c r="AI1189" s="128"/>
      <c r="AJ1189" s="128"/>
      <c r="AK1189" s="128"/>
      <c r="AP1189" s="128">
        <v>17.0</v>
      </c>
      <c r="AQ1189" s="128">
        <v>11.0</v>
      </c>
      <c r="AT1189" s="44">
        <v>1188.0</v>
      </c>
      <c r="AU1189" s="44"/>
      <c r="AW1189" s="93"/>
      <c r="AY1189" s="93"/>
      <c r="AZ1189" s="93"/>
      <c r="BA1189" s="93"/>
      <c r="BB1189" s="155"/>
      <c r="BC1189" s="93"/>
      <c r="BE1189" s="93"/>
      <c r="BG1189" s="93"/>
      <c r="BH1189" s="93"/>
      <c r="BI1189" s="93"/>
      <c r="BJ1189" s="155"/>
      <c r="BK1189" s="93"/>
    </row>
    <row r="1190">
      <c r="A1190" s="166">
        <v>44754.9640205787</v>
      </c>
      <c r="B1190" s="44" t="s">
        <v>125</v>
      </c>
      <c r="C1190" s="128">
        <v>629.9804823984408</v>
      </c>
      <c r="D1190" s="128">
        <v>9.0</v>
      </c>
      <c r="E1190" s="128">
        <v>630.9883958526732</v>
      </c>
      <c r="F1190" s="44" t="s">
        <v>47</v>
      </c>
      <c r="G1190" s="128">
        <v>1090.8513140912519</v>
      </c>
      <c r="H1190" s="128">
        <v>21.0</v>
      </c>
      <c r="I1190" s="128">
        <v>1094.701516214529</v>
      </c>
      <c r="J1190" s="44" t="s">
        <v>23</v>
      </c>
      <c r="K1190" s="128">
        <v>1424.2155033222307</v>
      </c>
      <c r="L1190" s="128">
        <v>26.0</v>
      </c>
      <c r="M1190" s="128">
        <v>1429.357387744721</v>
      </c>
      <c r="N1190" s="44"/>
      <c r="O1190" s="128"/>
      <c r="P1190" s="128"/>
      <c r="Q1190" s="128"/>
      <c r="V1190" s="44" t="s">
        <v>486</v>
      </c>
      <c r="W1190" s="128">
        <v>889.9793420272636</v>
      </c>
      <c r="X1190" s="128">
        <v>12.0</v>
      </c>
      <c r="Y1190" s="128">
        <v>884.9987277809836</v>
      </c>
      <c r="Z1190" s="44" t="s">
        <v>34</v>
      </c>
      <c r="AA1190" s="128">
        <v>1108.5187412253943</v>
      </c>
      <c r="AB1190" s="128">
        <v>28.0</v>
      </c>
      <c r="AC1190" s="128">
        <v>1107.8254338218464</v>
      </c>
      <c r="AD1190" s="44" t="s">
        <v>27</v>
      </c>
      <c r="AE1190" s="128">
        <v>1155.9667026993409</v>
      </c>
      <c r="AF1190" s="128">
        <v>15.0</v>
      </c>
      <c r="AG1190" s="128">
        <v>1151.6406243491685</v>
      </c>
      <c r="AH1190" s="44"/>
      <c r="AI1190" s="128"/>
      <c r="AJ1190" s="128"/>
      <c r="AK1190" s="128"/>
      <c r="AP1190" s="128">
        <v>15.0</v>
      </c>
      <c r="AQ1190" s="128">
        <v>13.0</v>
      </c>
      <c r="AT1190" s="44">
        <v>1189.0</v>
      </c>
      <c r="AU1190" s="44"/>
      <c r="AW1190" s="93"/>
      <c r="AY1190" s="93"/>
      <c r="AZ1190" s="93"/>
      <c r="BA1190" s="93"/>
      <c r="BB1190" s="155"/>
      <c r="BC1190" s="93"/>
      <c r="BE1190" s="93"/>
      <c r="BG1190" s="93"/>
      <c r="BH1190" s="93"/>
      <c r="BI1190" s="93"/>
      <c r="BJ1190" s="155"/>
      <c r="BK1190" s="93"/>
    </row>
    <row r="1191">
      <c r="A1191" s="166">
        <v>44755.01047584491</v>
      </c>
      <c r="B1191" s="44" t="s">
        <v>125</v>
      </c>
      <c r="C1191" s="128">
        <v>630.9883958526732</v>
      </c>
      <c r="D1191" s="128">
        <v>10.0</v>
      </c>
      <c r="E1191" s="128">
        <v>622.9793272737353</v>
      </c>
      <c r="F1191" s="44" t="s">
        <v>112</v>
      </c>
      <c r="G1191" s="128">
        <v>984.7732384158815</v>
      </c>
      <c r="H1191" s="128">
        <v>12.0</v>
      </c>
      <c r="I1191" s="128">
        <v>977.0701642876186</v>
      </c>
      <c r="J1191" s="44" t="s">
        <v>27</v>
      </c>
      <c r="K1191" s="128">
        <v>1151.6406243491685</v>
      </c>
      <c r="L1191" s="128">
        <v>25.0</v>
      </c>
      <c r="M1191" s="128">
        <v>1149.484767080189</v>
      </c>
      <c r="N1191" s="44" t="s">
        <v>23</v>
      </c>
      <c r="O1191" s="128">
        <v>1429.357387744721</v>
      </c>
      <c r="P1191" s="128">
        <v>23.0</v>
      </c>
      <c r="Q1191" s="128">
        <v>1426.2253877209016</v>
      </c>
      <c r="V1191" s="44" t="s">
        <v>486</v>
      </c>
      <c r="W1191" s="128">
        <v>884.9987277809836</v>
      </c>
      <c r="X1191" s="128">
        <v>15.0</v>
      </c>
      <c r="Y1191" s="128">
        <v>886.9656696460349</v>
      </c>
      <c r="Z1191" s="44" t="s">
        <v>245</v>
      </c>
      <c r="AA1191" s="128">
        <v>1084.8602791048634</v>
      </c>
      <c r="AB1191" s="128">
        <v>27.0</v>
      </c>
      <c r="AC1191" s="128">
        <v>1091.7988794009354</v>
      </c>
      <c r="AD1191" s="44" t="s">
        <v>47</v>
      </c>
      <c r="AE1191" s="128">
        <v>1094.701516214529</v>
      </c>
      <c r="AF1191" s="128">
        <v>27.0</v>
      </c>
      <c r="AG1191" s="128">
        <v>1101.6301442943693</v>
      </c>
      <c r="AH1191" s="44" t="s">
        <v>34</v>
      </c>
      <c r="AI1191" s="128">
        <v>1107.8254338218464</v>
      </c>
      <c r="AJ1191" s="128">
        <v>23.0</v>
      </c>
      <c r="AK1191" s="128">
        <v>1112.9912635808826</v>
      </c>
      <c r="AP1191" s="128">
        <v>12.0</v>
      </c>
      <c r="AQ1191" s="128">
        <v>16.0</v>
      </c>
      <c r="AR1191" s="44" t="s">
        <v>606</v>
      </c>
      <c r="AT1191" s="44">
        <v>1190.0</v>
      </c>
      <c r="AU1191" s="44"/>
      <c r="AW1191" s="93"/>
      <c r="AY1191" s="93"/>
      <c r="AZ1191" s="93"/>
      <c r="BA1191" s="93"/>
      <c r="BB1191" s="155"/>
      <c r="BC1191" s="93"/>
      <c r="BE1191" s="93"/>
      <c r="BG1191" s="93"/>
      <c r="BH1191" s="93"/>
      <c r="BI1191" s="93"/>
      <c r="BJ1191" s="155"/>
      <c r="BK1191" s="93"/>
    </row>
    <row r="1192">
      <c r="A1192" s="166">
        <v>44755.73198678241</v>
      </c>
      <c r="B1192" s="44" t="s">
        <v>125</v>
      </c>
      <c r="C1192" s="128">
        <v>622.9793272737353</v>
      </c>
      <c r="D1192" s="128">
        <v>11.0</v>
      </c>
      <c r="E1192" s="128">
        <v>624.4187462104876</v>
      </c>
      <c r="F1192" s="44" t="s">
        <v>245</v>
      </c>
      <c r="G1192" s="128">
        <v>1091.7988794009354</v>
      </c>
      <c r="H1192" s="128">
        <v>26.0</v>
      </c>
      <c r="I1192" s="128">
        <v>1097.641514391318</v>
      </c>
      <c r="J1192" s="44" t="s">
        <v>23</v>
      </c>
      <c r="K1192" s="128">
        <v>1426.2253877209016</v>
      </c>
      <c r="L1192" s="128">
        <v>23.0</v>
      </c>
      <c r="M1192" s="128">
        <v>1430.9433337937667</v>
      </c>
      <c r="N1192" s="44"/>
      <c r="O1192" s="128"/>
      <c r="P1192" s="128"/>
      <c r="Q1192" s="128"/>
      <c r="V1192" s="44" t="s">
        <v>108</v>
      </c>
      <c r="W1192" s="128">
        <v>781.5528054839848</v>
      </c>
      <c r="X1192" s="128">
        <v>14.0</v>
      </c>
      <c r="Y1192" s="128">
        <v>776.9584565549729</v>
      </c>
      <c r="Z1192" s="44" t="s">
        <v>47</v>
      </c>
      <c r="AA1192" s="128">
        <v>1101.6301442943693</v>
      </c>
      <c r="AB1192" s="128">
        <v>19.0</v>
      </c>
      <c r="AC1192" s="128">
        <v>1098.4302748227428</v>
      </c>
      <c r="AD1192" s="44" t="s">
        <v>34</v>
      </c>
      <c r="AE1192" s="128">
        <v>1112.9912635808826</v>
      </c>
      <c r="AF1192" s="128">
        <v>16.0</v>
      </c>
      <c r="AG1192" s="128">
        <v>1108.785481981521</v>
      </c>
      <c r="AH1192" s="44"/>
      <c r="AI1192" s="128"/>
      <c r="AJ1192" s="128"/>
      <c r="AK1192" s="128"/>
      <c r="AP1192" s="128">
        <v>16.0</v>
      </c>
      <c r="AQ1192" s="128">
        <v>12.0</v>
      </c>
      <c r="AR1192" s="44" t="s">
        <v>607</v>
      </c>
      <c r="AT1192" s="44">
        <v>1191.0</v>
      </c>
      <c r="AU1192" s="44"/>
      <c r="AW1192" s="93"/>
      <c r="AY1192" s="93"/>
      <c r="AZ1192" s="93"/>
      <c r="BA1192" s="93"/>
      <c r="BB1192" s="155"/>
      <c r="BC1192" s="93"/>
      <c r="BE1192" s="93"/>
      <c r="BG1192" s="93"/>
      <c r="BH1192" s="93"/>
      <c r="BI1192" s="93"/>
      <c r="BJ1192" s="155"/>
      <c r="BK1192" s="93"/>
    </row>
    <row r="1193">
      <c r="A1193" s="166">
        <v>44760.947068761576</v>
      </c>
      <c r="B1193" s="44" t="s">
        <v>112</v>
      </c>
      <c r="C1193" s="128">
        <v>977.0701642876186</v>
      </c>
      <c r="D1193" s="128">
        <v>19.0</v>
      </c>
      <c r="E1193" s="128">
        <v>972.4564732054355</v>
      </c>
      <c r="F1193" s="44" t="s">
        <v>92</v>
      </c>
      <c r="G1193" s="128">
        <v>1070.636326920309</v>
      </c>
      <c r="H1193" s="128">
        <v>14.0</v>
      </c>
      <c r="I1193" s="128">
        <v>1063.854668269838</v>
      </c>
      <c r="J1193" s="44" t="s">
        <v>23</v>
      </c>
      <c r="K1193" s="128">
        <v>1430.9433337937667</v>
      </c>
      <c r="L1193" s="128">
        <v>22.0</v>
      </c>
      <c r="M1193" s="128">
        <v>1427.338683526421</v>
      </c>
      <c r="N1193" s="44"/>
      <c r="O1193" s="128"/>
      <c r="P1193" s="128"/>
      <c r="Q1193" s="128"/>
      <c r="V1193" s="44" t="s">
        <v>245</v>
      </c>
      <c r="W1193" s="128">
        <v>1097.641514391318</v>
      </c>
      <c r="X1193" s="128">
        <v>16.0</v>
      </c>
      <c r="Y1193" s="128">
        <v>1100.9779386139087</v>
      </c>
      <c r="Z1193" s="44" t="s">
        <v>47</v>
      </c>
      <c r="AA1193" s="128">
        <v>1098.4302748227428</v>
      </c>
      <c r="AB1193" s="128">
        <v>23.0</v>
      </c>
      <c r="AC1193" s="128">
        <v>1104.6827431826862</v>
      </c>
      <c r="AD1193" s="44" t="s">
        <v>34</v>
      </c>
      <c r="AE1193" s="128">
        <v>1108.785481981521</v>
      </c>
      <c r="AF1193" s="128">
        <v>21.0</v>
      </c>
      <c r="AG1193" s="128">
        <v>1114.1965893989868</v>
      </c>
      <c r="AH1193" s="44"/>
      <c r="AI1193" s="128"/>
      <c r="AJ1193" s="128"/>
      <c r="AK1193" s="128"/>
      <c r="AP1193" s="128">
        <v>13.0</v>
      </c>
      <c r="AQ1193" s="128">
        <v>15.0</v>
      </c>
      <c r="AS1193" s="44" t="s">
        <v>266</v>
      </c>
      <c r="AT1193" s="44">
        <v>1192.0</v>
      </c>
      <c r="AU1193" s="44"/>
      <c r="AW1193" s="93"/>
      <c r="AY1193" s="93"/>
      <c r="AZ1193" s="93"/>
      <c r="BA1193" s="93"/>
      <c r="BB1193" s="155"/>
      <c r="BC1193" s="93"/>
      <c r="BE1193" s="93"/>
      <c r="BG1193" s="93"/>
      <c r="BH1193" s="93"/>
      <c r="BI1193" s="93"/>
      <c r="BJ1193" s="155"/>
      <c r="BK1193" s="93"/>
    </row>
    <row r="1194">
      <c r="A1194" s="166">
        <v>44761.002752037035</v>
      </c>
      <c r="B1194" s="44" t="s">
        <v>108</v>
      </c>
      <c r="C1194" s="128">
        <v>776.9584565549729</v>
      </c>
      <c r="D1194" s="128">
        <v>14.0</v>
      </c>
      <c r="E1194" s="128">
        <v>774.314356889491</v>
      </c>
      <c r="F1194" s="44" t="s">
        <v>112</v>
      </c>
      <c r="G1194" s="128">
        <v>972.4564732054355</v>
      </c>
      <c r="H1194" s="128">
        <v>26.0</v>
      </c>
      <c r="I1194" s="128">
        <v>971.7042375473211</v>
      </c>
      <c r="J1194" s="44" t="s">
        <v>47</v>
      </c>
      <c r="K1194" s="128">
        <v>1104.6827431826862</v>
      </c>
      <c r="L1194" s="128">
        <v>15.0</v>
      </c>
      <c r="M1194" s="128">
        <v>1102.0489604185948</v>
      </c>
      <c r="N1194" s="44" t="s">
        <v>34</v>
      </c>
      <c r="O1194" s="128">
        <v>1114.1965893989868</v>
      </c>
      <c r="P1194" s="128">
        <v>19.0</v>
      </c>
      <c r="Q1194" s="128">
        <v>1112.2267074866745</v>
      </c>
      <c r="V1194" s="44" t="s">
        <v>125</v>
      </c>
      <c r="W1194" s="128">
        <v>624.4187462104876</v>
      </c>
      <c r="X1194" s="128">
        <v>17.0</v>
      </c>
      <c r="Y1194" s="128">
        <v>626.2512669937547</v>
      </c>
      <c r="Z1194" s="44" t="s">
        <v>100</v>
      </c>
      <c r="AA1194" s="128">
        <v>930.105829150051</v>
      </c>
      <c r="AB1194" s="128">
        <v>8.0</v>
      </c>
      <c r="AC1194" s="128">
        <v>930.2231970917147</v>
      </c>
      <c r="AD1194" s="44" t="s">
        <v>92</v>
      </c>
      <c r="AE1194" s="128">
        <v>1063.854668269838</v>
      </c>
      <c r="AF1194" s="128">
        <v>19.0</v>
      </c>
      <c r="AG1194" s="128">
        <v>1065.7478176227544</v>
      </c>
      <c r="AH1194" s="44" t="s">
        <v>23</v>
      </c>
      <c r="AI1194" s="128">
        <v>1427.338683526421</v>
      </c>
      <c r="AJ1194" s="128">
        <v>33.0</v>
      </c>
      <c r="AK1194" s="128">
        <v>1431.4956454485737</v>
      </c>
      <c r="AP1194" s="128">
        <v>13.0</v>
      </c>
      <c r="AQ1194" s="128">
        <v>15.0</v>
      </c>
      <c r="AS1194" s="44" t="s">
        <v>255</v>
      </c>
      <c r="AT1194" s="44">
        <v>1193.0</v>
      </c>
      <c r="AU1194" s="44"/>
      <c r="AW1194" s="93"/>
      <c r="AY1194" s="93"/>
      <c r="AZ1194" s="93"/>
      <c r="BA1194" s="93"/>
      <c r="BB1194" s="155"/>
      <c r="BC1194" s="93"/>
      <c r="BE1194" s="93"/>
      <c r="BG1194" s="93"/>
      <c r="BH1194" s="93"/>
      <c r="BI1194" s="93"/>
      <c r="BJ1194" s="155"/>
      <c r="BK1194" s="93"/>
    </row>
    <row r="1195">
      <c r="A1195" s="166">
        <v>44763.01107644676</v>
      </c>
      <c r="B1195" s="44" t="s">
        <v>108</v>
      </c>
      <c r="C1195" s="128">
        <v>774.314356889491</v>
      </c>
      <c r="D1195" s="128">
        <v>9.0</v>
      </c>
      <c r="E1195" s="128">
        <v>776.9266249310839</v>
      </c>
      <c r="F1195" s="44" t="s">
        <v>92</v>
      </c>
      <c r="G1195" s="128">
        <v>1065.7478176227544</v>
      </c>
      <c r="H1195" s="128">
        <v>21.0</v>
      </c>
      <c r="I1195" s="128">
        <v>1075.8026715412632</v>
      </c>
      <c r="J1195" s="44" t="s">
        <v>34</v>
      </c>
      <c r="K1195" s="128">
        <v>1112.2267074866745</v>
      </c>
      <c r="L1195" s="128">
        <v>23.0</v>
      </c>
      <c r="M1195" s="128">
        <v>1123.5595855265728</v>
      </c>
      <c r="N1195" s="44"/>
      <c r="O1195" s="128"/>
      <c r="P1195" s="128"/>
      <c r="Q1195" s="128"/>
      <c r="V1195" s="44" t="s">
        <v>125</v>
      </c>
      <c r="W1195" s="128">
        <v>626.2512669937547</v>
      </c>
      <c r="X1195" s="128">
        <v>11.0</v>
      </c>
      <c r="Y1195" s="128">
        <v>615.1387890075798</v>
      </c>
      <c r="Z1195" s="44" t="s">
        <v>112</v>
      </c>
      <c r="AA1195" s="128">
        <v>971.7042375473211</v>
      </c>
      <c r="AB1195" s="128">
        <v>22.0</v>
      </c>
      <c r="AC1195" s="128">
        <v>967.1135062585051</v>
      </c>
      <c r="AD1195" s="44" t="s">
        <v>23</v>
      </c>
      <c r="AE1195" s="128">
        <v>1431.4956454485737</v>
      </c>
      <c r="AF1195" s="128">
        <v>17.0</v>
      </c>
      <c r="AG1195" s="128">
        <v>1423.1988547235644</v>
      </c>
      <c r="AH1195" s="44"/>
      <c r="AI1195" s="128"/>
      <c r="AJ1195" s="128"/>
      <c r="AK1195" s="128"/>
      <c r="AP1195" s="128">
        <v>16.0</v>
      </c>
      <c r="AQ1195" s="128">
        <v>12.0</v>
      </c>
      <c r="AS1195" s="44" t="s">
        <v>232</v>
      </c>
      <c r="AT1195" s="44">
        <v>1194.0</v>
      </c>
      <c r="AU1195" s="44"/>
      <c r="AW1195" s="93"/>
      <c r="AY1195" s="93"/>
      <c r="AZ1195" s="93"/>
      <c r="BA1195" s="93"/>
      <c r="BB1195" s="155"/>
      <c r="BC1195" s="93"/>
      <c r="BE1195" s="93"/>
      <c r="BG1195" s="93"/>
      <c r="BH1195" s="93"/>
      <c r="BI1195" s="93"/>
      <c r="BJ1195" s="155"/>
      <c r="BK1195" s="93"/>
    </row>
    <row r="1196">
      <c r="A1196" s="166">
        <v>44767.96067721065</v>
      </c>
      <c r="B1196" s="44" t="s">
        <v>38</v>
      </c>
      <c r="C1196" s="128">
        <v>1048.205733360871</v>
      </c>
      <c r="D1196" s="128">
        <v>16.0</v>
      </c>
      <c r="E1196" s="128">
        <v>1050.2623479455085</v>
      </c>
      <c r="F1196" s="44" t="s">
        <v>23</v>
      </c>
      <c r="G1196" s="128">
        <v>1423.1988547235644</v>
      </c>
      <c r="H1196" s="128">
        <v>24.0</v>
      </c>
      <c r="I1196" s="128">
        <v>1427.1422401389268</v>
      </c>
      <c r="J1196" s="44"/>
      <c r="K1196" s="128"/>
      <c r="L1196" s="128"/>
      <c r="M1196" s="128"/>
      <c r="N1196" s="44"/>
      <c r="O1196" s="128"/>
      <c r="P1196" s="128"/>
      <c r="Q1196" s="128"/>
      <c r="V1196" s="44" t="s">
        <v>92</v>
      </c>
      <c r="W1196" s="128">
        <v>1075.8026715412632</v>
      </c>
      <c r="X1196" s="128">
        <v>13.0</v>
      </c>
      <c r="Y1196" s="128">
        <v>1072.3075553371361</v>
      </c>
      <c r="Z1196" s="44" t="s">
        <v>47</v>
      </c>
      <c r="AA1196" s="128">
        <v>1102.0489604185948</v>
      </c>
      <c r="AB1196" s="128">
        <v>17.0</v>
      </c>
      <c r="AC1196" s="128">
        <v>1099.5440766227218</v>
      </c>
      <c r="AD1196" s="44"/>
      <c r="AE1196" s="128"/>
      <c r="AF1196" s="128"/>
      <c r="AG1196" s="128"/>
      <c r="AH1196" s="44"/>
      <c r="AI1196" s="128"/>
      <c r="AJ1196" s="128"/>
      <c r="AK1196" s="128"/>
      <c r="AP1196" s="128">
        <v>18.0</v>
      </c>
      <c r="AQ1196" s="128">
        <v>10.0</v>
      </c>
      <c r="AS1196" s="44" t="s">
        <v>229</v>
      </c>
      <c r="AT1196" s="44">
        <v>1195.0</v>
      </c>
      <c r="AU1196" s="44"/>
      <c r="AW1196" s="93"/>
      <c r="AY1196" s="93"/>
      <c r="AZ1196" s="93"/>
      <c r="BA1196" s="93"/>
      <c r="BB1196" s="155"/>
      <c r="BC1196" s="93"/>
      <c r="BE1196" s="93"/>
      <c r="BG1196" s="93"/>
      <c r="BH1196" s="93"/>
      <c r="BI1196" s="93"/>
      <c r="BJ1196" s="155"/>
      <c r="BK1196" s="93"/>
    </row>
    <row r="1197">
      <c r="A1197" s="166">
        <v>44768.020842604164</v>
      </c>
      <c r="B1197" s="44" t="s">
        <v>108</v>
      </c>
      <c r="C1197" s="128">
        <v>776.9266249310839</v>
      </c>
      <c r="D1197" s="128">
        <v>11.0</v>
      </c>
      <c r="E1197" s="128">
        <v>768.382524524227</v>
      </c>
      <c r="F1197" s="44" t="s">
        <v>92</v>
      </c>
      <c r="G1197" s="128">
        <v>1072.3075553371361</v>
      </c>
      <c r="H1197" s="128">
        <v>21.0</v>
      </c>
      <c r="I1197" s="128">
        <v>1068.0911693972027</v>
      </c>
      <c r="J1197" s="44" t="s">
        <v>47</v>
      </c>
      <c r="K1197" s="128">
        <v>1099.5440766227218</v>
      </c>
      <c r="L1197" s="128">
        <v>21.0</v>
      </c>
      <c r="M1197" s="128">
        <v>1095.304562969512</v>
      </c>
      <c r="N1197" s="44"/>
      <c r="O1197" s="128"/>
      <c r="P1197" s="128"/>
      <c r="Q1197" s="128"/>
      <c r="V1197" s="44" t="s">
        <v>125</v>
      </c>
      <c r="W1197" s="128">
        <v>615.1387890075798</v>
      </c>
      <c r="X1197" s="128">
        <v>14.0</v>
      </c>
      <c r="Y1197" s="128">
        <v>618.258055433294</v>
      </c>
      <c r="Z1197" s="44" t="s">
        <v>112</v>
      </c>
      <c r="AA1197" s="128">
        <v>967.1135062585051</v>
      </c>
      <c r="AB1197" s="128">
        <v>20.0</v>
      </c>
      <c r="AC1197" s="128">
        <v>972.3314297719024</v>
      </c>
      <c r="AD1197" s="44" t="s">
        <v>23</v>
      </c>
      <c r="AE1197" s="128">
        <v>1427.1422401389268</v>
      </c>
      <c r="AF1197" s="128">
        <v>28.0</v>
      </c>
      <c r="AG1197" s="128">
        <v>1435.8050501998155</v>
      </c>
      <c r="AH1197" s="44"/>
      <c r="AI1197" s="128"/>
      <c r="AJ1197" s="128"/>
      <c r="AK1197" s="128"/>
      <c r="AP1197" s="128">
        <v>12.0</v>
      </c>
      <c r="AQ1197" s="128">
        <v>15.0</v>
      </c>
      <c r="AS1197" s="44" t="s">
        <v>266</v>
      </c>
      <c r="AT1197" s="44">
        <v>1196.0</v>
      </c>
      <c r="AU1197" s="44"/>
      <c r="AW1197" s="93"/>
      <c r="AY1197" s="93"/>
      <c r="AZ1197" s="93"/>
      <c r="BA1197" s="93"/>
      <c r="BB1197" s="155"/>
      <c r="BC1197" s="93"/>
      <c r="BE1197" s="93"/>
      <c r="BG1197" s="93"/>
      <c r="BH1197" s="93"/>
      <c r="BI1197" s="93"/>
      <c r="BJ1197" s="155"/>
      <c r="BK1197" s="93"/>
    </row>
    <row r="1198">
      <c r="A1198" s="166">
        <v>44768.952396493056</v>
      </c>
      <c r="B1198" s="44" t="s">
        <v>98</v>
      </c>
      <c r="C1198" s="128">
        <v>935.2126653446236</v>
      </c>
      <c r="D1198" s="128">
        <v>13.0</v>
      </c>
      <c r="E1198" s="128">
        <v>926.4490498228089</v>
      </c>
      <c r="F1198" s="44" t="s">
        <v>92</v>
      </c>
      <c r="G1198" s="128">
        <v>1068.0911693972027</v>
      </c>
      <c r="H1198" s="128">
        <v>20.0</v>
      </c>
      <c r="I1198" s="128">
        <v>1063.042320513589</v>
      </c>
      <c r="J1198" s="44" t="s">
        <v>47</v>
      </c>
      <c r="K1198" s="128">
        <v>1095.304562969512</v>
      </c>
      <c r="L1198" s="128">
        <v>18.0</v>
      </c>
      <c r="M1198" s="128">
        <v>1089.1170273749406</v>
      </c>
      <c r="N1198" s="44"/>
      <c r="O1198" s="128"/>
      <c r="P1198" s="128"/>
      <c r="Q1198" s="128"/>
      <c r="V1198" s="44" t="s">
        <v>108</v>
      </c>
      <c r="W1198" s="128">
        <v>768.382524524227</v>
      </c>
      <c r="X1198" s="128">
        <v>18.0</v>
      </c>
      <c r="Y1198" s="128">
        <v>773.771956526122</v>
      </c>
      <c r="Z1198" s="44" t="s">
        <v>486</v>
      </c>
      <c r="AA1198" s="128">
        <v>886.9656696460349</v>
      </c>
      <c r="AB1198" s="128">
        <v>16.0</v>
      </c>
      <c r="AC1198" s="128">
        <v>890.9443397212723</v>
      </c>
      <c r="AD1198" s="44" t="s">
        <v>23</v>
      </c>
      <c r="AE1198" s="128">
        <v>1435.8050501998155</v>
      </c>
      <c r="AF1198" s="128">
        <v>29.0</v>
      </c>
      <c r="AG1198" s="128">
        <v>1446.4369481226831</v>
      </c>
      <c r="AH1198" s="44"/>
      <c r="AI1198" s="128"/>
      <c r="AJ1198" s="128"/>
      <c r="AK1198" s="128"/>
      <c r="AP1198" s="128">
        <v>11.0</v>
      </c>
      <c r="AQ1198" s="128">
        <v>17.0</v>
      </c>
      <c r="AS1198" s="44" t="s">
        <v>229</v>
      </c>
      <c r="AT1198" s="44">
        <v>1197.0</v>
      </c>
      <c r="AU1198" s="44"/>
      <c r="AW1198" s="93"/>
      <c r="AY1198" s="93"/>
      <c r="AZ1198" s="93"/>
      <c r="BA1198" s="93"/>
      <c r="BB1198" s="155"/>
      <c r="BC1198" s="93"/>
      <c r="BE1198" s="93"/>
      <c r="BG1198" s="93"/>
      <c r="BH1198" s="93"/>
      <c r="BI1198" s="93"/>
      <c r="BJ1198" s="155"/>
      <c r="BK1198" s="93"/>
    </row>
    <row r="1199">
      <c r="A1199" s="166">
        <v>44769.007219618055</v>
      </c>
      <c r="B1199" s="44" t="s">
        <v>112</v>
      </c>
      <c r="C1199" s="128">
        <v>972.3314297719024</v>
      </c>
      <c r="D1199" s="128">
        <v>15.0</v>
      </c>
      <c r="E1199" s="128">
        <v>979.3345100301484</v>
      </c>
      <c r="F1199" s="44" t="s">
        <v>47</v>
      </c>
      <c r="G1199" s="128">
        <v>1089.1170273749406</v>
      </c>
      <c r="H1199" s="128">
        <v>27.0</v>
      </c>
      <c r="I1199" s="128">
        <v>1106.5333320069294</v>
      </c>
      <c r="J1199" s="44" t="s">
        <v>34</v>
      </c>
      <c r="K1199" s="128">
        <v>1123.5595855265728</v>
      </c>
      <c r="L1199" s="128">
        <v>16.0</v>
      </c>
      <c r="M1199" s="128">
        <v>1131.140200636338</v>
      </c>
      <c r="N1199" s="44"/>
      <c r="O1199" s="128"/>
      <c r="P1199" s="128"/>
      <c r="Q1199" s="128"/>
      <c r="V1199" s="44" t="s">
        <v>108</v>
      </c>
      <c r="W1199" s="128">
        <v>773.771956526122</v>
      </c>
      <c r="X1199" s="128">
        <v>8.0</v>
      </c>
      <c r="Y1199" s="128">
        <v>756.4594169518851</v>
      </c>
      <c r="Z1199" s="44" t="s">
        <v>486</v>
      </c>
      <c r="AA1199" s="128">
        <v>890.9443397212723</v>
      </c>
      <c r="AB1199" s="128">
        <v>14.0</v>
      </c>
      <c r="AC1199" s="128">
        <v>878.6092889393108</v>
      </c>
      <c r="AD1199" s="44" t="s">
        <v>23</v>
      </c>
      <c r="AE1199" s="128">
        <v>1446.4369481226831</v>
      </c>
      <c r="AF1199" s="128">
        <v>26.0</v>
      </c>
      <c r="AG1199" s="128">
        <v>1444.0845384788815</v>
      </c>
      <c r="AH1199" s="44"/>
      <c r="AI1199" s="128"/>
      <c r="AJ1199" s="128"/>
      <c r="AK1199" s="128"/>
      <c r="AP1199" s="128">
        <v>19.0</v>
      </c>
      <c r="AQ1199" s="128">
        <v>9.0</v>
      </c>
      <c r="AS1199" s="44" t="s">
        <v>243</v>
      </c>
      <c r="AT1199" s="44">
        <v>1198.0</v>
      </c>
      <c r="AU1199" s="44"/>
      <c r="AW1199" s="93"/>
      <c r="AY1199" s="93"/>
      <c r="AZ1199" s="93"/>
      <c r="BA1199" s="93"/>
      <c r="BB1199" s="155"/>
      <c r="BC1199" s="93"/>
      <c r="BE1199" s="93"/>
      <c r="BG1199" s="93"/>
      <c r="BH1199" s="93"/>
      <c r="BI1199" s="93"/>
      <c r="BJ1199" s="155"/>
      <c r="BK1199" s="93"/>
    </row>
    <row r="1200">
      <c r="A1200" s="166">
        <v>44769.042836469904</v>
      </c>
      <c r="B1200" s="44" t="s">
        <v>108</v>
      </c>
      <c r="C1200" s="128">
        <v>756.4594169518851</v>
      </c>
      <c r="D1200" s="128">
        <v>13.0</v>
      </c>
      <c r="E1200" s="128">
        <v>751.542494646052</v>
      </c>
      <c r="F1200" s="44" t="s">
        <v>112</v>
      </c>
      <c r="G1200" s="128">
        <v>979.3345100301484</v>
      </c>
      <c r="H1200" s="128">
        <v>21.0</v>
      </c>
      <c r="I1200" s="128">
        <v>976.836720669983</v>
      </c>
      <c r="J1200" s="44" t="s">
        <v>47</v>
      </c>
      <c r="K1200" s="128">
        <v>1106.5333320069294</v>
      </c>
      <c r="L1200" s="128">
        <v>15.0</v>
      </c>
      <c r="M1200" s="128">
        <v>1101.948043672928</v>
      </c>
      <c r="N1200" s="44"/>
      <c r="O1200" s="128"/>
      <c r="P1200" s="128"/>
      <c r="Q1200" s="128"/>
      <c r="V1200" s="44" t="s">
        <v>125</v>
      </c>
      <c r="W1200" s="128">
        <v>618.258055433294</v>
      </c>
      <c r="X1200" s="128">
        <v>23.0</v>
      </c>
      <c r="Y1200" s="128">
        <v>623.0780053904637</v>
      </c>
      <c r="Z1200" s="44" t="s">
        <v>107</v>
      </c>
      <c r="AA1200" s="128">
        <v>936.873562594</v>
      </c>
      <c r="AB1200" s="128">
        <v>16.0</v>
      </c>
      <c r="AC1200" s="128">
        <v>938.7798906236341</v>
      </c>
      <c r="AD1200" s="44" t="s">
        <v>23</v>
      </c>
      <c r="AE1200" s="128">
        <v>1444.0845384788815</v>
      </c>
      <c r="AF1200" s="128">
        <v>27.0</v>
      </c>
      <c r="AG1200" s="128">
        <v>1449.3582604920778</v>
      </c>
      <c r="AH1200" s="44"/>
      <c r="AI1200" s="128"/>
      <c r="AJ1200" s="128"/>
      <c r="AK1200" s="128"/>
      <c r="AP1200" s="128">
        <v>10.0</v>
      </c>
      <c r="AQ1200" s="128">
        <v>18.0</v>
      </c>
      <c r="AS1200" s="44" t="s">
        <v>360</v>
      </c>
      <c r="AT1200" s="44">
        <v>1199.0</v>
      </c>
      <c r="AU1200" s="44"/>
      <c r="AW1200" s="93"/>
      <c r="AY1200" s="93"/>
      <c r="AZ1200" s="93"/>
      <c r="BA1200" s="93"/>
      <c r="BB1200" s="155"/>
      <c r="BC1200" s="93"/>
      <c r="BE1200" s="93"/>
      <c r="BG1200" s="93"/>
      <c r="BH1200" s="93"/>
      <c r="BI1200" s="93"/>
      <c r="BJ1200" s="155"/>
      <c r="BK1200" s="93"/>
    </row>
    <row r="1201">
      <c r="A1201" s="166">
        <v>44770.88512798611</v>
      </c>
      <c r="B1201" s="44" t="s">
        <v>92</v>
      </c>
      <c r="C1201" s="128">
        <v>1063.042320513589</v>
      </c>
      <c r="D1201" s="44">
        <v>14.0</v>
      </c>
      <c r="E1201" s="128">
        <v>1062.542320513589</v>
      </c>
      <c r="F1201" s="44" t="s">
        <v>47</v>
      </c>
      <c r="G1201" s="128">
        <v>1101.948043672928</v>
      </c>
      <c r="H1201" s="44">
        <v>14.0</v>
      </c>
      <c r="I1201" s="128">
        <v>1101.448043672928</v>
      </c>
      <c r="J1201" s="44"/>
      <c r="K1201" s="128"/>
      <c r="L1201" s="128"/>
      <c r="M1201" s="128"/>
      <c r="N1201" s="44"/>
      <c r="O1201" s="128"/>
      <c r="P1201" s="128"/>
      <c r="Q1201" s="128"/>
      <c r="V1201" s="44" t="s">
        <v>123</v>
      </c>
      <c r="W1201" s="128">
        <v>687.203857798156</v>
      </c>
      <c r="X1201" s="44">
        <v>14.0</v>
      </c>
      <c r="Y1201" s="128">
        <v>687.703857798156</v>
      </c>
      <c r="Z1201" s="44" t="s">
        <v>23</v>
      </c>
      <c r="AA1201" s="128">
        <v>1449.3582604920778</v>
      </c>
      <c r="AB1201" s="44">
        <v>14.0</v>
      </c>
      <c r="AC1201" s="128">
        <v>1449.8582604920778</v>
      </c>
      <c r="AD1201" s="44"/>
      <c r="AE1201" s="128"/>
      <c r="AF1201" s="128"/>
      <c r="AG1201" s="128"/>
      <c r="AH1201" s="44"/>
      <c r="AI1201" s="128"/>
      <c r="AJ1201" s="128"/>
      <c r="AK1201" s="128"/>
      <c r="AP1201" s="44">
        <v>14.0</v>
      </c>
      <c r="AQ1201" s="44">
        <v>14.0</v>
      </c>
      <c r="AT1201" s="44">
        <v>1200.0</v>
      </c>
      <c r="AU1201" s="44"/>
      <c r="AW1201" s="93"/>
      <c r="AY1201" s="93"/>
      <c r="AZ1201" s="93"/>
      <c r="BA1201" s="93"/>
      <c r="BB1201" s="155"/>
      <c r="BC1201" s="93"/>
      <c r="BE1201" s="93"/>
      <c r="BG1201" s="93"/>
      <c r="BH1201" s="93"/>
      <c r="BI1201" s="93"/>
      <c r="BJ1201" s="155"/>
      <c r="BK1201" s="93"/>
    </row>
    <row r="1202">
      <c r="A1202" s="166">
        <v>44770.92707042824</v>
      </c>
      <c r="B1202" s="44" t="s">
        <v>92</v>
      </c>
      <c r="C1202" s="128">
        <v>1062.542320513589</v>
      </c>
      <c r="D1202" s="128">
        <v>21.0</v>
      </c>
      <c r="E1202" s="128">
        <v>1055.0043347582368</v>
      </c>
      <c r="F1202" s="44" t="s">
        <v>47</v>
      </c>
      <c r="G1202" s="128">
        <v>1101.448043672928</v>
      </c>
      <c r="H1202" s="128">
        <v>30.0</v>
      </c>
      <c r="I1202" s="128">
        <v>1097.98602942828</v>
      </c>
      <c r="J1202" s="44"/>
      <c r="K1202" s="128"/>
      <c r="L1202" s="128"/>
      <c r="M1202" s="128"/>
      <c r="N1202" s="44"/>
      <c r="O1202" s="128"/>
      <c r="P1202" s="128"/>
      <c r="Q1202" s="128"/>
      <c r="V1202" s="44" t="s">
        <v>123</v>
      </c>
      <c r="W1202" s="128">
        <v>687.703857798156</v>
      </c>
      <c r="X1202" s="128">
        <v>14.0</v>
      </c>
      <c r="Y1202" s="128">
        <v>687.713857798156</v>
      </c>
      <c r="Z1202" s="44" t="s">
        <v>23</v>
      </c>
      <c r="AA1202" s="128">
        <v>1449.8582604920778</v>
      </c>
      <c r="AB1202" s="128">
        <v>41.0</v>
      </c>
      <c r="AC1202" s="128">
        <v>1460.926874639511</v>
      </c>
      <c r="AD1202" s="44"/>
      <c r="AE1202" s="128"/>
      <c r="AF1202" s="128"/>
      <c r="AG1202" s="128"/>
      <c r="AH1202" s="44"/>
      <c r="AI1202" s="128"/>
      <c r="AJ1202" s="128"/>
      <c r="AK1202" s="128"/>
      <c r="AP1202" s="128">
        <v>20.0</v>
      </c>
      <c r="AQ1202" s="128">
        <v>22.0</v>
      </c>
      <c r="AT1202" s="44">
        <v>1201.0</v>
      </c>
      <c r="AU1202" s="44"/>
      <c r="AW1202" s="93"/>
      <c r="AY1202" s="93"/>
      <c r="AZ1202" s="93"/>
      <c r="BA1202" s="93"/>
      <c r="BB1202" s="155"/>
      <c r="BC1202" s="93"/>
      <c r="BE1202" s="93"/>
      <c r="BG1202" s="93"/>
      <c r="BH1202" s="93"/>
      <c r="BI1202" s="93"/>
      <c r="BJ1202" s="155"/>
      <c r="BK1202" s="93"/>
    </row>
    <row r="1203">
      <c r="A1203" s="166">
        <v>44770.996406238424</v>
      </c>
      <c r="B1203" s="44" t="s">
        <v>125</v>
      </c>
      <c r="C1203" s="128">
        <v>623.0780053904637</v>
      </c>
      <c r="D1203" s="128">
        <v>19.0</v>
      </c>
      <c r="E1203" s="128">
        <v>625.701245039601</v>
      </c>
      <c r="F1203" s="44" t="s">
        <v>486</v>
      </c>
      <c r="G1203" s="128">
        <v>878.6092889393108</v>
      </c>
      <c r="H1203" s="128">
        <v>14.0</v>
      </c>
      <c r="I1203" s="128">
        <v>879.9196404094682</v>
      </c>
      <c r="J1203" s="44" t="s">
        <v>34</v>
      </c>
      <c r="K1203" s="128">
        <v>1131.140200636338</v>
      </c>
      <c r="L1203" s="128">
        <v>26.0</v>
      </c>
      <c r="M1203" s="128">
        <v>1134.8017657745993</v>
      </c>
      <c r="N1203" s="44" t="s">
        <v>27</v>
      </c>
      <c r="O1203" s="128">
        <v>1149.484767080189</v>
      </c>
      <c r="P1203" s="128">
        <v>20.0</v>
      </c>
      <c r="Q1203" s="128">
        <v>1151.889610822633</v>
      </c>
      <c r="V1203" s="44" t="s">
        <v>123</v>
      </c>
      <c r="W1203" s="128">
        <v>687.713857798156</v>
      </c>
      <c r="X1203" s="128">
        <v>13.0</v>
      </c>
      <c r="Y1203" s="128">
        <v>683.8759447713489</v>
      </c>
      <c r="Z1203" s="44" t="s">
        <v>107</v>
      </c>
      <c r="AA1203" s="128">
        <v>938.7798906236341</v>
      </c>
      <c r="AB1203" s="128">
        <v>25.0</v>
      </c>
      <c r="AC1203" s="128">
        <v>937.1974090924369</v>
      </c>
      <c r="AD1203" s="44" t="s">
        <v>92</v>
      </c>
      <c r="AE1203" s="128">
        <v>1055.0043347582368</v>
      </c>
      <c r="AF1203" s="128">
        <v>23.0</v>
      </c>
      <c r="AG1203" s="128">
        <v>1052.9331724843858</v>
      </c>
      <c r="AH1203" s="44" t="s">
        <v>47</v>
      </c>
      <c r="AI1203" s="128">
        <v>1097.98602942828</v>
      </c>
      <c r="AJ1203" s="128">
        <v>21.0</v>
      </c>
      <c r="AK1203" s="128">
        <v>1095.4775862601355</v>
      </c>
      <c r="AP1203" s="128">
        <v>15.0</v>
      </c>
      <c r="AQ1203" s="128">
        <v>13.0</v>
      </c>
      <c r="AS1203" s="44" t="s">
        <v>608</v>
      </c>
      <c r="AT1203" s="44">
        <v>1202.0</v>
      </c>
      <c r="AU1203" s="44"/>
      <c r="AW1203" s="93"/>
      <c r="AY1203" s="93"/>
      <c r="AZ1203" s="93"/>
      <c r="BA1203" s="93"/>
      <c r="BB1203" s="155"/>
      <c r="BC1203" s="93"/>
      <c r="BE1203" s="93"/>
      <c r="BG1203" s="93"/>
      <c r="BH1203" s="93"/>
      <c r="BI1203" s="93"/>
      <c r="BJ1203" s="155"/>
      <c r="BK1203" s="93"/>
    </row>
    <row r="1204">
      <c r="A1204" s="166">
        <v>44771.02840292824</v>
      </c>
      <c r="B1204" s="44" t="s">
        <v>125</v>
      </c>
      <c r="C1204" s="128">
        <v>625.701245039601</v>
      </c>
      <c r="D1204" s="128">
        <v>12.0</v>
      </c>
      <c r="E1204" s="128">
        <v>627.2131371652617</v>
      </c>
      <c r="F1204" s="44" t="s">
        <v>486</v>
      </c>
      <c r="G1204" s="128">
        <v>879.9196404094682</v>
      </c>
      <c r="H1204" s="128">
        <v>19.0</v>
      </c>
      <c r="I1204" s="128">
        <v>883.8650419542056</v>
      </c>
      <c r="J1204" s="44" t="s">
        <v>47</v>
      </c>
      <c r="K1204" s="128">
        <v>1095.4775862601355</v>
      </c>
      <c r="L1204" s="128">
        <v>28.0</v>
      </c>
      <c r="M1204" s="128">
        <v>1103.0487701227319</v>
      </c>
      <c r="N1204" s="44" t="s">
        <v>34</v>
      </c>
      <c r="O1204" s="128">
        <v>1134.8017657745993</v>
      </c>
      <c r="P1204" s="128">
        <v>29.0</v>
      </c>
      <c r="Q1204" s="128">
        <v>1142.7732882416046</v>
      </c>
      <c r="V1204" s="44" t="s">
        <v>123</v>
      </c>
      <c r="W1204" s="128">
        <v>683.8759447713489</v>
      </c>
      <c r="X1204" s="128">
        <v>13.0</v>
      </c>
      <c r="Y1204" s="128">
        <v>676.6404601315108</v>
      </c>
      <c r="Z1204" s="44" t="s">
        <v>107</v>
      </c>
      <c r="AA1204" s="128">
        <v>937.1974090924369</v>
      </c>
      <c r="AB1204" s="128">
        <v>19.0</v>
      </c>
      <c r="AC1204" s="128">
        <v>932.1162973015896</v>
      </c>
      <c r="AD1204" s="44" t="s">
        <v>112</v>
      </c>
      <c r="AE1204" s="128">
        <v>976.836720669983</v>
      </c>
      <c r="AF1204" s="128">
        <v>16.0</v>
      </c>
      <c r="AG1204" s="128">
        <v>970.3910065502114</v>
      </c>
      <c r="AH1204" s="44" t="s">
        <v>27</v>
      </c>
      <c r="AI1204" s="128">
        <v>1151.889610822633</v>
      </c>
      <c r="AJ1204" s="128">
        <v>26.0</v>
      </c>
      <c r="AK1204" s="128">
        <v>1149.6519213730899</v>
      </c>
      <c r="AP1204" s="128">
        <v>16.0</v>
      </c>
      <c r="AQ1204" s="128">
        <v>12.0</v>
      </c>
      <c r="AS1204" s="44" t="s">
        <v>503</v>
      </c>
      <c r="AT1204" s="44">
        <v>1203.0</v>
      </c>
      <c r="AU1204" s="44"/>
      <c r="AW1204" s="93"/>
      <c r="AY1204" s="93"/>
      <c r="AZ1204" s="93"/>
      <c r="BA1204" s="93"/>
      <c r="BB1204" s="155"/>
      <c r="BC1204" s="93"/>
      <c r="BE1204" s="93"/>
      <c r="BG1204" s="93"/>
      <c r="BH1204" s="93"/>
      <c r="BI1204" s="93"/>
      <c r="BJ1204" s="155"/>
      <c r="BK1204" s="93"/>
    </row>
    <row r="1205">
      <c r="A1205" s="166">
        <v>44771.06200210648</v>
      </c>
      <c r="B1205" s="44" t="s">
        <v>125</v>
      </c>
      <c r="C1205" s="128">
        <v>627.2131371652617</v>
      </c>
      <c r="D1205" s="128">
        <v>10.0</v>
      </c>
      <c r="E1205" s="128">
        <v>628.36914080155</v>
      </c>
      <c r="F1205" s="44" t="s">
        <v>112</v>
      </c>
      <c r="G1205" s="128">
        <v>970.3910065502114</v>
      </c>
      <c r="H1205" s="128">
        <v>23.0</v>
      </c>
      <c r="I1205" s="128">
        <v>974.7310037702289</v>
      </c>
      <c r="J1205" s="44" t="s">
        <v>27</v>
      </c>
      <c r="K1205" s="128">
        <v>1149.6519213730899</v>
      </c>
      <c r="L1205" s="128">
        <v>24.0</v>
      </c>
      <c r="M1205" s="128">
        <v>1154.1559205167841</v>
      </c>
      <c r="N1205" s="44"/>
      <c r="O1205" s="128"/>
      <c r="P1205" s="128"/>
      <c r="Q1205" s="128"/>
      <c r="V1205" s="44" t="s">
        <v>123</v>
      </c>
      <c r="W1205" s="128">
        <v>676.6404601315108</v>
      </c>
      <c r="X1205" s="128">
        <v>5.0</v>
      </c>
      <c r="Y1205" s="128">
        <v>670.5560733622672</v>
      </c>
      <c r="Z1205" s="44" t="s">
        <v>107</v>
      </c>
      <c r="AA1205" s="128">
        <v>932.1162973015896</v>
      </c>
      <c r="AB1205" s="128">
        <v>22.0</v>
      </c>
      <c r="AC1205" s="128">
        <v>930.4955098033437</v>
      </c>
      <c r="AD1205" s="44" t="s">
        <v>34</v>
      </c>
      <c r="AE1205" s="128">
        <v>1142.7732882416046</v>
      </c>
      <c r="AF1205" s="128">
        <v>20.0</v>
      </c>
      <c r="AG1205" s="128">
        <v>1140.4784625090942</v>
      </c>
      <c r="AH1205" s="44"/>
      <c r="AI1205" s="128"/>
      <c r="AJ1205" s="128"/>
      <c r="AK1205" s="128"/>
      <c r="AP1205" s="128">
        <v>15.0</v>
      </c>
      <c r="AQ1205" s="128">
        <v>13.0</v>
      </c>
      <c r="AS1205" s="44" t="s">
        <v>337</v>
      </c>
      <c r="AT1205" s="44">
        <v>1204.0</v>
      </c>
      <c r="AU1205" s="44"/>
      <c r="AW1205" s="93"/>
      <c r="AY1205" s="93"/>
      <c r="AZ1205" s="93"/>
      <c r="BA1205" s="93"/>
      <c r="BB1205" s="155"/>
      <c r="BC1205" s="93"/>
      <c r="BE1205" s="93"/>
      <c r="BG1205" s="93"/>
      <c r="BH1205" s="93"/>
      <c r="BI1205" s="93"/>
      <c r="BJ1205" s="155"/>
      <c r="BK1205" s="93"/>
    </row>
    <row r="1206">
      <c r="A1206" s="166">
        <v>44772.99364678241</v>
      </c>
      <c r="B1206" s="44" t="s">
        <v>125</v>
      </c>
      <c r="C1206" s="128">
        <v>628.36914080155</v>
      </c>
      <c r="D1206" s="128">
        <v>15.0</v>
      </c>
      <c r="E1206" s="128">
        <v>621.4011738536354</v>
      </c>
      <c r="F1206" s="44" t="s">
        <v>107</v>
      </c>
      <c r="G1206" s="128">
        <v>930.4955098033437</v>
      </c>
      <c r="H1206" s="128">
        <v>16.0</v>
      </c>
      <c r="I1206" s="128">
        <v>923.0908191290678</v>
      </c>
      <c r="J1206" s="44" t="s">
        <v>23</v>
      </c>
      <c r="K1206" s="128">
        <v>1460.926874639511</v>
      </c>
      <c r="L1206" s="128">
        <v>20.0</v>
      </c>
      <c r="M1206" s="128">
        <v>1455.2995322617014</v>
      </c>
      <c r="N1206" s="44"/>
      <c r="O1206" s="128"/>
      <c r="P1206" s="128"/>
      <c r="Q1206" s="128"/>
      <c r="V1206" s="44" t="s">
        <v>486</v>
      </c>
      <c r="W1206" s="128">
        <v>883.8650419542056</v>
      </c>
      <c r="X1206" s="128">
        <v>24.0</v>
      </c>
      <c r="Y1206" s="128">
        <v>893.1818274869934</v>
      </c>
      <c r="Z1206" s="44" t="s">
        <v>112</v>
      </c>
      <c r="AA1206" s="128">
        <v>974.7310037702289</v>
      </c>
      <c r="AB1206" s="128">
        <v>12.0</v>
      </c>
      <c r="AC1206" s="128">
        <v>977.1537743045294</v>
      </c>
      <c r="AD1206" s="44" t="s">
        <v>27</v>
      </c>
      <c r="AE1206" s="128">
        <v>1154.1559205167841</v>
      </c>
      <c r="AF1206" s="128">
        <v>23.0</v>
      </c>
      <c r="AG1206" s="128">
        <v>1162.416364449696</v>
      </c>
      <c r="AH1206" s="44"/>
      <c r="AI1206" s="128"/>
      <c r="AJ1206" s="128"/>
      <c r="AK1206" s="128"/>
      <c r="AP1206" s="128">
        <v>12.0</v>
      </c>
      <c r="AQ1206" s="128">
        <v>16.0</v>
      </c>
      <c r="AS1206" s="44" t="s">
        <v>229</v>
      </c>
      <c r="AT1206" s="44">
        <v>1205.0</v>
      </c>
      <c r="AU1206" s="44"/>
      <c r="AW1206" s="93"/>
      <c r="AY1206" s="93"/>
      <c r="AZ1206" s="93"/>
      <c r="BA1206" s="93"/>
      <c r="BB1206" s="155"/>
      <c r="BC1206" s="93"/>
      <c r="BE1206" s="93"/>
      <c r="BG1206" s="93"/>
      <c r="BH1206" s="93"/>
      <c r="BI1206" s="93"/>
      <c r="BJ1206" s="155"/>
      <c r="BK1206" s="93"/>
    </row>
    <row r="1207">
      <c r="A1207" s="166">
        <v>44773.0247665625</v>
      </c>
      <c r="B1207" s="44" t="s">
        <v>125</v>
      </c>
      <c r="C1207" s="128">
        <v>621.4011738536354</v>
      </c>
      <c r="D1207" s="128">
        <v>18.0</v>
      </c>
      <c r="E1207" s="128">
        <v>615.9993119263895</v>
      </c>
      <c r="F1207" s="44" t="s">
        <v>107</v>
      </c>
      <c r="G1207" s="128">
        <v>923.0908191290678</v>
      </c>
      <c r="H1207" s="128">
        <v>11.0</v>
      </c>
      <c r="I1207" s="128">
        <v>913.2618949120751</v>
      </c>
      <c r="J1207" s="44" t="s">
        <v>23</v>
      </c>
      <c r="K1207" s="128">
        <v>1455.2995322617014</v>
      </c>
      <c r="L1207" s="128">
        <v>26.0</v>
      </c>
      <c r="M1207" s="128">
        <v>1452.5303184059399</v>
      </c>
      <c r="N1207" s="44"/>
      <c r="O1207" s="128"/>
      <c r="P1207" s="128"/>
      <c r="Q1207" s="128"/>
      <c r="V1207" s="44" t="s">
        <v>486</v>
      </c>
      <c r="W1207" s="128">
        <v>893.1818274869934</v>
      </c>
      <c r="X1207" s="128">
        <v>18.0</v>
      </c>
      <c r="Y1207" s="128">
        <v>897.7311159682075</v>
      </c>
      <c r="Z1207" s="44" t="s">
        <v>112</v>
      </c>
      <c r="AA1207" s="128">
        <v>977.1537743045294</v>
      </c>
      <c r="AB1207" s="128">
        <v>24.0</v>
      </c>
      <c r="AC1207" s="128">
        <v>984.5103198662936</v>
      </c>
      <c r="AD1207" s="44" t="s">
        <v>27</v>
      </c>
      <c r="AE1207" s="128">
        <v>1162.416364449696</v>
      </c>
      <c r="AF1207" s="128">
        <v>22.0</v>
      </c>
      <c r="AG1207" s="128">
        <v>1168.5105304067176</v>
      </c>
      <c r="AH1207" s="44"/>
      <c r="AI1207" s="128"/>
      <c r="AJ1207" s="128"/>
      <c r="AK1207" s="128"/>
      <c r="AP1207" s="128">
        <v>12.0</v>
      </c>
      <c r="AQ1207" s="128">
        <v>16.0</v>
      </c>
      <c r="AS1207" s="44" t="s">
        <v>433</v>
      </c>
      <c r="AT1207" s="44">
        <v>1206.0</v>
      </c>
      <c r="AU1207" s="44"/>
      <c r="AW1207" s="93"/>
      <c r="AY1207" s="93"/>
      <c r="AZ1207" s="93"/>
      <c r="BA1207" s="93"/>
      <c r="BB1207" s="155"/>
      <c r="BC1207" s="93"/>
      <c r="BE1207" s="93"/>
      <c r="BG1207" s="93"/>
      <c r="BH1207" s="93"/>
      <c r="BI1207" s="93"/>
      <c r="BJ1207" s="155"/>
      <c r="BK1207" s="93"/>
    </row>
    <row r="1208">
      <c r="A1208" s="166">
        <v>44773.96399857639</v>
      </c>
      <c r="B1208" s="44" t="s">
        <v>125</v>
      </c>
      <c r="C1208" s="128">
        <v>615.9993119263895</v>
      </c>
      <c r="D1208" s="128">
        <v>15.0</v>
      </c>
      <c r="E1208" s="128">
        <v>610.8306824476383</v>
      </c>
      <c r="F1208" s="44" t="s">
        <v>486</v>
      </c>
      <c r="G1208" s="128">
        <v>897.7311159682075</v>
      </c>
      <c r="H1208" s="128">
        <v>13.0</v>
      </c>
      <c r="I1208" s="128">
        <v>891.0969565164398</v>
      </c>
      <c r="J1208" s="44" t="s">
        <v>34</v>
      </c>
      <c r="K1208" s="128">
        <v>1140.4784625090942</v>
      </c>
      <c r="L1208" s="128">
        <v>19.0</v>
      </c>
      <c r="M1208" s="128">
        <v>1135.9362626784264</v>
      </c>
      <c r="N1208" s="44" t="s">
        <v>23</v>
      </c>
      <c r="O1208" s="128">
        <v>1452.5303184059399</v>
      </c>
      <c r="P1208" s="128">
        <v>24.0</v>
      </c>
      <c r="Q1208" s="128">
        <v>1449.8753071671267</v>
      </c>
      <c r="V1208" s="44" t="s">
        <v>107</v>
      </c>
      <c r="W1208" s="128">
        <v>913.2618949120751</v>
      </c>
      <c r="X1208" s="128">
        <v>22.0</v>
      </c>
      <c r="Y1208" s="128">
        <v>918.3763201061895</v>
      </c>
      <c r="Z1208" s="44" t="s">
        <v>112</v>
      </c>
      <c r="AA1208" s="128">
        <v>984.5103198662936</v>
      </c>
      <c r="AB1208" s="128">
        <v>21.0</v>
      </c>
      <c r="AC1208" s="128">
        <v>989.1049469580292</v>
      </c>
      <c r="AD1208" s="44" t="s">
        <v>92</v>
      </c>
      <c r="AE1208" s="128">
        <v>1052.9331724843858</v>
      </c>
      <c r="AF1208" s="128">
        <v>17.0</v>
      </c>
      <c r="AG1208" s="128">
        <v>1055.85105212679</v>
      </c>
      <c r="AH1208" s="44" t="s">
        <v>27</v>
      </c>
      <c r="AI1208" s="128">
        <v>1168.5105304067176</v>
      </c>
      <c r="AJ1208" s="128">
        <v>26.0</v>
      </c>
      <c r="AK1208" s="128">
        <v>1174.8835984784635</v>
      </c>
      <c r="AP1208" s="128">
        <v>12.0</v>
      </c>
      <c r="AQ1208" s="128">
        <v>16.0</v>
      </c>
      <c r="AS1208" s="44" t="s">
        <v>339</v>
      </c>
      <c r="AT1208" s="44">
        <v>1207.0</v>
      </c>
      <c r="AU1208" s="44"/>
      <c r="AW1208" s="93"/>
      <c r="AY1208" s="93"/>
      <c r="AZ1208" s="93"/>
      <c r="BA1208" s="93"/>
      <c r="BB1208" s="155"/>
      <c r="BC1208" s="93"/>
      <c r="BE1208" s="93"/>
      <c r="BG1208" s="93"/>
      <c r="BH1208" s="93"/>
      <c r="BI1208" s="93"/>
      <c r="BJ1208" s="155"/>
      <c r="BK1208" s="93"/>
    </row>
    <row r="1209">
      <c r="A1209" s="166">
        <v>44774.004521574076</v>
      </c>
      <c r="B1209" s="44" t="s">
        <v>125</v>
      </c>
      <c r="C1209" s="128">
        <v>610.8306824476383</v>
      </c>
      <c r="D1209" s="128">
        <v>12.0</v>
      </c>
      <c r="E1209" s="128">
        <v>612.4472094500505</v>
      </c>
      <c r="F1209" s="44" t="s">
        <v>107</v>
      </c>
      <c r="G1209" s="128">
        <v>918.3763201061895</v>
      </c>
      <c r="H1209" s="128">
        <v>17.0</v>
      </c>
      <c r="I1209" s="128">
        <v>920.6498252615653</v>
      </c>
      <c r="J1209" s="44" t="s">
        <v>34</v>
      </c>
      <c r="K1209" s="128">
        <v>1135.9362626784264</v>
      </c>
      <c r="L1209" s="128">
        <v>15.0</v>
      </c>
      <c r="M1209" s="128">
        <v>1137.662433989931</v>
      </c>
      <c r="N1209" s="44" t="s">
        <v>23</v>
      </c>
      <c r="O1209" s="128">
        <v>1449.8753071671267</v>
      </c>
      <c r="P1209" s="128">
        <v>28.0</v>
      </c>
      <c r="Q1209" s="128">
        <v>1454.259103697834</v>
      </c>
      <c r="V1209" s="44" t="s">
        <v>486</v>
      </c>
      <c r="W1209" s="128">
        <v>891.0969565164398</v>
      </c>
      <c r="X1209" s="128">
        <v>20.0</v>
      </c>
      <c r="Y1209" s="128">
        <v>888.7980824858145</v>
      </c>
      <c r="Z1209" s="44" t="s">
        <v>112</v>
      </c>
      <c r="AA1209" s="128">
        <v>989.1049469580292</v>
      </c>
      <c r="AB1209" s="128">
        <v>21.0</v>
      </c>
      <c r="AC1209" s="128">
        <v>986.9308753195606</v>
      </c>
      <c r="AD1209" s="44" t="s">
        <v>92</v>
      </c>
      <c r="AE1209" s="128">
        <v>1055.85105212679</v>
      </c>
      <c r="AF1209" s="128">
        <v>10.0</v>
      </c>
      <c r="AG1209" s="128">
        <v>1051.3424981675885</v>
      </c>
      <c r="AH1209" s="44" t="s">
        <v>27</v>
      </c>
      <c r="AI1209" s="128">
        <v>1174.8835984784635</v>
      </c>
      <c r="AJ1209" s="128">
        <v>27.0</v>
      </c>
      <c r="AK1209" s="128">
        <v>1173.865098106759</v>
      </c>
      <c r="AP1209" s="128">
        <v>15.0</v>
      </c>
      <c r="AQ1209" s="128">
        <v>13.0</v>
      </c>
      <c r="AS1209" s="44" t="s">
        <v>231</v>
      </c>
      <c r="AT1209" s="44">
        <v>1208.0</v>
      </c>
      <c r="AU1209" s="44"/>
      <c r="AW1209" s="93"/>
      <c r="AY1209" s="93"/>
      <c r="AZ1209" s="93"/>
      <c r="BA1209" s="93"/>
      <c r="BB1209" s="155"/>
      <c r="BC1209" s="93"/>
      <c r="BE1209" s="93"/>
      <c r="BG1209" s="93"/>
      <c r="BH1209" s="93"/>
      <c r="BI1209" s="93"/>
      <c r="BJ1209" s="155"/>
      <c r="BK1209" s="93"/>
    </row>
    <row r="1210">
      <c r="A1210" s="166">
        <v>44774.04966351852</v>
      </c>
      <c r="B1210" s="44" t="s">
        <v>125</v>
      </c>
      <c r="C1210" s="128">
        <v>612.4472094500505</v>
      </c>
      <c r="D1210" s="128">
        <v>26.0</v>
      </c>
      <c r="E1210" s="128">
        <v>606.7680891261723</v>
      </c>
      <c r="F1210" s="44" t="s">
        <v>92</v>
      </c>
      <c r="G1210" s="128">
        <v>1051.3424981675885</v>
      </c>
      <c r="H1210" s="128">
        <v>12.0</v>
      </c>
      <c r="I1210" s="128">
        <v>1035.1191818567559</v>
      </c>
      <c r="J1210" s="44" t="s">
        <v>23</v>
      </c>
      <c r="K1210" s="128">
        <v>1454.259103697834</v>
      </c>
      <c r="L1210" s="128">
        <v>39.0</v>
      </c>
      <c r="M1210" s="128">
        <v>1454.161540332545</v>
      </c>
      <c r="N1210" s="44"/>
      <c r="O1210" s="128"/>
      <c r="P1210" s="128"/>
      <c r="Q1210" s="128"/>
      <c r="V1210" s="44" t="s">
        <v>107</v>
      </c>
      <c r="W1210" s="128">
        <v>920.6498252615653</v>
      </c>
      <c r="X1210" s="128">
        <v>21.0</v>
      </c>
      <c r="Y1210" s="128">
        <v>922.7892789308517</v>
      </c>
      <c r="Z1210" s="44" t="s">
        <v>112</v>
      </c>
      <c r="AA1210" s="128">
        <v>986.9308753195606</v>
      </c>
      <c r="AB1210" s="128">
        <v>36.0</v>
      </c>
      <c r="AC1210" s="128">
        <v>997.9934824312684</v>
      </c>
      <c r="AD1210" s="44" t="s">
        <v>27</v>
      </c>
      <c r="AE1210" s="128">
        <v>1173.865098106759</v>
      </c>
      <c r="AF1210" s="128">
        <v>33.0</v>
      </c>
      <c r="AG1210" s="128">
        <v>1182.663037325765</v>
      </c>
      <c r="AH1210" s="44"/>
      <c r="AI1210" s="128"/>
      <c r="AJ1210" s="128"/>
      <c r="AK1210" s="128"/>
      <c r="AP1210" s="128">
        <v>18.0</v>
      </c>
      <c r="AQ1210" s="128">
        <v>24.0</v>
      </c>
      <c r="AS1210" s="44" t="s">
        <v>609</v>
      </c>
      <c r="AT1210" s="44">
        <v>1209.0</v>
      </c>
      <c r="AU1210" s="44"/>
      <c r="AW1210" s="93"/>
      <c r="AY1210" s="93"/>
      <c r="AZ1210" s="93"/>
      <c r="BA1210" s="93"/>
      <c r="BB1210" s="155"/>
      <c r="BC1210" s="93"/>
      <c r="BE1210" s="93"/>
      <c r="BG1210" s="93"/>
      <c r="BH1210" s="93"/>
      <c r="BI1210" s="93"/>
      <c r="BJ1210" s="155"/>
      <c r="BK1210" s="93"/>
    </row>
    <row r="1211">
      <c r="A1211" s="166">
        <v>44775.02240688658</v>
      </c>
      <c r="B1211" s="44" t="s">
        <v>125</v>
      </c>
      <c r="C1211" s="128">
        <v>606.7680891261723</v>
      </c>
      <c r="D1211" s="128">
        <v>12.0</v>
      </c>
      <c r="E1211" s="128">
        <v>606.7780891261723</v>
      </c>
      <c r="F1211" s="44" t="s">
        <v>112</v>
      </c>
      <c r="G1211" s="128">
        <v>997.9934824312684</v>
      </c>
      <c r="H1211" s="128">
        <v>16.0</v>
      </c>
      <c r="I1211" s="128">
        <v>998.0034824312684</v>
      </c>
      <c r="J1211" s="44" t="s">
        <v>34</v>
      </c>
      <c r="K1211" s="128">
        <v>1137.662433989931</v>
      </c>
      <c r="L1211" s="128">
        <v>22.0</v>
      </c>
      <c r="M1211" s="128">
        <v>1137.672433989931</v>
      </c>
      <c r="N1211" s="44" t="s">
        <v>27</v>
      </c>
      <c r="O1211" s="128">
        <v>1182.663037325765</v>
      </c>
      <c r="P1211" s="128">
        <v>32.0</v>
      </c>
      <c r="Q1211" s="128">
        <v>1182.6730373257649</v>
      </c>
      <c r="V1211" s="44" t="s">
        <v>123</v>
      </c>
      <c r="W1211" s="128">
        <v>670.5560733622672</v>
      </c>
      <c r="X1211" s="128">
        <v>16.0</v>
      </c>
      <c r="Y1211" s="128">
        <v>670.5660733622672</v>
      </c>
      <c r="Z1211" s="44" t="s">
        <v>486</v>
      </c>
      <c r="AA1211" s="128">
        <v>888.7980824858145</v>
      </c>
      <c r="AB1211" s="128">
        <v>18.0</v>
      </c>
      <c r="AC1211" s="128">
        <v>888.8080824858145</v>
      </c>
      <c r="AD1211" s="44" t="s">
        <v>107</v>
      </c>
      <c r="AE1211" s="128">
        <v>922.7892789308517</v>
      </c>
      <c r="AF1211" s="128">
        <v>19.0</v>
      </c>
      <c r="AG1211" s="128">
        <v>922.7992789308516</v>
      </c>
      <c r="AH1211" s="44" t="s">
        <v>23</v>
      </c>
      <c r="AI1211" s="128">
        <v>1454.161540332545</v>
      </c>
      <c r="AJ1211" s="128">
        <v>26.0</v>
      </c>
      <c r="AK1211" s="128">
        <v>1454.171540332545</v>
      </c>
      <c r="AP1211" s="128">
        <v>14.0</v>
      </c>
      <c r="AQ1211" s="128">
        <v>14.0</v>
      </c>
      <c r="AT1211" s="44">
        <v>1210.0</v>
      </c>
      <c r="AU1211" s="44"/>
      <c r="AW1211" s="93"/>
      <c r="AY1211" s="93"/>
      <c r="AZ1211" s="93"/>
      <c r="BA1211" s="93"/>
      <c r="BB1211" s="155"/>
      <c r="BC1211" s="93"/>
      <c r="BE1211" s="93"/>
      <c r="BG1211" s="93"/>
      <c r="BH1211" s="93"/>
      <c r="BI1211" s="93"/>
      <c r="BJ1211" s="155"/>
      <c r="BK1211" s="93"/>
    </row>
    <row r="1212">
      <c r="A1212" s="166">
        <v>44778.9244318287</v>
      </c>
      <c r="B1212" s="44" t="s">
        <v>54</v>
      </c>
      <c r="C1212" s="128">
        <v>850.0</v>
      </c>
      <c r="D1212" s="128">
        <v>12.0</v>
      </c>
      <c r="E1212" s="128">
        <v>852.9633236991478</v>
      </c>
      <c r="F1212" s="44" t="s">
        <v>27</v>
      </c>
      <c r="G1212" s="128">
        <v>1182.6730373257649</v>
      </c>
      <c r="H1212" s="128">
        <v>12.0</v>
      </c>
      <c r="I1212" s="128">
        <v>1185.308018180154</v>
      </c>
      <c r="J1212" s="44" t="s">
        <v>31</v>
      </c>
      <c r="K1212" s="128">
        <v>1454.245870751123</v>
      </c>
      <c r="L1212" s="128">
        <v>27.0</v>
      </c>
      <c r="M1212" s="128">
        <v>1462.647566197586</v>
      </c>
      <c r="N1212" s="44"/>
      <c r="O1212" s="128"/>
      <c r="P1212" s="128"/>
      <c r="Q1212" s="128"/>
      <c r="V1212" s="44" t="s">
        <v>92</v>
      </c>
      <c r="W1212" s="128">
        <v>1035.1191818567559</v>
      </c>
      <c r="X1212" s="128">
        <v>13.0</v>
      </c>
      <c r="Y1212" s="128">
        <v>1029.2339908910462</v>
      </c>
      <c r="Z1212" s="44" t="s">
        <v>34</v>
      </c>
      <c r="AA1212" s="128">
        <v>1137.672433989931</v>
      </c>
      <c r="AB1212" s="128">
        <v>17.0</v>
      </c>
      <c r="AC1212" s="128">
        <v>1133.269495012951</v>
      </c>
      <c r="AD1212" s="44" t="s">
        <v>23</v>
      </c>
      <c r="AE1212" s="128">
        <v>1454.171540332545</v>
      </c>
      <c r="AF1212" s="128">
        <v>19.0</v>
      </c>
      <c r="AG1212" s="128">
        <v>1450.4596702752344</v>
      </c>
      <c r="AH1212" s="44"/>
      <c r="AI1212" s="128"/>
      <c r="AJ1212" s="128"/>
      <c r="AK1212" s="128"/>
      <c r="AP1212" s="128">
        <v>15.0</v>
      </c>
      <c r="AQ1212" s="128">
        <v>13.0</v>
      </c>
      <c r="AT1212" s="44">
        <v>1211.0</v>
      </c>
      <c r="AU1212" s="44"/>
      <c r="AW1212" s="93"/>
      <c r="AY1212" s="93"/>
      <c r="AZ1212" s="93"/>
      <c r="BA1212" s="93"/>
      <c r="BB1212" s="155"/>
      <c r="BC1212" s="93"/>
      <c r="BE1212" s="93"/>
      <c r="BG1212" s="93"/>
      <c r="BH1212" s="93"/>
      <c r="BI1212" s="93"/>
      <c r="BJ1212" s="155"/>
      <c r="BK1212" s="93"/>
    </row>
    <row r="1213">
      <c r="A1213" s="166">
        <v>44778.96500430556</v>
      </c>
      <c r="B1213" s="44" t="s">
        <v>54</v>
      </c>
      <c r="C1213" s="128">
        <v>852.9633236991478</v>
      </c>
      <c r="D1213" s="128">
        <v>8.0</v>
      </c>
      <c r="E1213" s="128">
        <v>843.5729885777854</v>
      </c>
      <c r="F1213" s="44" t="s">
        <v>27</v>
      </c>
      <c r="G1213" s="128">
        <v>1185.308018180154</v>
      </c>
      <c r="H1213" s="128">
        <v>19.0</v>
      </c>
      <c r="I1213" s="128">
        <v>1181.0414875238018</v>
      </c>
      <c r="J1213" s="44" t="s">
        <v>31</v>
      </c>
      <c r="K1213" s="128">
        <v>1462.647566197586</v>
      </c>
      <c r="L1213" s="128">
        <v>19.0</v>
      </c>
      <c r="M1213" s="128">
        <v>1458.3044319753008</v>
      </c>
      <c r="N1213" s="44"/>
      <c r="O1213" s="128"/>
      <c r="P1213" s="128"/>
      <c r="Q1213" s="128"/>
      <c r="V1213" s="44" t="s">
        <v>92</v>
      </c>
      <c r="W1213" s="128">
        <v>1029.2339908910462</v>
      </c>
      <c r="X1213" s="128">
        <v>11.0</v>
      </c>
      <c r="Y1213" s="128">
        <v>1031.6555114068665</v>
      </c>
      <c r="Z1213" s="44" t="s">
        <v>38</v>
      </c>
      <c r="AA1213" s="128">
        <v>1050.2623479455085</v>
      </c>
      <c r="AB1213" s="128">
        <v>16.0</v>
      </c>
      <c r="AC1213" s="128">
        <v>1055.1580301269867</v>
      </c>
      <c r="AD1213" s="44" t="s">
        <v>23</v>
      </c>
      <c r="AE1213" s="128">
        <v>1450.4596702752344</v>
      </c>
      <c r="AF1213" s="128">
        <v>28.0</v>
      </c>
      <c r="AG1213" s="128">
        <v>1461.142467577936</v>
      </c>
      <c r="AH1213" s="44"/>
      <c r="AI1213" s="128"/>
      <c r="AJ1213" s="128"/>
      <c r="AK1213" s="128"/>
      <c r="AP1213" s="128">
        <v>11.0</v>
      </c>
      <c r="AQ1213" s="128">
        <v>17.0</v>
      </c>
      <c r="AT1213" s="44">
        <v>1212.0</v>
      </c>
      <c r="AU1213" s="44"/>
      <c r="AW1213" s="93"/>
      <c r="AY1213" s="93"/>
      <c r="AZ1213" s="93"/>
      <c r="BA1213" s="93"/>
      <c r="BB1213" s="155"/>
      <c r="BC1213" s="93"/>
      <c r="BE1213" s="93"/>
      <c r="BG1213" s="93"/>
      <c r="BH1213" s="93"/>
      <c r="BI1213" s="93"/>
      <c r="BJ1213" s="155"/>
      <c r="BK1213" s="93"/>
    </row>
    <row r="1214">
      <c r="A1214" s="166">
        <v>44779.03447559028</v>
      </c>
      <c r="B1214" s="44" t="s">
        <v>54</v>
      </c>
      <c r="C1214" s="128">
        <v>843.5729885777854</v>
      </c>
      <c r="D1214" s="128">
        <v>16.0</v>
      </c>
      <c r="E1214" s="128">
        <v>839.7906484901562</v>
      </c>
      <c r="F1214" s="44" t="s">
        <v>107</v>
      </c>
      <c r="G1214" s="128">
        <v>922.7992789308516</v>
      </c>
      <c r="H1214" s="128">
        <v>18.0</v>
      </c>
      <c r="I1214" s="128">
        <v>919.4321821741254</v>
      </c>
      <c r="J1214" s="44" t="s">
        <v>34</v>
      </c>
      <c r="K1214" s="128">
        <v>1133.269495012951</v>
      </c>
      <c r="L1214" s="128">
        <v>25.0</v>
      </c>
      <c r="M1214" s="128">
        <v>1131.504719312131</v>
      </c>
      <c r="N1214" s="44" t="s">
        <v>31</v>
      </c>
      <c r="O1214" s="128">
        <v>1458.3044319753008</v>
      </c>
      <c r="P1214" s="128">
        <v>20.0</v>
      </c>
      <c r="Q1214" s="128">
        <v>1455.2186445204763</v>
      </c>
      <c r="V1214" s="44" t="s">
        <v>125</v>
      </c>
      <c r="W1214" s="128">
        <v>606.7780891261723</v>
      </c>
      <c r="X1214" s="128">
        <v>13.0</v>
      </c>
      <c r="Y1214" s="128">
        <v>608.4910389286151</v>
      </c>
      <c r="Z1214" s="44" t="s">
        <v>38</v>
      </c>
      <c r="AA1214" s="128">
        <v>1055.1580301269867</v>
      </c>
      <c r="AB1214" s="128">
        <v>22.0</v>
      </c>
      <c r="AC1214" s="128">
        <v>1058.563867847803</v>
      </c>
      <c r="AD1214" s="44" t="s">
        <v>27</v>
      </c>
      <c r="AE1214" s="128">
        <v>1181.0414875238018</v>
      </c>
      <c r="AF1214" s="128">
        <v>22.0</v>
      </c>
      <c r="AG1214" s="128">
        <v>1184.3833909785928</v>
      </c>
      <c r="AH1214" s="44" t="s">
        <v>23</v>
      </c>
      <c r="AI1214" s="128">
        <v>1461.142467577936</v>
      </c>
      <c r="AJ1214" s="128">
        <v>23.0</v>
      </c>
      <c r="AK1214" s="128">
        <v>1464.6817765998858</v>
      </c>
      <c r="AP1214" s="128">
        <v>13.0</v>
      </c>
      <c r="AQ1214" s="128">
        <v>15.0</v>
      </c>
      <c r="AT1214" s="44">
        <v>1213.0</v>
      </c>
      <c r="AU1214" s="44"/>
      <c r="AW1214" s="93"/>
      <c r="AY1214" s="93"/>
      <c r="AZ1214" s="93"/>
      <c r="BA1214" s="93"/>
      <c r="BB1214" s="155"/>
      <c r="BC1214" s="93"/>
      <c r="BE1214" s="93"/>
      <c r="BG1214" s="93"/>
      <c r="BH1214" s="93"/>
      <c r="BI1214" s="93"/>
      <c r="BJ1214" s="155"/>
      <c r="BK1214" s="93"/>
    </row>
    <row r="1215">
      <c r="A1215" s="166">
        <v>44779.0745252662</v>
      </c>
      <c r="B1215" s="44" t="s">
        <v>125</v>
      </c>
      <c r="C1215" s="128">
        <v>608.4910389286151</v>
      </c>
      <c r="D1215" s="128">
        <v>8.0</v>
      </c>
      <c r="E1215" s="128">
        <v>608.6899285289403</v>
      </c>
      <c r="F1215" s="44" t="s">
        <v>31</v>
      </c>
      <c r="G1215" s="128">
        <v>1455.2186445204763</v>
      </c>
      <c r="H1215" s="128">
        <v>25.0</v>
      </c>
      <c r="I1215" s="128">
        <v>1457.0082154644967</v>
      </c>
      <c r="J1215" s="44" t="s">
        <v>23</v>
      </c>
      <c r="K1215" s="128">
        <v>1464.6817765998858</v>
      </c>
      <c r="L1215" s="128">
        <v>27.0</v>
      </c>
      <c r="M1215" s="128">
        <v>1466.6933160555402</v>
      </c>
      <c r="N1215" s="44"/>
      <c r="O1215" s="128"/>
      <c r="P1215" s="128"/>
      <c r="Q1215" s="128"/>
      <c r="V1215" s="44" t="s">
        <v>107</v>
      </c>
      <c r="W1215" s="128">
        <v>919.4321821741254</v>
      </c>
      <c r="X1215" s="128">
        <v>14.0</v>
      </c>
      <c r="Y1215" s="128">
        <v>917.8740254037417</v>
      </c>
      <c r="Z1215" s="44" t="s">
        <v>38</v>
      </c>
      <c r="AA1215" s="128">
        <v>1058.563867847803</v>
      </c>
      <c r="AB1215" s="128">
        <v>13.0</v>
      </c>
      <c r="AC1215" s="128">
        <v>1056.854194377888</v>
      </c>
      <c r="AD1215" s="44" t="s">
        <v>27</v>
      </c>
      <c r="AE1215" s="128">
        <v>1184.3833909785928</v>
      </c>
      <c r="AF1215" s="128">
        <v>22.0</v>
      </c>
      <c r="AG1215" s="128">
        <v>1183.6512212188916</v>
      </c>
      <c r="AH1215" s="44"/>
      <c r="AI1215" s="128"/>
      <c r="AJ1215" s="128"/>
      <c r="AK1215" s="128"/>
      <c r="AP1215" s="128">
        <v>17.0</v>
      </c>
      <c r="AQ1215" s="128">
        <v>10.0</v>
      </c>
      <c r="AT1215" s="44">
        <v>1214.0</v>
      </c>
      <c r="AU1215" s="44"/>
      <c r="AW1215" s="93"/>
      <c r="AY1215" s="93"/>
      <c r="AZ1215" s="93"/>
      <c r="BA1215" s="93"/>
      <c r="BB1215" s="155"/>
      <c r="BC1215" s="93"/>
      <c r="BE1215" s="93"/>
      <c r="BG1215" s="93"/>
      <c r="BH1215" s="93"/>
      <c r="BI1215" s="93"/>
      <c r="BJ1215" s="155"/>
      <c r="BK1215" s="93"/>
    </row>
    <row r="1216">
      <c r="A1216" s="166">
        <v>44782.9760936574</v>
      </c>
      <c r="B1216" s="44" t="s">
        <v>54</v>
      </c>
      <c r="C1216" s="128">
        <v>839.7906484901562</v>
      </c>
      <c r="D1216" s="128">
        <v>23.0</v>
      </c>
      <c r="E1216" s="128">
        <v>843.6012373222413</v>
      </c>
      <c r="F1216" s="44" t="s">
        <v>92</v>
      </c>
      <c r="G1216" s="128">
        <v>1031.6555114068665</v>
      </c>
      <c r="H1216" s="128">
        <v>17.0</v>
      </c>
      <c r="I1216" s="128">
        <v>1033.779927278474</v>
      </c>
      <c r="J1216" s="44" t="s">
        <v>34</v>
      </c>
      <c r="K1216" s="128">
        <v>1131.504719312131</v>
      </c>
      <c r="L1216" s="128">
        <v>21.0</v>
      </c>
      <c r="M1216" s="128">
        <v>1134.5697146084385</v>
      </c>
      <c r="N1216" s="44"/>
      <c r="O1216" s="128"/>
      <c r="P1216" s="128"/>
      <c r="Q1216" s="128"/>
      <c r="V1216" s="44" t="s">
        <v>610</v>
      </c>
      <c r="W1216" s="128">
        <v>800.0</v>
      </c>
      <c r="X1216" s="128">
        <v>15.0</v>
      </c>
      <c r="Y1216" s="128">
        <v>796.3270205959694</v>
      </c>
      <c r="Z1216" s="44" t="s">
        <v>112</v>
      </c>
      <c r="AA1216" s="128">
        <v>998.0034824312684</v>
      </c>
      <c r="AB1216" s="128">
        <v>16.0</v>
      </c>
      <c r="AC1216" s="128">
        <v>994.3885155212497</v>
      </c>
      <c r="AD1216" s="44" t="s">
        <v>27</v>
      </c>
      <c r="AE1216" s="128">
        <v>1183.6512212188916</v>
      </c>
      <c r="AF1216" s="128">
        <v>24.0</v>
      </c>
      <c r="AG1216" s="128">
        <v>1181.939167532941</v>
      </c>
      <c r="AH1216" s="44"/>
      <c r="AI1216" s="128"/>
      <c r="AJ1216" s="128"/>
      <c r="AK1216" s="128"/>
      <c r="AP1216" s="128">
        <v>15.0</v>
      </c>
      <c r="AQ1216" s="128">
        <v>13.0</v>
      </c>
      <c r="AT1216" s="44">
        <v>1215.0</v>
      </c>
      <c r="AU1216" s="44"/>
      <c r="AW1216" s="93"/>
      <c r="AY1216" s="93"/>
      <c r="AZ1216" s="93"/>
      <c r="BA1216" s="93"/>
      <c r="BB1216" s="155"/>
      <c r="BC1216" s="93"/>
      <c r="BE1216" s="93"/>
      <c r="BG1216" s="93"/>
      <c r="BH1216" s="93"/>
      <c r="BI1216" s="93"/>
      <c r="BJ1216" s="155"/>
      <c r="BK1216" s="93"/>
    </row>
    <row r="1217">
      <c r="A1217" s="166">
        <v>44783.045981504634</v>
      </c>
      <c r="B1217" s="44" t="s">
        <v>54</v>
      </c>
      <c r="C1217" s="128">
        <v>843.6012373222413</v>
      </c>
      <c r="D1217" s="128">
        <v>40.0</v>
      </c>
      <c r="E1217" s="128">
        <v>841.8557721543062</v>
      </c>
      <c r="F1217" s="44" t="s">
        <v>112</v>
      </c>
      <c r="G1217" s="128">
        <v>994.3885155212497</v>
      </c>
      <c r="H1217" s="128">
        <v>35.0</v>
      </c>
      <c r="I1217" s="128">
        <v>991.2853344049496</v>
      </c>
      <c r="J1217" s="44" t="s">
        <v>92</v>
      </c>
      <c r="K1217" s="128">
        <v>1033.779927278474</v>
      </c>
      <c r="L1217" s="128">
        <v>35.0</v>
      </c>
      <c r="M1217" s="128">
        <v>1030.628573562709</v>
      </c>
      <c r="N1217" s="44"/>
      <c r="O1217" s="128"/>
      <c r="P1217" s="128"/>
      <c r="Q1217" s="128"/>
      <c r="V1217" s="44" t="s">
        <v>125</v>
      </c>
      <c r="W1217" s="128">
        <v>608.6899285289403</v>
      </c>
      <c r="X1217" s="128">
        <v>32.0</v>
      </c>
      <c r="Y1217" s="128">
        <v>611.3996556116454</v>
      </c>
      <c r="Z1217" s="44" t="s">
        <v>34</v>
      </c>
      <c r="AA1217" s="128">
        <v>1134.5697146084385</v>
      </c>
      <c r="AB1217" s="128">
        <v>35.0</v>
      </c>
      <c r="AC1217" s="128">
        <v>1137.0082743721837</v>
      </c>
      <c r="AD1217" s="44" t="s">
        <v>27</v>
      </c>
      <c r="AE1217" s="128">
        <v>1181.939167532941</v>
      </c>
      <c r="AF1217" s="128">
        <v>37.0</v>
      </c>
      <c r="AG1217" s="128">
        <v>1184.7908806864907</v>
      </c>
      <c r="AH1217" s="44"/>
      <c r="AI1217" s="128"/>
      <c r="AJ1217" s="128"/>
      <c r="AK1217" s="128"/>
      <c r="AP1217" s="128">
        <v>27.0</v>
      </c>
      <c r="AQ1217" s="128">
        <v>29.0</v>
      </c>
      <c r="AS1217" s="44" t="s">
        <v>611</v>
      </c>
      <c r="AT1217" s="44">
        <v>1216.0</v>
      </c>
      <c r="AU1217" s="44"/>
      <c r="AW1217" s="93"/>
      <c r="AY1217" s="93"/>
      <c r="AZ1217" s="93"/>
      <c r="BA1217" s="93"/>
      <c r="BB1217" s="155"/>
      <c r="BC1217" s="93"/>
      <c r="BE1217" s="93"/>
      <c r="BG1217" s="93"/>
      <c r="BH1217" s="93"/>
      <c r="BI1217" s="93"/>
      <c r="BJ1217" s="155"/>
      <c r="BK1217" s="93"/>
    </row>
    <row r="1218">
      <c r="A1218" s="166">
        <v>44784.000370636575</v>
      </c>
      <c r="B1218" s="44" t="s">
        <v>610</v>
      </c>
      <c r="C1218" s="128">
        <v>796.3270205959694</v>
      </c>
      <c r="D1218" s="128">
        <v>23.0</v>
      </c>
      <c r="E1218" s="128">
        <v>810.4875040151904</v>
      </c>
      <c r="F1218" s="44" t="s">
        <v>54</v>
      </c>
      <c r="G1218" s="128">
        <v>841.8557721543062</v>
      </c>
      <c r="H1218" s="128">
        <v>29.0</v>
      </c>
      <c r="I1218" s="128">
        <v>862.3842601270513</v>
      </c>
      <c r="J1218" s="44" t="s">
        <v>112</v>
      </c>
      <c r="K1218" s="128">
        <v>991.2853344049496</v>
      </c>
      <c r="L1218" s="128">
        <v>16.0</v>
      </c>
      <c r="M1218" s="128">
        <v>996.5963630129835</v>
      </c>
      <c r="N1218" s="44"/>
      <c r="O1218" s="128"/>
      <c r="P1218" s="128"/>
      <c r="Q1218" s="128"/>
      <c r="V1218" s="44" t="s">
        <v>123</v>
      </c>
      <c r="W1218" s="128">
        <v>670.5660733622672</v>
      </c>
      <c r="X1218" s="128">
        <v>12.0</v>
      </c>
      <c r="Y1218" s="128">
        <v>655.8288840807429</v>
      </c>
      <c r="Z1218" s="44" t="s">
        <v>98</v>
      </c>
      <c r="AA1218" s="128">
        <v>926.4490498228089</v>
      </c>
      <c r="AB1218" s="128">
        <v>15.0</v>
      </c>
      <c r="AC1218" s="128">
        <v>913.9571997158192</v>
      </c>
      <c r="AD1218" s="44" t="s">
        <v>92</v>
      </c>
      <c r="AE1218" s="128">
        <v>1030.628573562709</v>
      </c>
      <c r="AF1218" s="128">
        <v>15.0</v>
      </c>
      <c r="AG1218" s="128">
        <v>1017.857612951223</v>
      </c>
      <c r="AH1218" s="44"/>
      <c r="AI1218" s="128"/>
      <c r="AJ1218" s="128"/>
      <c r="AK1218" s="128"/>
      <c r="AP1218" s="128">
        <v>19.0</v>
      </c>
      <c r="AQ1218" s="128">
        <v>9.0</v>
      </c>
      <c r="AS1218" s="44" t="s">
        <v>229</v>
      </c>
      <c r="AT1218" s="44">
        <v>1217.0</v>
      </c>
      <c r="AU1218" s="44"/>
      <c r="AW1218" s="93"/>
      <c r="AY1218" s="93"/>
      <c r="AZ1218" s="93"/>
      <c r="BA1218" s="93"/>
      <c r="BB1218" s="155"/>
      <c r="BC1218" s="93"/>
      <c r="BE1218" s="93"/>
      <c r="BG1218" s="93"/>
      <c r="BH1218" s="93"/>
      <c r="BI1218" s="93"/>
      <c r="BJ1218" s="155"/>
      <c r="BK1218" s="93"/>
    </row>
    <row r="1219">
      <c r="A1219" s="166">
        <v>44784.0608116088</v>
      </c>
      <c r="B1219" s="44" t="s">
        <v>123</v>
      </c>
      <c r="C1219" s="128">
        <v>655.8288840807429</v>
      </c>
      <c r="D1219" s="128">
        <v>16.0</v>
      </c>
      <c r="E1219" s="128">
        <v>655.9209610631337</v>
      </c>
      <c r="F1219" s="44" t="s">
        <v>54</v>
      </c>
      <c r="G1219" s="128">
        <v>862.3842601270513</v>
      </c>
      <c r="H1219" s="128">
        <v>44.0</v>
      </c>
      <c r="I1219" s="128">
        <v>867.3763887665701</v>
      </c>
      <c r="J1219" s="44" t="s">
        <v>110</v>
      </c>
      <c r="K1219" s="128">
        <v>1015.0704318789413</v>
      </c>
      <c r="L1219" s="128">
        <v>19.0</v>
      </c>
      <c r="M1219" s="128">
        <v>1015.2066521666987</v>
      </c>
      <c r="N1219" s="44" t="s">
        <v>27</v>
      </c>
      <c r="O1219" s="128">
        <v>1184.7908806864907</v>
      </c>
      <c r="P1219" s="128">
        <v>39.0</v>
      </c>
      <c r="Q1219" s="128">
        <v>1188.5704547768237</v>
      </c>
      <c r="V1219" s="44" t="s">
        <v>125</v>
      </c>
      <c r="W1219" s="128">
        <v>611.3996556116454</v>
      </c>
      <c r="X1219" s="128">
        <v>34.0</v>
      </c>
      <c r="Y1219" s="128">
        <v>610.5789503934062</v>
      </c>
      <c r="Z1219" s="44" t="s">
        <v>107</v>
      </c>
      <c r="AA1219" s="128">
        <v>917.8740254037417</v>
      </c>
      <c r="AB1219" s="128">
        <v>24.0</v>
      </c>
      <c r="AC1219" s="128">
        <v>914.6773581214322</v>
      </c>
      <c r="AD1219" s="44" t="s">
        <v>92</v>
      </c>
      <c r="AE1219" s="128">
        <v>1017.857612951223</v>
      </c>
      <c r="AF1219" s="128">
        <v>24.0</v>
      </c>
      <c r="AG1219" s="128">
        <v>1014.5624303569593</v>
      </c>
      <c r="AH1219" s="44" t="s">
        <v>34</v>
      </c>
      <c r="AI1219" s="128">
        <v>1137.0082743721837</v>
      </c>
      <c r="AJ1219" s="128">
        <v>33.0</v>
      </c>
      <c r="AK1219" s="128">
        <v>1135.320829466996</v>
      </c>
      <c r="AP1219" s="128">
        <v>23.0</v>
      </c>
      <c r="AQ1219" s="128">
        <v>19.0</v>
      </c>
      <c r="AT1219" s="44">
        <v>1218.0</v>
      </c>
      <c r="AU1219" s="44"/>
      <c r="AW1219" s="93"/>
      <c r="AY1219" s="93"/>
      <c r="AZ1219" s="93"/>
      <c r="BA1219" s="93"/>
      <c r="BB1219" s="155"/>
      <c r="BC1219" s="93"/>
      <c r="BE1219" s="93"/>
      <c r="BG1219" s="93"/>
      <c r="BH1219" s="93"/>
      <c r="BI1219" s="93"/>
      <c r="BJ1219" s="155"/>
      <c r="BK1219" s="93"/>
    </row>
    <row r="1220">
      <c r="A1220" s="166">
        <v>44784.61866577546</v>
      </c>
      <c r="B1220" s="44" t="s">
        <v>54</v>
      </c>
      <c r="C1220" s="128">
        <v>867.3763887665701</v>
      </c>
      <c r="D1220" s="128">
        <v>26.0</v>
      </c>
      <c r="E1220" s="128">
        <v>886.178656400641</v>
      </c>
      <c r="F1220" s="44" t="s">
        <v>98</v>
      </c>
      <c r="G1220" s="128">
        <v>913.9571997158192</v>
      </c>
      <c r="H1220" s="128">
        <v>18.0</v>
      </c>
      <c r="I1220" s="128">
        <v>923.1549320817484</v>
      </c>
      <c r="J1220" s="44"/>
      <c r="K1220" s="128"/>
      <c r="L1220" s="128"/>
      <c r="M1220" s="128"/>
      <c r="N1220" s="44"/>
      <c r="O1220" s="128"/>
      <c r="P1220" s="128"/>
      <c r="Q1220" s="128"/>
      <c r="V1220" s="44" t="s">
        <v>123</v>
      </c>
      <c r="W1220" s="128">
        <v>655.9209610631337</v>
      </c>
      <c r="X1220" s="128">
        <v>10.0</v>
      </c>
      <c r="Y1220" s="128">
        <v>641.3672805002004</v>
      </c>
      <c r="Z1220" s="44" t="s">
        <v>92</v>
      </c>
      <c r="AA1220" s="128">
        <v>1014.5624303569593</v>
      </c>
      <c r="AB1220" s="128">
        <v>12.0</v>
      </c>
      <c r="AC1220" s="128">
        <v>1001.1161109198927</v>
      </c>
      <c r="AD1220" s="44"/>
      <c r="AE1220" s="128"/>
      <c r="AF1220" s="128"/>
      <c r="AG1220" s="128"/>
      <c r="AH1220" s="44"/>
      <c r="AI1220" s="128"/>
      <c r="AJ1220" s="128"/>
      <c r="AK1220" s="128"/>
      <c r="AP1220" s="128">
        <v>20.0</v>
      </c>
      <c r="AQ1220" s="128">
        <v>8.0</v>
      </c>
      <c r="AS1220" s="44" t="s">
        <v>229</v>
      </c>
      <c r="AT1220" s="44">
        <v>1219.0</v>
      </c>
      <c r="AU1220" s="44"/>
      <c r="AW1220" s="93"/>
      <c r="AY1220" s="93"/>
      <c r="AZ1220" s="93"/>
      <c r="BA1220" s="93"/>
      <c r="BB1220" s="155"/>
      <c r="BC1220" s="93"/>
      <c r="BE1220" s="93"/>
      <c r="BG1220" s="93"/>
      <c r="BH1220" s="93"/>
      <c r="BI1220" s="93"/>
      <c r="BJ1220" s="155"/>
      <c r="BK1220" s="93"/>
    </row>
    <row r="1221">
      <c r="A1221" s="166">
        <v>44784.991205439816</v>
      </c>
      <c r="B1221" s="44" t="s">
        <v>107</v>
      </c>
      <c r="C1221" s="128">
        <v>914.6773581214322</v>
      </c>
      <c r="D1221" s="128">
        <v>16.0</v>
      </c>
      <c r="E1221" s="128">
        <v>917.8470201553068</v>
      </c>
      <c r="F1221" s="44" t="s">
        <v>92</v>
      </c>
      <c r="G1221" s="128">
        <v>1001.1161109198927</v>
      </c>
      <c r="H1221" s="128">
        <v>12.0</v>
      </c>
      <c r="I1221" s="128">
        <v>1002.976908647524</v>
      </c>
      <c r="J1221" s="44" t="s">
        <v>23</v>
      </c>
      <c r="K1221" s="128">
        <v>1466.6933160555402</v>
      </c>
      <c r="L1221" s="128">
        <v>26.0</v>
      </c>
      <c r="M1221" s="128">
        <v>1472.662856294034</v>
      </c>
      <c r="N1221" s="44"/>
      <c r="O1221" s="128"/>
      <c r="P1221" s="128"/>
      <c r="Q1221" s="128"/>
      <c r="V1221" s="44" t="s">
        <v>47</v>
      </c>
      <c r="W1221" s="128">
        <v>1103.0487701227319</v>
      </c>
      <c r="X1221" s="128">
        <v>17.0</v>
      </c>
      <c r="Y1221" s="128">
        <v>1099.197746602794</v>
      </c>
      <c r="Z1221" s="44" t="s">
        <v>34</v>
      </c>
      <c r="AA1221" s="128">
        <v>1135.320829466996</v>
      </c>
      <c r="AB1221" s="128">
        <v>15.0</v>
      </c>
      <c r="AC1221" s="128">
        <v>1130.8413961358012</v>
      </c>
      <c r="AD1221" s="44" t="s">
        <v>27</v>
      </c>
      <c r="AE1221" s="128">
        <v>1188.5704547768237</v>
      </c>
      <c r="AF1221" s="128">
        <v>21.0</v>
      </c>
      <c r="AG1221" s="128">
        <v>1185.9009116279562</v>
      </c>
      <c r="AH1221" s="44"/>
      <c r="AI1221" s="128"/>
      <c r="AJ1221" s="128"/>
      <c r="AK1221" s="128"/>
      <c r="AP1221" s="128">
        <v>15.0</v>
      </c>
      <c r="AQ1221" s="128">
        <v>13.0</v>
      </c>
      <c r="AT1221" s="44">
        <v>1220.0</v>
      </c>
      <c r="AU1221" s="44"/>
      <c r="AW1221" s="93"/>
      <c r="AY1221" s="93"/>
      <c r="AZ1221" s="93"/>
      <c r="BA1221" s="93"/>
      <c r="BB1221" s="155"/>
      <c r="BC1221" s="93"/>
      <c r="BE1221" s="93"/>
      <c r="BG1221" s="93"/>
      <c r="BH1221" s="93"/>
      <c r="BI1221" s="93"/>
      <c r="BJ1221" s="155"/>
      <c r="BK1221" s="93"/>
    </row>
    <row r="1222">
      <c r="A1222" s="166">
        <v>44785.03395891204</v>
      </c>
      <c r="B1222" s="44" t="s">
        <v>107</v>
      </c>
      <c r="C1222" s="128">
        <v>917.8470201553068</v>
      </c>
      <c r="D1222" s="128">
        <v>22.0</v>
      </c>
      <c r="E1222" s="128">
        <v>913.8186747868485</v>
      </c>
      <c r="F1222" s="44" t="s">
        <v>92</v>
      </c>
      <c r="G1222" s="128">
        <v>1002.976908647524</v>
      </c>
      <c r="H1222" s="128">
        <v>14.0</v>
      </c>
      <c r="I1222" s="128">
        <v>994.5803204305876</v>
      </c>
      <c r="J1222" s="44" t="s">
        <v>23</v>
      </c>
      <c r="K1222" s="128">
        <v>1472.662856294034</v>
      </c>
      <c r="L1222" s="128">
        <v>18.0</v>
      </c>
      <c r="M1222" s="128">
        <v>1466.087789879429</v>
      </c>
      <c r="N1222" s="44"/>
      <c r="O1222" s="128"/>
      <c r="P1222" s="128"/>
      <c r="Q1222" s="128"/>
      <c r="V1222" s="44" t="s">
        <v>47</v>
      </c>
      <c r="W1222" s="128">
        <v>1099.197746602794</v>
      </c>
      <c r="X1222" s="128">
        <v>22.0</v>
      </c>
      <c r="Y1222" s="128">
        <v>1105.9240957728996</v>
      </c>
      <c r="Z1222" s="44" t="s">
        <v>34</v>
      </c>
      <c r="AA1222" s="128">
        <v>1130.8413961358012</v>
      </c>
      <c r="AB1222" s="128">
        <v>15.0</v>
      </c>
      <c r="AC1222" s="128">
        <v>1133.8372788959475</v>
      </c>
      <c r="AD1222" s="44" t="s">
        <v>27</v>
      </c>
      <c r="AE1222" s="128">
        <v>1185.9009116279562</v>
      </c>
      <c r="AF1222" s="128">
        <v>27.0</v>
      </c>
      <c r="AG1222" s="128">
        <v>1195.1786796977044</v>
      </c>
      <c r="AH1222" s="44"/>
      <c r="AI1222" s="128"/>
      <c r="AJ1222" s="128"/>
      <c r="AK1222" s="128"/>
      <c r="AP1222" s="128">
        <v>11.0</v>
      </c>
      <c r="AQ1222" s="128">
        <v>17.0</v>
      </c>
      <c r="AT1222" s="44">
        <v>1221.0</v>
      </c>
      <c r="AU1222" s="44"/>
      <c r="AW1222" s="93"/>
      <c r="AY1222" s="93"/>
      <c r="AZ1222" s="93"/>
      <c r="BA1222" s="93"/>
      <c r="BB1222" s="155"/>
      <c r="BC1222" s="93"/>
      <c r="BE1222" s="93"/>
      <c r="BG1222" s="93"/>
      <c r="BH1222" s="93"/>
      <c r="BI1222" s="93"/>
      <c r="BJ1222" s="155"/>
      <c r="BK1222" s="93"/>
    </row>
    <row r="1223">
      <c r="A1223" s="166">
        <v>44785.87811318287</v>
      </c>
      <c r="B1223" s="44" t="s">
        <v>82</v>
      </c>
      <c r="C1223" s="128">
        <v>800.0</v>
      </c>
      <c r="D1223" s="128">
        <v>16.0</v>
      </c>
      <c r="E1223" s="128">
        <v>792.1721696305844</v>
      </c>
      <c r="F1223" s="44" t="s">
        <v>34</v>
      </c>
      <c r="G1223" s="128">
        <v>1133.8372788959475</v>
      </c>
      <c r="H1223" s="128">
        <v>12.0</v>
      </c>
      <c r="I1223" s="128">
        <v>1121.8503194123568</v>
      </c>
      <c r="J1223" s="44" t="s">
        <v>27</v>
      </c>
      <c r="K1223" s="128">
        <v>1195.1786796977044</v>
      </c>
      <c r="L1223" s="128">
        <v>13.0</v>
      </c>
      <c r="M1223" s="128">
        <v>1183.9934695507106</v>
      </c>
      <c r="N1223" s="44"/>
      <c r="O1223" s="128"/>
      <c r="P1223" s="128"/>
      <c r="Q1223" s="128"/>
      <c r="V1223" s="44" t="s">
        <v>123</v>
      </c>
      <c r="W1223" s="128">
        <v>641.3672805002004</v>
      </c>
      <c r="X1223" s="128">
        <v>15.0</v>
      </c>
      <c r="Y1223" s="128">
        <v>647.975428316843</v>
      </c>
      <c r="Z1223" s="44" t="s">
        <v>47</v>
      </c>
      <c r="AA1223" s="128">
        <v>1105.9240957728996</v>
      </c>
      <c r="AB1223" s="128">
        <v>17.0</v>
      </c>
      <c r="AC1223" s="128">
        <v>1112.2472909006601</v>
      </c>
      <c r="AD1223" s="44" t="s">
        <v>31</v>
      </c>
      <c r="AE1223" s="128">
        <v>1457.0082154644967</v>
      </c>
      <c r="AF1223" s="128">
        <v>31.0</v>
      </c>
      <c r="AG1223" s="128">
        <v>1475.0768725200935</v>
      </c>
      <c r="AH1223" s="44"/>
      <c r="AI1223" s="128"/>
      <c r="AJ1223" s="128"/>
      <c r="AK1223" s="128"/>
      <c r="AP1223" s="128">
        <v>9.0</v>
      </c>
      <c r="AQ1223" s="128">
        <v>19.0</v>
      </c>
      <c r="AT1223" s="44">
        <v>1222.0</v>
      </c>
      <c r="AU1223" s="44"/>
      <c r="AW1223" s="93"/>
      <c r="AY1223" s="93"/>
      <c r="AZ1223" s="93"/>
      <c r="BA1223" s="93"/>
      <c r="BB1223" s="155"/>
      <c r="BC1223" s="93"/>
      <c r="BE1223" s="93"/>
      <c r="BG1223" s="93"/>
      <c r="BH1223" s="93"/>
      <c r="BI1223" s="93"/>
      <c r="BJ1223" s="155"/>
      <c r="BK1223" s="93"/>
    </row>
    <row r="1224">
      <c r="A1224" s="166">
        <v>44785.929069641206</v>
      </c>
      <c r="B1224" s="44" t="s">
        <v>82</v>
      </c>
      <c r="C1224" s="128">
        <v>992.172169630585</v>
      </c>
      <c r="D1224" s="128">
        <v>19.0</v>
      </c>
      <c r="E1224" s="128">
        <v>982.0970136640266</v>
      </c>
      <c r="F1224" s="44" t="s">
        <v>47</v>
      </c>
      <c r="G1224" s="128">
        <v>1112.2472909006601</v>
      </c>
      <c r="H1224" s="128">
        <v>19.0</v>
      </c>
      <c r="I1224" s="128">
        <v>1101.9411936565994</v>
      </c>
      <c r="J1224" s="44" t="s">
        <v>23</v>
      </c>
      <c r="K1224" s="128">
        <v>1466.087789879429</v>
      </c>
      <c r="L1224" s="128">
        <v>36.0</v>
      </c>
      <c r="M1224" s="128">
        <v>1465.469043090048</v>
      </c>
      <c r="N1224" s="44"/>
      <c r="O1224" s="128"/>
      <c r="P1224" s="128"/>
      <c r="Q1224" s="128"/>
      <c r="V1224" s="44" t="s">
        <v>54</v>
      </c>
      <c r="W1224" s="128">
        <v>886.178656400641</v>
      </c>
      <c r="X1224" s="128">
        <v>26.0</v>
      </c>
      <c r="Y1224" s="128">
        <v>892.9134847140739</v>
      </c>
      <c r="Z1224" s="44" t="s">
        <v>27</v>
      </c>
      <c r="AA1224" s="128">
        <v>1183.9934695507106</v>
      </c>
      <c r="AB1224" s="128">
        <v>28.0</v>
      </c>
      <c r="AC1224" s="128">
        <v>1191.2037776455852</v>
      </c>
      <c r="AD1224" s="44" t="s">
        <v>31</v>
      </c>
      <c r="AE1224" s="128">
        <v>1475.0768725200935</v>
      </c>
      <c r="AF1224" s="128">
        <v>28.0</v>
      </c>
      <c r="AG1224" s="128">
        <v>1482.131736111786</v>
      </c>
      <c r="AH1224" s="44"/>
      <c r="AI1224" s="128"/>
      <c r="AJ1224" s="128"/>
      <c r="AK1224" s="128"/>
      <c r="AP1224" s="128">
        <v>18.0</v>
      </c>
      <c r="AQ1224" s="128">
        <v>24.0</v>
      </c>
      <c r="AT1224" s="44">
        <v>1223.0</v>
      </c>
      <c r="AU1224" s="44"/>
      <c r="AW1224" s="93"/>
      <c r="AY1224" s="93"/>
      <c r="AZ1224" s="93"/>
      <c r="BA1224" s="93"/>
      <c r="BB1224" s="155"/>
      <c r="BC1224" s="93"/>
      <c r="BE1224" s="93"/>
      <c r="BG1224" s="93"/>
      <c r="BH1224" s="93"/>
      <c r="BI1224" s="93"/>
      <c r="BJ1224" s="155"/>
      <c r="BK1224" s="93"/>
    </row>
    <row r="1225">
      <c r="A1225" s="166">
        <v>44785.96095765046</v>
      </c>
      <c r="B1225" s="44" t="s">
        <v>82</v>
      </c>
      <c r="C1225" s="128">
        <v>982.0970136640266</v>
      </c>
      <c r="D1225" s="128">
        <v>12.0</v>
      </c>
      <c r="E1225" s="128">
        <v>968.2167223003113</v>
      </c>
      <c r="F1225" s="44" t="s">
        <v>47</v>
      </c>
      <c r="G1225" s="128">
        <v>1101.9411936565994</v>
      </c>
      <c r="H1225" s="128">
        <v>12.0</v>
      </c>
      <c r="I1225" s="128">
        <v>1087.8261795066853</v>
      </c>
      <c r="J1225" s="44" t="s">
        <v>27</v>
      </c>
      <c r="K1225" s="128">
        <v>1191.2037776455852</v>
      </c>
      <c r="L1225" s="128">
        <v>16.0</v>
      </c>
      <c r="M1225" s="128">
        <v>1181.1990831592148</v>
      </c>
      <c r="N1225" s="44"/>
      <c r="O1225" s="128"/>
      <c r="P1225" s="128"/>
      <c r="Q1225" s="128"/>
      <c r="V1225" s="44" t="s">
        <v>54</v>
      </c>
      <c r="W1225" s="128">
        <v>892.9134847140739</v>
      </c>
      <c r="X1225" s="128">
        <v>25.0</v>
      </c>
      <c r="Y1225" s="128">
        <v>908.8410373758616</v>
      </c>
      <c r="Z1225" s="44" t="s">
        <v>107</v>
      </c>
      <c r="AA1225" s="128">
        <v>913.8186747868485</v>
      </c>
      <c r="AB1225" s="128">
        <v>16.0</v>
      </c>
      <c r="AC1225" s="128">
        <v>920.137884584208</v>
      </c>
      <c r="AD1225" s="44" t="s">
        <v>31</v>
      </c>
      <c r="AE1225" s="128">
        <v>1482.131736111786</v>
      </c>
      <c r="AF1225" s="128">
        <v>26.0</v>
      </c>
      <c r="AG1225" s="128">
        <v>1497.8849736526388</v>
      </c>
      <c r="AH1225" s="44"/>
      <c r="AI1225" s="128"/>
      <c r="AJ1225" s="128"/>
      <c r="AK1225" s="128"/>
      <c r="AP1225" s="128">
        <v>7.0</v>
      </c>
      <c r="AQ1225" s="128">
        <v>21.0</v>
      </c>
      <c r="AT1225" s="44">
        <v>1224.0</v>
      </c>
      <c r="AU1225" s="44"/>
      <c r="AW1225" s="93"/>
      <c r="AY1225" s="93"/>
      <c r="AZ1225" s="93"/>
      <c r="BA1225" s="93"/>
      <c r="BB1225" s="155"/>
      <c r="BC1225" s="93"/>
      <c r="BE1225" s="93"/>
      <c r="BG1225" s="93"/>
      <c r="BH1225" s="93"/>
      <c r="BI1225" s="93"/>
      <c r="BJ1225" s="155"/>
      <c r="BK1225" s="93"/>
    </row>
    <row r="1226">
      <c r="A1226" s="166">
        <v>44786.00271050926</v>
      </c>
      <c r="B1226" s="44" t="s">
        <v>47</v>
      </c>
      <c r="C1226" s="128">
        <v>1087.8261795066853</v>
      </c>
      <c r="D1226" s="128">
        <v>17.0</v>
      </c>
      <c r="E1226" s="128">
        <v>1083.5987484658447</v>
      </c>
      <c r="F1226" s="44" t="s">
        <v>245</v>
      </c>
      <c r="G1226" s="128">
        <v>1100.9779386139087</v>
      </c>
      <c r="H1226" s="128">
        <v>11.0</v>
      </c>
      <c r="I1226" s="128">
        <v>1093.9074412386447</v>
      </c>
      <c r="J1226" s="44" t="s">
        <v>27</v>
      </c>
      <c r="K1226" s="128">
        <v>1181.1990831592148</v>
      </c>
      <c r="L1226" s="128">
        <v>14.0</v>
      </c>
      <c r="M1226" s="128">
        <v>1175.4970115753194</v>
      </c>
      <c r="N1226" s="44"/>
      <c r="O1226" s="128"/>
      <c r="P1226" s="128"/>
      <c r="Q1226" s="128"/>
      <c r="V1226" s="44" t="s">
        <v>107</v>
      </c>
      <c r="W1226" s="128">
        <v>920.137884584208</v>
      </c>
      <c r="X1226" s="128">
        <v>13.0</v>
      </c>
      <c r="Y1226" s="128">
        <v>922.8489860778069</v>
      </c>
      <c r="Z1226" s="44" t="s">
        <v>54</v>
      </c>
      <c r="AA1226" s="128">
        <v>1008.84103737586</v>
      </c>
      <c r="AB1226" s="128">
        <v>24.0</v>
      </c>
      <c r="AC1226" s="128">
        <v>1016.5961700832667</v>
      </c>
      <c r="AD1226" s="44" t="s">
        <v>31</v>
      </c>
      <c r="AE1226" s="128">
        <v>1497.8849736526388</v>
      </c>
      <c r="AF1226" s="128">
        <v>22.0</v>
      </c>
      <c r="AG1226" s="128">
        <v>1504.4187394516332</v>
      </c>
      <c r="AH1226" s="44"/>
      <c r="AI1226" s="128"/>
      <c r="AJ1226" s="128"/>
      <c r="AK1226" s="128"/>
      <c r="AP1226" s="128">
        <v>10.0</v>
      </c>
      <c r="AQ1226" s="128">
        <v>18.0</v>
      </c>
      <c r="AT1226" s="44">
        <v>1225.0</v>
      </c>
      <c r="AU1226" s="44"/>
      <c r="AW1226" s="93"/>
      <c r="AY1226" s="93"/>
      <c r="AZ1226" s="93"/>
      <c r="BA1226" s="93"/>
      <c r="BB1226" s="155"/>
      <c r="BC1226" s="93"/>
      <c r="BE1226" s="93"/>
      <c r="BG1226" s="93"/>
      <c r="BH1226" s="93"/>
      <c r="BI1226" s="93"/>
      <c r="BJ1226" s="155"/>
      <c r="BK1226" s="93"/>
    </row>
    <row r="1227">
      <c r="A1227" s="166">
        <v>44787.89177466436</v>
      </c>
      <c r="B1227" s="44" t="s">
        <v>47</v>
      </c>
      <c r="C1227" s="128">
        <v>1083.5987484658447</v>
      </c>
      <c r="D1227" s="128">
        <v>17.0</v>
      </c>
      <c r="E1227" s="128">
        <v>1079.089692580027</v>
      </c>
      <c r="F1227" s="44" t="s">
        <v>34</v>
      </c>
      <c r="G1227" s="128">
        <v>1121.8503194123568</v>
      </c>
      <c r="H1227" s="128">
        <v>15.0</v>
      </c>
      <c r="I1227" s="128">
        <v>1116.5367261448782</v>
      </c>
      <c r="J1227" s="44" t="s">
        <v>27</v>
      </c>
      <c r="K1227" s="128">
        <v>1175.4970115753194</v>
      </c>
      <c r="L1227" s="128">
        <v>18.0</v>
      </c>
      <c r="M1227" s="128">
        <v>1171.3196607286156</v>
      </c>
      <c r="N1227" s="44"/>
      <c r="O1227" s="128"/>
      <c r="P1227" s="128"/>
      <c r="Q1227" s="128"/>
      <c r="V1227" s="44" t="s">
        <v>82</v>
      </c>
      <c r="W1227" s="128">
        <v>968.2167223003113</v>
      </c>
      <c r="X1227" s="128">
        <v>12.0</v>
      </c>
      <c r="Y1227" s="128">
        <v>969.7602061009217</v>
      </c>
      <c r="Z1227" s="44" t="s">
        <v>54</v>
      </c>
      <c r="AA1227" s="128">
        <v>1016.5961700832667</v>
      </c>
      <c r="AB1227" s="128">
        <v>17.0</v>
      </c>
      <c r="AC1227" s="128">
        <v>1020.0206626891988</v>
      </c>
      <c r="AD1227" s="44" t="s">
        <v>31</v>
      </c>
      <c r="AE1227" s="128">
        <v>1504.4187394516332</v>
      </c>
      <c r="AF1227" s="128">
        <v>32.0</v>
      </c>
      <c r="AG1227" s="128">
        <v>1513.4507630450905</v>
      </c>
      <c r="AH1227" s="44"/>
      <c r="AI1227" s="128"/>
      <c r="AJ1227" s="128"/>
      <c r="AK1227" s="128"/>
      <c r="AP1227" s="128">
        <v>11.0</v>
      </c>
      <c r="AQ1227" s="128">
        <v>17.0</v>
      </c>
      <c r="AT1227" s="44">
        <v>1226.0</v>
      </c>
      <c r="AU1227" s="44"/>
      <c r="AW1227" s="93"/>
      <c r="AY1227" s="93"/>
      <c r="AZ1227" s="93"/>
      <c r="BA1227" s="93"/>
      <c r="BB1227" s="155"/>
      <c r="BC1227" s="93"/>
      <c r="BE1227" s="93"/>
      <c r="BG1227" s="93"/>
      <c r="BH1227" s="93"/>
      <c r="BI1227" s="93"/>
      <c r="BJ1227" s="155"/>
      <c r="BK1227" s="93"/>
    </row>
    <row r="1228">
      <c r="A1228" s="166">
        <v>44787.934981377315</v>
      </c>
      <c r="B1228" s="44" t="s">
        <v>82</v>
      </c>
      <c r="C1228" s="128">
        <v>969.7602061009217</v>
      </c>
      <c r="D1228" s="128">
        <v>10.0</v>
      </c>
      <c r="E1228" s="128">
        <v>943.7951248266393</v>
      </c>
      <c r="F1228" s="44" t="s">
        <v>27</v>
      </c>
      <c r="G1228" s="128">
        <v>1171.3196607286156</v>
      </c>
      <c r="H1228" s="128">
        <v>14.0</v>
      </c>
      <c r="I1228" s="128">
        <v>1152.284742002898</v>
      </c>
      <c r="J1228" s="44"/>
      <c r="K1228" s="128"/>
      <c r="L1228" s="128"/>
      <c r="M1228" s="128"/>
      <c r="N1228" s="44"/>
      <c r="O1228" s="128"/>
      <c r="P1228" s="128"/>
      <c r="Q1228" s="128"/>
      <c r="V1228" s="44" t="s">
        <v>54</v>
      </c>
      <c r="W1228" s="128">
        <v>1020.0206626891988</v>
      </c>
      <c r="X1228" s="128">
        <v>21.0</v>
      </c>
      <c r="Y1228" s="128">
        <v>1040.8101946020824</v>
      </c>
      <c r="Z1228" s="44" t="s">
        <v>47</v>
      </c>
      <c r="AA1228" s="128">
        <v>1079.089692580027</v>
      </c>
      <c r="AB1228" s="128">
        <v>23.0</v>
      </c>
      <c r="AC1228" s="128">
        <v>1103.3001606671432</v>
      </c>
      <c r="AD1228" s="44"/>
      <c r="AE1228" s="128"/>
      <c r="AF1228" s="128"/>
      <c r="AG1228" s="128"/>
      <c r="AH1228" s="44"/>
      <c r="AI1228" s="128"/>
      <c r="AJ1228" s="128"/>
      <c r="AK1228" s="128"/>
      <c r="AP1228" s="128">
        <v>7.0</v>
      </c>
      <c r="AQ1228" s="128">
        <v>21.0</v>
      </c>
      <c r="AT1228" s="44">
        <v>1227.0</v>
      </c>
      <c r="AU1228" s="44"/>
      <c r="AW1228" s="93"/>
      <c r="AY1228" s="93"/>
      <c r="AZ1228" s="93"/>
      <c r="BA1228" s="93"/>
      <c r="BB1228" s="155"/>
      <c r="BC1228" s="93"/>
      <c r="BE1228" s="93"/>
      <c r="BG1228" s="93"/>
      <c r="BH1228" s="93"/>
      <c r="BI1228" s="93"/>
      <c r="BJ1228" s="155"/>
      <c r="BK1228" s="93"/>
    </row>
    <row r="1229">
      <c r="A1229" s="166">
        <v>44789.93779640047</v>
      </c>
      <c r="B1229" s="44" t="s">
        <v>54</v>
      </c>
      <c r="C1229" s="128">
        <v>1040.8101946020824</v>
      </c>
      <c r="D1229" s="128">
        <v>25.0</v>
      </c>
      <c r="E1229" s="128">
        <v>1046.2931241200822</v>
      </c>
      <c r="F1229" s="44" t="s">
        <v>47</v>
      </c>
      <c r="G1229" s="128">
        <v>1103.3001606671432</v>
      </c>
      <c r="H1229" s="128">
        <v>21.0</v>
      </c>
      <c r="I1229" s="128">
        <v>1107.3968056480658</v>
      </c>
      <c r="J1229" s="44" t="s">
        <v>34</v>
      </c>
      <c r="K1229" s="128">
        <v>1116.5367261448782</v>
      </c>
      <c r="L1229" s="128">
        <v>16.0</v>
      </c>
      <c r="M1229" s="128">
        <v>1118.957151645956</v>
      </c>
      <c r="N1229" s="44"/>
      <c r="O1229" s="128"/>
      <c r="P1229" s="128"/>
      <c r="Q1229" s="128"/>
      <c r="V1229" s="44" t="s">
        <v>486</v>
      </c>
      <c r="W1229" s="128">
        <v>888.8080824858145</v>
      </c>
      <c r="X1229" s="128">
        <v>15.0</v>
      </c>
      <c r="Y1229" s="128">
        <v>883.8287494679208</v>
      </c>
      <c r="Z1229" s="44" t="s">
        <v>82</v>
      </c>
      <c r="AA1229" s="128">
        <v>943.7951248266393</v>
      </c>
      <c r="AB1229" s="128">
        <v>11.0</v>
      </c>
      <c r="AC1229" s="128">
        <v>937.411674247857</v>
      </c>
      <c r="AD1229" s="44" t="s">
        <v>31</v>
      </c>
      <c r="AE1229" s="128">
        <v>1513.4507630450905</v>
      </c>
      <c r="AF1229" s="128">
        <v>29.0</v>
      </c>
      <c r="AG1229" s="128">
        <v>1512.8135466417664</v>
      </c>
      <c r="AH1229" s="44"/>
      <c r="AI1229" s="128"/>
      <c r="AJ1229" s="128"/>
      <c r="AK1229" s="128"/>
      <c r="AP1229" s="128">
        <v>15.0</v>
      </c>
      <c r="AQ1229" s="128">
        <v>13.0</v>
      </c>
      <c r="AT1229" s="44">
        <v>1228.0</v>
      </c>
      <c r="AU1229" s="44"/>
      <c r="AW1229" s="93"/>
      <c r="AY1229" s="93"/>
      <c r="AZ1229" s="93"/>
      <c r="BA1229" s="93"/>
      <c r="BB1229" s="155"/>
      <c r="BC1229" s="93"/>
      <c r="BE1229" s="93"/>
      <c r="BG1229" s="93"/>
      <c r="BH1229" s="93"/>
      <c r="BI1229" s="93"/>
      <c r="BJ1229" s="155"/>
      <c r="BK1229" s="93"/>
    </row>
    <row r="1230">
      <c r="A1230" s="166">
        <v>44789.984769456016</v>
      </c>
      <c r="B1230" s="44" t="s">
        <v>486</v>
      </c>
      <c r="C1230" s="128">
        <v>883.8287494679208</v>
      </c>
      <c r="D1230" s="128">
        <v>17.0</v>
      </c>
      <c r="E1230" s="128">
        <v>879.2109653579807</v>
      </c>
      <c r="F1230" s="44" t="s">
        <v>107</v>
      </c>
      <c r="G1230" s="128">
        <v>922.8489860778069</v>
      </c>
      <c r="H1230" s="128">
        <v>8.0</v>
      </c>
      <c r="I1230" s="128">
        <v>915.1751118641777</v>
      </c>
      <c r="J1230" s="44" t="s">
        <v>82</v>
      </c>
      <c r="K1230" s="128">
        <v>937.411674247857</v>
      </c>
      <c r="L1230" s="128">
        <v>10.0</v>
      </c>
      <c r="M1230" s="128">
        <v>930.385077946295</v>
      </c>
      <c r="N1230" s="44" t="s">
        <v>54</v>
      </c>
      <c r="O1230" s="128">
        <v>1046.2931241200822</v>
      </c>
      <c r="P1230" s="128">
        <v>35.0</v>
      </c>
      <c r="Q1230" s="128">
        <v>1046.2831241200822</v>
      </c>
      <c r="R1230" s="44" t="s">
        <v>34</v>
      </c>
      <c r="S1230" s="128">
        <v>1118.957151645956</v>
      </c>
      <c r="T1230" s="128">
        <v>26.0</v>
      </c>
      <c r="U1230" s="128">
        <v>1117.0880618926547</v>
      </c>
      <c r="V1230" s="44" t="s">
        <v>123</v>
      </c>
      <c r="W1230" s="128">
        <v>647.975428316843</v>
      </c>
      <c r="X1230" s="128">
        <v>19.0</v>
      </c>
      <c r="Y1230" s="128">
        <v>651.3775502892641</v>
      </c>
      <c r="Z1230" s="44" t="s">
        <v>108</v>
      </c>
      <c r="AA1230" s="128">
        <v>751.542494646052</v>
      </c>
      <c r="AB1230" s="128">
        <v>27.0</v>
      </c>
      <c r="AC1230" s="128">
        <v>757.3336218387112</v>
      </c>
      <c r="AD1230" s="44" t="s">
        <v>121</v>
      </c>
      <c r="AE1230" s="128">
        <v>891.400043850018</v>
      </c>
      <c r="AF1230" s="128">
        <v>13.0</v>
      </c>
      <c r="AG1230" s="128">
        <v>892.2300254286166</v>
      </c>
      <c r="AH1230" s="44" t="s">
        <v>47</v>
      </c>
      <c r="AI1230" s="128">
        <v>1107.3968056480658</v>
      </c>
      <c r="AJ1230" s="128">
        <v>20.0</v>
      </c>
      <c r="AK1230" s="128">
        <v>1110.2834965855075</v>
      </c>
      <c r="AL1230" s="44" t="s">
        <v>31</v>
      </c>
      <c r="AM1230" s="128">
        <v>1512.8135466417664</v>
      </c>
      <c r="AN1230" s="128">
        <v>33.0</v>
      </c>
      <c r="AO1230" s="128">
        <v>1519.9036249606459</v>
      </c>
      <c r="AP1230" s="128">
        <v>11.0</v>
      </c>
      <c r="AQ1230" s="128">
        <v>17.0</v>
      </c>
      <c r="AT1230" s="44">
        <v>1229.0</v>
      </c>
      <c r="AU1230" s="44"/>
      <c r="AW1230" s="93"/>
      <c r="AY1230" s="93"/>
      <c r="AZ1230" s="93"/>
      <c r="BA1230" s="93"/>
      <c r="BB1230" s="155"/>
      <c r="BC1230" s="93"/>
      <c r="BE1230" s="93"/>
      <c r="BG1230" s="93"/>
      <c r="BH1230" s="93"/>
      <c r="BI1230" s="93"/>
      <c r="BJ1230" s="155"/>
      <c r="BK1230" s="93"/>
    </row>
    <row r="1231">
      <c r="A1231" s="165">
        <v>44790.062569444446</v>
      </c>
      <c r="B1231" s="44" t="s">
        <v>123</v>
      </c>
      <c r="C1231" s="128">
        <v>651.3775502892641</v>
      </c>
      <c r="D1231" s="128">
        <v>20.0</v>
      </c>
      <c r="E1231" s="128">
        <v>648.5801958703388</v>
      </c>
      <c r="F1231" s="44" t="s">
        <v>486</v>
      </c>
      <c r="G1231" s="128">
        <v>879.2109653579807</v>
      </c>
      <c r="H1231" s="128">
        <v>24.0</v>
      </c>
      <c r="I1231" s="128">
        <v>876.76016311796</v>
      </c>
      <c r="J1231" s="44" t="s">
        <v>121</v>
      </c>
      <c r="K1231" s="128">
        <v>892.2300254286166</v>
      </c>
      <c r="L1231" s="128">
        <v>10.0</v>
      </c>
      <c r="M1231" s="128">
        <v>887.4320235198339</v>
      </c>
      <c r="N1231" s="44" t="s">
        <v>107</v>
      </c>
      <c r="O1231" s="128">
        <v>915.1751118641777</v>
      </c>
      <c r="P1231" s="128">
        <v>41.0</v>
      </c>
      <c r="Q1231" s="128">
        <v>915.1651118641777</v>
      </c>
      <c r="R1231" s="44" t="s">
        <v>34</v>
      </c>
      <c r="S1231" s="128">
        <v>1117.0880618926547</v>
      </c>
      <c r="T1231" s="128">
        <v>38.0</v>
      </c>
      <c r="U1231" s="128">
        <v>1116.7888324247338</v>
      </c>
      <c r="V1231" s="44" t="s">
        <v>125</v>
      </c>
      <c r="W1231" s="128">
        <v>610.5789503934062</v>
      </c>
      <c r="X1231" s="128">
        <v>32.0</v>
      </c>
      <c r="Y1231" s="128">
        <v>613.3174295469802</v>
      </c>
      <c r="Z1231" s="44" t="s">
        <v>108</v>
      </c>
      <c r="AA1231" s="128">
        <v>757.3336218387112</v>
      </c>
      <c r="AB1231" s="128">
        <v>23.0</v>
      </c>
      <c r="AC1231" s="128">
        <v>758.3012933747461</v>
      </c>
      <c r="AD1231" s="44" t="s">
        <v>82</v>
      </c>
      <c r="AE1231" s="128">
        <v>930.385077946295</v>
      </c>
      <c r="AF1231" s="128">
        <v>31.0</v>
      </c>
      <c r="AG1231" s="128">
        <v>932.4540639216193</v>
      </c>
      <c r="AH1231" s="44" t="s">
        <v>54</v>
      </c>
      <c r="AI1231" s="128">
        <v>1046.2831241200822</v>
      </c>
      <c r="AJ1231" s="128">
        <v>41.0</v>
      </c>
      <c r="AK1231" s="128">
        <v>1049.9158243842141</v>
      </c>
      <c r="AL1231" s="44" t="s">
        <v>47</v>
      </c>
      <c r="AM1231" s="128">
        <v>1110.2834965855075</v>
      </c>
      <c r="AN1231" s="128">
        <v>23.0</v>
      </c>
      <c r="AO1231" s="128">
        <v>1110.8756596564424</v>
      </c>
      <c r="AP1231" s="128">
        <v>20.0</v>
      </c>
      <c r="AQ1231" s="128">
        <v>22.0</v>
      </c>
      <c r="AT1231" s="44">
        <v>1230.0</v>
      </c>
      <c r="AU1231" s="44"/>
      <c r="AW1231" s="93"/>
      <c r="AY1231" s="93"/>
      <c r="AZ1231" s="93"/>
      <c r="BA1231" s="93"/>
      <c r="BB1231" s="155"/>
      <c r="BC1231" s="93"/>
      <c r="BE1231" s="93"/>
      <c r="BG1231" s="93"/>
      <c r="BH1231" s="93"/>
      <c r="BI1231" s="93"/>
      <c r="BJ1231" s="155"/>
      <c r="BK1231" s="93"/>
    </row>
    <row r="1232">
      <c r="A1232" s="166">
        <v>44795.96680740741</v>
      </c>
      <c r="B1232" s="44" t="s">
        <v>82</v>
      </c>
      <c r="C1232" s="128">
        <v>932.4540639216193</v>
      </c>
      <c r="D1232" s="128">
        <v>16.0</v>
      </c>
      <c r="E1232" s="128">
        <v>932.7030857009165</v>
      </c>
      <c r="F1232" s="44" t="s">
        <v>92</v>
      </c>
      <c r="G1232" s="128">
        <v>994.5803204305876</v>
      </c>
      <c r="H1232" s="128">
        <v>20.0</v>
      </c>
      <c r="I1232" s="128">
        <v>995.4442699137893</v>
      </c>
      <c r="J1232" s="44" t="s">
        <v>23</v>
      </c>
      <c r="K1232" s="128">
        <v>1465.469043090048</v>
      </c>
      <c r="L1232" s="128">
        <v>45.0</v>
      </c>
      <c r="M1232" s="128">
        <v>1470.356071827549</v>
      </c>
      <c r="N1232" s="44"/>
      <c r="O1232" s="128"/>
      <c r="P1232" s="128"/>
      <c r="Q1232" s="128"/>
      <c r="V1232" s="44" t="s">
        <v>112</v>
      </c>
      <c r="W1232" s="128">
        <v>996.5963630129835</v>
      </c>
      <c r="X1232" s="128">
        <v>25.0</v>
      </c>
      <c r="Y1232" s="128">
        <v>994.2051472906597</v>
      </c>
      <c r="Z1232" s="44" t="s">
        <v>47</v>
      </c>
      <c r="AA1232" s="128">
        <v>1110.8756596564424</v>
      </c>
      <c r="AB1232" s="128">
        <v>29.0</v>
      </c>
      <c r="AC1232" s="128">
        <v>1109.080403548182</v>
      </c>
      <c r="AD1232" s="44" t="s">
        <v>27</v>
      </c>
      <c r="AE1232" s="128">
        <v>1152.284742002898</v>
      </c>
      <c r="AF1232" s="128">
        <v>29.0</v>
      </c>
      <c r="AG1232" s="128">
        <v>1150.4712138334821</v>
      </c>
      <c r="AH1232" s="44"/>
      <c r="AI1232" s="128"/>
      <c r="AJ1232" s="128"/>
      <c r="AK1232" s="128"/>
      <c r="AP1232" s="128">
        <v>22.0</v>
      </c>
      <c r="AQ1232" s="128">
        <v>20.0</v>
      </c>
      <c r="AS1232" s="44" t="s">
        <v>362</v>
      </c>
      <c r="AT1232" s="44">
        <v>1231.0</v>
      </c>
      <c r="AU1232" s="44"/>
      <c r="AW1232" s="93"/>
      <c r="AY1232" s="93"/>
      <c r="AZ1232" s="93"/>
      <c r="BA1232" s="93"/>
      <c r="BB1232" s="155"/>
      <c r="BC1232" s="93"/>
      <c r="BE1232" s="93"/>
      <c r="BG1232" s="93"/>
      <c r="BH1232" s="93"/>
      <c r="BI1232" s="93"/>
      <c r="BJ1232" s="155"/>
      <c r="BK1232" s="93"/>
    </row>
    <row r="1233">
      <c r="A1233" s="166">
        <v>44796.00268572917</v>
      </c>
      <c r="B1233" s="44" t="s">
        <v>107</v>
      </c>
      <c r="C1233" s="128">
        <v>915.1651118641777</v>
      </c>
      <c r="D1233" s="128">
        <v>10.0</v>
      </c>
      <c r="E1233" s="128">
        <v>905.465565785793</v>
      </c>
      <c r="F1233" s="44" t="s">
        <v>82</v>
      </c>
      <c r="G1233" s="128">
        <v>932.7030857009165</v>
      </c>
      <c r="H1233" s="128">
        <v>9.0</v>
      </c>
      <c r="I1233" s="128">
        <v>922.5124277059207</v>
      </c>
      <c r="J1233" s="44" t="s">
        <v>47</v>
      </c>
      <c r="K1233" s="128">
        <v>1109.080403548182</v>
      </c>
      <c r="L1233" s="128">
        <v>32.0</v>
      </c>
      <c r="M1233" s="128">
        <v>1109.070403548182</v>
      </c>
      <c r="N1233" s="44" t="s">
        <v>27</v>
      </c>
      <c r="O1233" s="128">
        <v>1150.4712138334821</v>
      </c>
      <c r="P1233" s="128">
        <v>27.0</v>
      </c>
      <c r="Q1233" s="128">
        <v>1148.2524692999257</v>
      </c>
      <c r="V1233" s="44" t="s">
        <v>125</v>
      </c>
      <c r="W1233" s="128">
        <v>613.3174295469802</v>
      </c>
      <c r="X1233" s="128">
        <v>22.0</v>
      </c>
      <c r="Y1233" s="128">
        <v>620.5662094397092</v>
      </c>
      <c r="Z1233" s="44" t="s">
        <v>112</v>
      </c>
      <c r="AA1233" s="128">
        <v>994.2051472906597</v>
      </c>
      <c r="AB1233" s="128">
        <v>21.0</v>
      </c>
      <c r="AC1233" s="128">
        <v>999.9871208852553</v>
      </c>
      <c r="AD1233" s="44" t="s">
        <v>92</v>
      </c>
      <c r="AE1233" s="128">
        <v>995.4442699137893</v>
      </c>
      <c r="AF1233" s="128">
        <v>21.0</v>
      </c>
      <c r="AG1233" s="128">
        <v>1001.2243023188141</v>
      </c>
      <c r="AH1233" s="44" t="s">
        <v>23</v>
      </c>
      <c r="AI1233" s="128">
        <v>1470.356071827549</v>
      </c>
      <c r="AJ1233" s="128">
        <v>16.0</v>
      </c>
      <c r="AK1233" s="128">
        <v>1473.5452859351997</v>
      </c>
      <c r="AP1233" s="128">
        <v>12.0</v>
      </c>
      <c r="AQ1233" s="128">
        <v>16.0</v>
      </c>
      <c r="AS1233" s="44" t="s">
        <v>339</v>
      </c>
      <c r="AT1233" s="44">
        <v>1232.0</v>
      </c>
      <c r="AU1233" s="44"/>
      <c r="AW1233" s="93"/>
      <c r="AY1233" s="93"/>
      <c r="AZ1233" s="93"/>
      <c r="BA1233" s="93"/>
      <c r="BB1233" s="155"/>
      <c r="BC1233" s="93"/>
      <c r="BE1233" s="93"/>
      <c r="BG1233" s="93"/>
      <c r="BH1233" s="93"/>
      <c r="BI1233" s="93"/>
      <c r="BJ1233" s="155"/>
      <c r="BK1233" s="93"/>
    </row>
    <row r="1234">
      <c r="A1234" s="166">
        <v>44796.040702071754</v>
      </c>
      <c r="B1234" s="44" t="s">
        <v>108</v>
      </c>
      <c r="C1234" s="128">
        <v>758.3012933747461</v>
      </c>
      <c r="D1234" s="128">
        <v>12.0</v>
      </c>
      <c r="E1234" s="128">
        <v>758.6555633645052</v>
      </c>
      <c r="F1234" s="44" t="s">
        <v>82</v>
      </c>
      <c r="G1234" s="128">
        <v>922.5124277059207</v>
      </c>
      <c r="H1234" s="128">
        <v>18.0</v>
      </c>
      <c r="I1234" s="128">
        <v>923.2919066852513</v>
      </c>
      <c r="J1234" s="44" t="s">
        <v>23</v>
      </c>
      <c r="K1234" s="128">
        <v>1473.5452859351997</v>
      </c>
      <c r="L1234" s="128">
        <v>32.0</v>
      </c>
      <c r="M1234" s="128">
        <v>1475.41153696611</v>
      </c>
      <c r="N1234" s="44"/>
      <c r="O1234" s="128"/>
      <c r="P1234" s="128"/>
      <c r="Q1234" s="128"/>
      <c r="V1234" s="44" t="s">
        <v>125</v>
      </c>
      <c r="W1234" s="128">
        <v>620.5662094397092</v>
      </c>
      <c r="X1234" s="128">
        <v>13.0</v>
      </c>
      <c r="Y1234" s="128">
        <v>619.3176262054337</v>
      </c>
      <c r="Z1234" s="44" t="s">
        <v>112</v>
      </c>
      <c r="AA1234" s="128">
        <v>999.9871208852553</v>
      </c>
      <c r="AB1234" s="128">
        <v>21.0</v>
      </c>
      <c r="AC1234" s="128">
        <v>999.2473828136773</v>
      </c>
      <c r="AD1234" s="44" t="s">
        <v>47</v>
      </c>
      <c r="AE1234" s="128">
        <v>1109.070403548182</v>
      </c>
      <c r="AF1234" s="128">
        <v>18.0</v>
      </c>
      <c r="AG1234" s="128">
        <v>1108.0587248540355</v>
      </c>
      <c r="AH1234" s="44"/>
      <c r="AI1234" s="128"/>
      <c r="AJ1234" s="128"/>
      <c r="AK1234" s="128"/>
      <c r="AP1234" s="128">
        <v>17.0</v>
      </c>
      <c r="AQ1234" s="128">
        <v>11.0</v>
      </c>
      <c r="AS1234" s="44" t="s">
        <v>244</v>
      </c>
      <c r="AT1234" s="44">
        <v>1233.0</v>
      </c>
      <c r="AU1234" s="44"/>
      <c r="AW1234" s="93"/>
      <c r="AY1234" s="93"/>
      <c r="AZ1234" s="93"/>
      <c r="BA1234" s="93"/>
      <c r="BB1234" s="155"/>
      <c r="BC1234" s="93"/>
      <c r="BE1234" s="93"/>
      <c r="BG1234" s="93"/>
      <c r="BH1234" s="93"/>
      <c r="BI1234" s="93"/>
      <c r="BJ1234" s="155"/>
      <c r="BK1234" s="93"/>
    </row>
    <row r="1235">
      <c r="A1235" s="166">
        <v>44797.916191111115</v>
      </c>
      <c r="B1235" s="44" t="s">
        <v>123</v>
      </c>
      <c r="C1235" s="128">
        <v>648.5801958703388</v>
      </c>
      <c r="D1235" s="128">
        <v>15.0</v>
      </c>
      <c r="E1235" s="128">
        <v>642.1743620158613</v>
      </c>
      <c r="F1235" s="44" t="s">
        <v>92</v>
      </c>
      <c r="G1235" s="128">
        <v>1001.2243023188141</v>
      </c>
      <c r="H1235" s="128">
        <v>13.0</v>
      </c>
      <c r="I1235" s="128">
        <v>992.8240392793999</v>
      </c>
      <c r="J1235" s="44" t="s">
        <v>47</v>
      </c>
      <c r="K1235" s="128">
        <v>1108.0587248540355</v>
      </c>
      <c r="L1235" s="128">
        <v>17.0</v>
      </c>
      <c r="M1235" s="128">
        <v>1101.8648217479272</v>
      </c>
      <c r="N1235" s="44"/>
      <c r="O1235" s="128"/>
      <c r="P1235" s="128"/>
      <c r="Q1235" s="128"/>
      <c r="V1235" s="44" t="s">
        <v>108</v>
      </c>
      <c r="W1235" s="128">
        <v>758.6555633645052</v>
      </c>
      <c r="X1235" s="128">
        <v>15.0</v>
      </c>
      <c r="Y1235" s="128">
        <v>762.0275372023973</v>
      </c>
      <c r="Z1235" s="44" t="s">
        <v>82</v>
      </c>
      <c r="AA1235" s="128">
        <v>923.2919066852513</v>
      </c>
      <c r="AB1235" s="128">
        <v>20.0</v>
      </c>
      <c r="AC1235" s="128">
        <v>929.0371618415209</v>
      </c>
      <c r="AD1235" s="44" t="s">
        <v>54</v>
      </c>
      <c r="AE1235" s="128">
        <v>1049.9158243842141</v>
      </c>
      <c r="AF1235" s="128">
        <v>31.0</v>
      </c>
      <c r="AG1235" s="128">
        <v>1061.7985953900525</v>
      </c>
      <c r="AH1235" s="44"/>
      <c r="AI1235" s="128"/>
      <c r="AJ1235" s="128"/>
      <c r="AK1235" s="128"/>
      <c r="AP1235" s="128">
        <v>12.0</v>
      </c>
      <c r="AQ1235" s="128">
        <v>16.0</v>
      </c>
      <c r="AT1235" s="44">
        <v>1234.0</v>
      </c>
      <c r="AU1235" s="44"/>
      <c r="AW1235" s="93"/>
      <c r="AY1235" s="93"/>
      <c r="AZ1235" s="93"/>
      <c r="BA1235" s="93"/>
      <c r="BB1235" s="155"/>
      <c r="BC1235" s="93"/>
      <c r="BE1235" s="93"/>
      <c r="BG1235" s="93"/>
      <c r="BH1235" s="93"/>
      <c r="BI1235" s="93"/>
      <c r="BJ1235" s="155"/>
      <c r="BK1235" s="93"/>
    </row>
    <row r="1236">
      <c r="A1236" s="166">
        <v>44797.94442810185</v>
      </c>
      <c r="B1236" s="44" t="s">
        <v>123</v>
      </c>
      <c r="C1236" s="128">
        <v>642.1743620158613</v>
      </c>
      <c r="D1236" s="128">
        <v>19.0</v>
      </c>
      <c r="E1236" s="128">
        <v>645.9646117564224</v>
      </c>
      <c r="F1236" s="44" t="s">
        <v>92</v>
      </c>
      <c r="G1236" s="128">
        <v>992.8240392793999</v>
      </c>
      <c r="H1236" s="128">
        <v>15.0</v>
      </c>
      <c r="I1236" s="128">
        <v>995.0082940419263</v>
      </c>
      <c r="J1236" s="44" t="s">
        <v>27</v>
      </c>
      <c r="K1236" s="128">
        <v>1148.2524692999257</v>
      </c>
      <c r="L1236" s="128">
        <v>22.0</v>
      </c>
      <c r="M1236" s="128">
        <v>1152.2779647968382</v>
      </c>
      <c r="N1236" s="44"/>
      <c r="O1236" s="128"/>
      <c r="P1236" s="128"/>
      <c r="Q1236" s="128"/>
      <c r="V1236" s="44" t="s">
        <v>108</v>
      </c>
      <c r="W1236" s="128">
        <v>762.0275372023973</v>
      </c>
      <c r="X1236" s="128">
        <v>23.0</v>
      </c>
      <c r="Y1236" s="128">
        <v>760.3581128327145</v>
      </c>
      <c r="Z1236" s="44" t="s">
        <v>82</v>
      </c>
      <c r="AA1236" s="128">
        <v>929.0371618415209</v>
      </c>
      <c r="AB1236" s="128">
        <v>15.0</v>
      </c>
      <c r="AC1236" s="128">
        <v>924.9378941750077</v>
      </c>
      <c r="AD1236" s="44" t="s">
        <v>47</v>
      </c>
      <c r="AE1236" s="128">
        <v>1101.8648217479272</v>
      </c>
      <c r="AF1236" s="128">
        <v>15.0</v>
      </c>
      <c r="AG1236" s="128">
        <v>1097.6335137841231</v>
      </c>
      <c r="AH1236" s="44"/>
      <c r="AI1236" s="128"/>
      <c r="AJ1236" s="128"/>
      <c r="AK1236" s="128"/>
      <c r="AP1236" s="128">
        <v>15.0</v>
      </c>
      <c r="AQ1236" s="128">
        <v>13.0</v>
      </c>
      <c r="AT1236" s="44">
        <v>1235.0</v>
      </c>
      <c r="AU1236" s="44"/>
      <c r="AW1236" s="93"/>
      <c r="AY1236" s="93"/>
      <c r="AZ1236" s="93"/>
      <c r="BA1236" s="93"/>
      <c r="BB1236" s="155"/>
      <c r="BC1236" s="93"/>
      <c r="BE1236" s="93"/>
      <c r="BG1236" s="93"/>
      <c r="BH1236" s="93"/>
      <c r="BI1236" s="93"/>
      <c r="BJ1236" s="155"/>
      <c r="BK1236" s="93"/>
    </row>
    <row r="1237">
      <c r="A1237" s="166">
        <v>44797.982315671296</v>
      </c>
      <c r="B1237" s="44" t="s">
        <v>82</v>
      </c>
      <c r="C1237" s="128">
        <v>924.9378941750077</v>
      </c>
      <c r="D1237" s="128">
        <v>16.0</v>
      </c>
      <c r="E1237" s="128">
        <v>919.1670896227481</v>
      </c>
      <c r="F1237" s="44" t="s">
        <v>92</v>
      </c>
      <c r="G1237" s="128">
        <v>995.0082940419263</v>
      </c>
      <c r="H1237" s="128">
        <v>12.0</v>
      </c>
      <c r="I1237" s="128">
        <v>987.3899138037518</v>
      </c>
      <c r="J1237" s="44" t="s">
        <v>112</v>
      </c>
      <c r="K1237" s="128">
        <v>999.2473828136773</v>
      </c>
      <c r="L1237" s="128">
        <v>18.0</v>
      </c>
      <c r="M1237" s="128">
        <v>994.2487658214098</v>
      </c>
      <c r="N1237" s="44" t="s">
        <v>23</v>
      </c>
      <c r="O1237" s="128">
        <v>1475.41153696611</v>
      </c>
      <c r="P1237" s="128">
        <v>24.0</v>
      </c>
      <c r="Q1237" s="128">
        <v>1472.7993387488114</v>
      </c>
      <c r="V1237" s="44" t="s">
        <v>110</v>
      </c>
      <c r="W1237" s="128">
        <v>1015.2066521666987</v>
      </c>
      <c r="X1237" s="128">
        <v>25.0</v>
      </c>
      <c r="Y1237" s="128">
        <v>1022.5137343856533</v>
      </c>
      <c r="Z1237" s="44" t="s">
        <v>47</v>
      </c>
      <c r="AA1237" s="128">
        <v>1097.6335137841231</v>
      </c>
      <c r="AB1237" s="128">
        <v>18.0</v>
      </c>
      <c r="AC1237" s="128">
        <v>1101.7822745287372</v>
      </c>
      <c r="AD1237" s="44" t="s">
        <v>34</v>
      </c>
      <c r="AE1237" s="128">
        <v>1116.7888324247338</v>
      </c>
      <c r="AF1237" s="128">
        <v>19.0</v>
      </c>
      <c r="AG1237" s="128">
        <v>1121.3570066093196</v>
      </c>
      <c r="AH1237" s="44" t="s">
        <v>27</v>
      </c>
      <c r="AI1237" s="128">
        <v>1152.2779647968382</v>
      </c>
      <c r="AJ1237" s="128">
        <v>20.0</v>
      </c>
      <c r="AK1237" s="128">
        <v>1157.2539476486836</v>
      </c>
      <c r="AP1237" s="128">
        <v>12.0</v>
      </c>
      <c r="AQ1237" s="128">
        <v>16.0</v>
      </c>
      <c r="AT1237" s="44">
        <v>1236.0</v>
      </c>
      <c r="AU1237" s="44"/>
      <c r="AW1237" s="93"/>
      <c r="AY1237" s="93"/>
      <c r="AZ1237" s="93"/>
      <c r="BA1237" s="93"/>
      <c r="BB1237" s="155"/>
      <c r="BC1237" s="93"/>
      <c r="BE1237" s="93"/>
      <c r="BG1237" s="93"/>
      <c r="BH1237" s="93"/>
      <c r="BI1237" s="93"/>
      <c r="BJ1237" s="155"/>
      <c r="BK1237" s="93"/>
    </row>
    <row r="1238">
      <c r="A1238" s="166">
        <v>44798.012955370374</v>
      </c>
      <c r="B1238" s="44" t="s">
        <v>82</v>
      </c>
      <c r="C1238" s="128">
        <v>919.1670896227481</v>
      </c>
      <c r="D1238" s="128">
        <v>11.0</v>
      </c>
      <c r="E1238" s="128">
        <v>909.7145952305567</v>
      </c>
      <c r="F1238" s="44" t="s">
        <v>47</v>
      </c>
      <c r="G1238" s="128">
        <v>1101.7822745287372</v>
      </c>
      <c r="H1238" s="128">
        <v>22.0</v>
      </c>
      <c r="I1238" s="128">
        <v>1098.1844263884495</v>
      </c>
      <c r="J1238" s="44" t="s">
        <v>34</v>
      </c>
      <c r="K1238" s="128">
        <v>1121.3570066093196</v>
      </c>
      <c r="L1238" s="128">
        <v>16.0</v>
      </c>
      <c r="M1238" s="128">
        <v>1114.4073491417987</v>
      </c>
      <c r="N1238" s="44"/>
      <c r="O1238" s="128"/>
      <c r="P1238" s="128"/>
      <c r="Q1238" s="128"/>
      <c r="V1238" s="44" t="s">
        <v>92</v>
      </c>
      <c r="W1238" s="128">
        <v>987.3899138037518</v>
      </c>
      <c r="X1238" s="128">
        <v>15.0</v>
      </c>
      <c r="Y1238" s="128">
        <v>991.1767501359005</v>
      </c>
      <c r="Z1238" s="44" t="s">
        <v>112</v>
      </c>
      <c r="AA1238" s="128">
        <v>994.2487658214098</v>
      </c>
      <c r="AB1238" s="128">
        <v>18.0</v>
      </c>
      <c r="AC1238" s="128">
        <v>999.6895329949393</v>
      </c>
      <c r="AD1238" s="44" t="s">
        <v>27</v>
      </c>
      <c r="AE1238" s="128">
        <v>1157.2539476486836</v>
      </c>
      <c r="AF1238" s="128">
        <v>28.0</v>
      </c>
      <c r="AG1238" s="128">
        <v>1168.0263441430054</v>
      </c>
      <c r="AH1238" s="44"/>
      <c r="AI1238" s="128"/>
      <c r="AJ1238" s="128"/>
      <c r="AK1238" s="128"/>
      <c r="AP1238" s="128">
        <v>12.0</v>
      </c>
      <c r="AQ1238" s="128">
        <v>15.0</v>
      </c>
      <c r="AT1238" s="44">
        <v>1237.0</v>
      </c>
      <c r="AU1238" s="44"/>
      <c r="AW1238" s="93"/>
      <c r="AY1238" s="93"/>
      <c r="AZ1238" s="93"/>
      <c r="BA1238" s="93"/>
      <c r="BB1238" s="155"/>
      <c r="BC1238" s="93"/>
      <c r="BE1238" s="93"/>
      <c r="BG1238" s="93"/>
      <c r="BH1238" s="93"/>
      <c r="BI1238" s="93"/>
      <c r="BJ1238" s="155"/>
      <c r="BK1238" s="93"/>
    </row>
    <row r="1239">
      <c r="A1239" s="166">
        <v>44799.93620524305</v>
      </c>
      <c r="B1239" s="44" t="s">
        <v>107</v>
      </c>
      <c r="C1239" s="128">
        <v>905.465565785793</v>
      </c>
      <c r="D1239" s="128">
        <v>14.0</v>
      </c>
      <c r="E1239" s="128">
        <v>909.532997106313</v>
      </c>
      <c r="F1239" s="44" t="s">
        <v>82</v>
      </c>
      <c r="G1239" s="128">
        <v>909.7145952305567</v>
      </c>
      <c r="H1239" s="128">
        <v>18.0</v>
      </c>
      <c r="I1239" s="128">
        <v>916.215901332042</v>
      </c>
      <c r="J1239" s="44" t="s">
        <v>23</v>
      </c>
      <c r="K1239" s="128">
        <v>1472.7993387488114</v>
      </c>
      <c r="L1239" s="128">
        <v>27.0</v>
      </c>
      <c r="M1239" s="128">
        <v>1484.230601326806</v>
      </c>
      <c r="N1239" s="44"/>
      <c r="O1239" s="128"/>
      <c r="P1239" s="128"/>
      <c r="Q1239" s="128"/>
      <c r="V1239" s="44" t="s">
        <v>54</v>
      </c>
      <c r="W1239" s="128">
        <v>1061.7985953900525</v>
      </c>
      <c r="X1239" s="128">
        <v>16.0</v>
      </c>
      <c r="Y1239" s="128">
        <v>1053.9059150468875</v>
      </c>
      <c r="Z1239" s="44" t="s">
        <v>47</v>
      </c>
      <c r="AA1239" s="128">
        <v>1098.1844263884495</v>
      </c>
      <c r="AB1239" s="128">
        <v>14.0</v>
      </c>
      <c r="AC1239" s="128">
        <v>1089.0256466890842</v>
      </c>
      <c r="AD1239" s="44" t="s">
        <v>27</v>
      </c>
      <c r="AE1239" s="128">
        <v>1168.0263441430054</v>
      </c>
      <c r="AF1239" s="128">
        <v>21.0</v>
      </c>
      <c r="AG1239" s="128">
        <v>1163.0778041855358</v>
      </c>
      <c r="AH1239" s="44"/>
      <c r="AI1239" s="128"/>
      <c r="AJ1239" s="128"/>
      <c r="AK1239" s="128"/>
      <c r="AP1239" s="128">
        <v>16.0</v>
      </c>
      <c r="AQ1239" s="128">
        <v>12.0</v>
      </c>
      <c r="AT1239" s="44">
        <v>1238.0</v>
      </c>
      <c r="AU1239" s="44"/>
      <c r="AW1239" s="93"/>
      <c r="AY1239" s="93"/>
      <c r="AZ1239" s="93"/>
      <c r="BA1239" s="93"/>
      <c r="BB1239" s="155"/>
      <c r="BC1239" s="93"/>
      <c r="BE1239" s="93"/>
      <c r="BG1239" s="93"/>
      <c r="BH1239" s="93"/>
      <c r="BI1239" s="93"/>
      <c r="BJ1239" s="155"/>
      <c r="BK1239" s="93"/>
    </row>
    <row r="1240">
      <c r="A1240" s="166">
        <v>44799.97166351852</v>
      </c>
      <c r="B1240" s="44" t="s">
        <v>107</v>
      </c>
      <c r="C1240" s="128">
        <v>909.532997106313</v>
      </c>
      <c r="D1240" s="128">
        <v>12.0</v>
      </c>
      <c r="E1240" s="128">
        <v>900.2423145059256</v>
      </c>
      <c r="F1240" s="44" t="s">
        <v>82</v>
      </c>
      <c r="G1240" s="128">
        <v>916.215901332042</v>
      </c>
      <c r="H1240" s="128">
        <v>11.0</v>
      </c>
      <c r="I1240" s="128">
        <v>906.3568343133853</v>
      </c>
      <c r="J1240" s="44" t="s">
        <v>23</v>
      </c>
      <c r="K1240" s="128">
        <v>1484.230601326806</v>
      </c>
      <c r="L1240" s="128">
        <v>28.0</v>
      </c>
      <c r="M1240" s="128">
        <v>1483.38035094585</v>
      </c>
      <c r="N1240" s="44"/>
      <c r="O1240" s="128"/>
      <c r="P1240" s="128"/>
      <c r="Q1240" s="128"/>
      <c r="V1240" s="44" t="s">
        <v>54</v>
      </c>
      <c r="W1240" s="128">
        <v>1053.9059150468875</v>
      </c>
      <c r="X1240" s="128">
        <v>19.0</v>
      </c>
      <c r="Y1240" s="128">
        <v>1060.0745434505513</v>
      </c>
      <c r="Z1240" s="44" t="s">
        <v>47</v>
      </c>
      <c r="AA1240" s="128">
        <v>1089.0256466890842</v>
      </c>
      <c r="AB1240" s="128">
        <v>20.0</v>
      </c>
      <c r="AC1240" s="128">
        <v>1095.703050538743</v>
      </c>
      <c r="AD1240" s="44" t="s">
        <v>27</v>
      </c>
      <c r="AE1240" s="128">
        <v>1163.0778041855358</v>
      </c>
      <c r="AF1240" s="128">
        <v>21.0</v>
      </c>
      <c r="AG1240" s="128">
        <v>1170.2317719322132</v>
      </c>
      <c r="AH1240" s="44"/>
      <c r="AI1240" s="128"/>
      <c r="AJ1240" s="128"/>
      <c r="AK1240" s="128"/>
      <c r="AP1240" s="128">
        <v>11.0</v>
      </c>
      <c r="AQ1240" s="128">
        <v>17.0</v>
      </c>
      <c r="AT1240" s="44">
        <v>1239.0</v>
      </c>
      <c r="AU1240" s="44"/>
      <c r="AW1240" s="93"/>
      <c r="AY1240" s="93"/>
      <c r="AZ1240" s="93"/>
      <c r="BA1240" s="93"/>
      <c r="BB1240" s="155"/>
      <c r="BC1240" s="93"/>
      <c r="BE1240" s="93"/>
      <c r="BG1240" s="93"/>
      <c r="BH1240" s="93"/>
      <c r="BI1240" s="93"/>
      <c r="BJ1240" s="155"/>
      <c r="BK1240" s="93"/>
    </row>
    <row r="1241">
      <c r="A1241" s="166">
        <v>44800.01081025463</v>
      </c>
      <c r="B1241" s="44" t="s">
        <v>107</v>
      </c>
      <c r="C1241" s="128">
        <v>900.2423145059256</v>
      </c>
      <c r="D1241" s="128">
        <v>24.0</v>
      </c>
      <c r="E1241" s="128">
        <v>904.5015874094169</v>
      </c>
      <c r="F1241" s="44" t="s">
        <v>54</v>
      </c>
      <c r="G1241" s="128">
        <v>1060.0745434505513</v>
      </c>
      <c r="H1241" s="128">
        <v>20.0</v>
      </c>
      <c r="I1241" s="128">
        <v>1063.2050696179292</v>
      </c>
      <c r="J1241" s="44" t="s">
        <v>47</v>
      </c>
      <c r="K1241" s="128">
        <v>1095.703050538743</v>
      </c>
      <c r="L1241" s="128">
        <v>14.0</v>
      </c>
      <c r="M1241" s="128">
        <v>1097.3132514678737</v>
      </c>
      <c r="N1241" s="44"/>
      <c r="O1241" s="128"/>
      <c r="P1241" s="128"/>
      <c r="Q1241" s="128"/>
      <c r="V1241" s="44" t="s">
        <v>125</v>
      </c>
      <c r="W1241" s="128">
        <v>619.3176262054337</v>
      </c>
      <c r="X1241" s="128">
        <v>16.0</v>
      </c>
      <c r="Y1241" s="128">
        <v>616.1445477992422</v>
      </c>
      <c r="Z1241" s="44" t="s">
        <v>82</v>
      </c>
      <c r="AA1241" s="128">
        <v>906.3568343133853</v>
      </c>
      <c r="AB1241" s="128">
        <v>15.0</v>
      </c>
      <c r="AC1241" s="128">
        <v>902.5546021762486</v>
      </c>
      <c r="AD1241" s="44" t="s">
        <v>23</v>
      </c>
      <c r="AE1241" s="128">
        <v>1483.38035094585</v>
      </c>
      <c r="AF1241" s="128">
        <v>23.0</v>
      </c>
      <c r="AG1241" s="128">
        <v>1481.3556614891781</v>
      </c>
      <c r="AH1241" s="44"/>
      <c r="AI1241" s="128"/>
      <c r="AJ1241" s="128"/>
      <c r="AK1241" s="128"/>
      <c r="AP1241" s="128">
        <v>15.0</v>
      </c>
      <c r="AQ1241" s="128">
        <v>13.0</v>
      </c>
      <c r="AT1241" s="44">
        <v>1240.0</v>
      </c>
      <c r="AU1241" s="44"/>
      <c r="AW1241" s="93"/>
      <c r="AY1241" s="93"/>
      <c r="AZ1241" s="93"/>
      <c r="BA1241" s="93"/>
      <c r="BB1241" s="155"/>
      <c r="BC1241" s="93"/>
      <c r="BE1241" s="93"/>
      <c r="BG1241" s="93"/>
      <c r="BH1241" s="93"/>
      <c r="BI1241" s="93"/>
      <c r="BJ1241" s="155"/>
      <c r="BK1241" s="93"/>
    </row>
    <row r="1242">
      <c r="A1242" s="166">
        <v>44800.05025166667</v>
      </c>
      <c r="B1242" s="44" t="s">
        <v>125</v>
      </c>
      <c r="C1242" s="128">
        <v>616.1445477992422</v>
      </c>
      <c r="D1242" s="128">
        <v>16.0</v>
      </c>
      <c r="E1242" s="128">
        <v>621.600072218543</v>
      </c>
      <c r="F1242" s="44" t="s">
        <v>107</v>
      </c>
      <c r="G1242" s="128">
        <v>904.5015874094169</v>
      </c>
      <c r="H1242" s="128">
        <v>21.0</v>
      </c>
      <c r="I1242" s="128">
        <v>912.0108162347406</v>
      </c>
      <c r="J1242" s="44" t="s">
        <v>23</v>
      </c>
      <c r="K1242" s="128">
        <v>1481.3556614891781</v>
      </c>
      <c r="L1242" s="128">
        <v>26.0</v>
      </c>
      <c r="M1242" s="128">
        <v>1491.3909082445537</v>
      </c>
      <c r="N1242" s="44"/>
      <c r="O1242" s="128"/>
      <c r="P1242" s="128"/>
      <c r="Q1242" s="128"/>
      <c r="V1242" s="44" t="s">
        <v>82</v>
      </c>
      <c r="W1242" s="128">
        <v>902.5546021762486</v>
      </c>
      <c r="X1242" s="128">
        <v>18.0</v>
      </c>
      <c r="Y1242" s="128">
        <v>893.853076306342</v>
      </c>
      <c r="Z1242" s="44" t="s">
        <v>54</v>
      </c>
      <c r="AA1242" s="128">
        <v>1063.2050696179292</v>
      </c>
      <c r="AB1242" s="128">
        <v>27.0</v>
      </c>
      <c r="AC1242" s="128">
        <v>1059.9146299727854</v>
      </c>
      <c r="AD1242" s="44" t="s">
        <v>47</v>
      </c>
      <c r="AE1242" s="128">
        <v>1097.3132514678737</v>
      </c>
      <c r="AF1242" s="128">
        <v>15.0</v>
      </c>
      <c r="AG1242" s="128">
        <v>1086.3052169829239</v>
      </c>
      <c r="AH1242" s="44"/>
      <c r="AI1242" s="128"/>
      <c r="AJ1242" s="128"/>
      <c r="AK1242" s="128"/>
      <c r="AP1242" s="128">
        <v>16.0</v>
      </c>
      <c r="AQ1242" s="128">
        <v>12.0</v>
      </c>
      <c r="AT1242" s="44">
        <v>1241.0</v>
      </c>
      <c r="AU1242" s="44"/>
      <c r="AW1242" s="93"/>
      <c r="AY1242" s="93"/>
      <c r="AZ1242" s="93"/>
      <c r="BA1242" s="93"/>
      <c r="BB1242" s="155"/>
      <c r="BC1242" s="93"/>
      <c r="BE1242" s="93"/>
      <c r="BG1242" s="93"/>
      <c r="BH1242" s="93"/>
      <c r="BI1242" s="93"/>
      <c r="BJ1242" s="155"/>
      <c r="BK1242" s="93"/>
    </row>
    <row r="1243">
      <c r="A1243" s="166">
        <v>44804.92432244213</v>
      </c>
      <c r="B1243" s="44" t="s">
        <v>123</v>
      </c>
      <c r="C1243" s="128">
        <v>645.9646117564224</v>
      </c>
      <c r="D1243" s="128">
        <v>15.0</v>
      </c>
      <c r="E1243" s="128">
        <v>644.0166847404023</v>
      </c>
      <c r="F1243" s="44" t="s">
        <v>108</v>
      </c>
      <c r="G1243" s="128">
        <v>760.3581128327145</v>
      </c>
      <c r="H1243" s="128">
        <v>12.0</v>
      </c>
      <c r="I1243" s="128">
        <v>757.8993298667735</v>
      </c>
      <c r="J1243" s="44" t="s">
        <v>23</v>
      </c>
      <c r="K1243" s="128">
        <v>1491.3909082445537</v>
      </c>
      <c r="L1243" s="128">
        <v>27.0</v>
      </c>
      <c r="M1243" s="128">
        <v>1490.7976182265147</v>
      </c>
      <c r="N1243" s="44"/>
      <c r="O1243" s="128"/>
      <c r="P1243" s="128"/>
      <c r="Q1243" s="128"/>
      <c r="V1243" s="44" t="s">
        <v>92</v>
      </c>
      <c r="W1243" s="128">
        <v>991.1767501359005</v>
      </c>
      <c r="X1243" s="128">
        <v>13.0</v>
      </c>
      <c r="Y1243" s="128">
        <v>992.0716672670718</v>
      </c>
      <c r="Z1243" s="44" t="s">
        <v>110</v>
      </c>
      <c r="AA1243" s="128">
        <v>1022.5137343856533</v>
      </c>
      <c r="AB1243" s="128">
        <v>22.0</v>
      </c>
      <c r="AC1243" s="128">
        <v>1024.6463386682735</v>
      </c>
      <c r="AD1243" s="44" t="s">
        <v>47</v>
      </c>
      <c r="AE1243" s="128">
        <v>1086.3052169829239</v>
      </c>
      <c r="AF1243" s="128">
        <v>21.0</v>
      </c>
      <c r="AG1243" s="128">
        <v>1088.2776955691324</v>
      </c>
      <c r="AH1243" s="44"/>
      <c r="AI1243" s="128"/>
      <c r="AJ1243" s="128"/>
      <c r="AK1243" s="128"/>
      <c r="AP1243" s="128">
        <v>13.0</v>
      </c>
      <c r="AQ1243" s="128">
        <v>15.0</v>
      </c>
      <c r="AS1243" s="44" t="s">
        <v>229</v>
      </c>
      <c r="AT1243" s="44">
        <v>1242.0</v>
      </c>
      <c r="AU1243" s="44"/>
      <c r="AW1243" s="93"/>
      <c r="AY1243" s="93"/>
      <c r="AZ1243" s="93"/>
      <c r="BA1243" s="93"/>
      <c r="BB1243" s="155"/>
      <c r="BC1243" s="93"/>
      <c r="BE1243" s="93"/>
      <c r="BG1243" s="93"/>
      <c r="BH1243" s="93"/>
      <c r="BI1243" s="93"/>
      <c r="BJ1243" s="155"/>
      <c r="BK1243" s="93"/>
    </row>
    <row r="1244">
      <c r="A1244" s="166">
        <v>44804.97742354167</v>
      </c>
      <c r="B1244" s="44" t="s">
        <v>108</v>
      </c>
      <c r="C1244" s="128">
        <v>757.8993298667735</v>
      </c>
      <c r="D1244" s="128">
        <v>12.0</v>
      </c>
      <c r="E1244" s="128">
        <v>753.1944038177043</v>
      </c>
      <c r="F1244" s="44" t="s">
        <v>110</v>
      </c>
      <c r="G1244" s="128">
        <v>1024.6463386682735</v>
      </c>
      <c r="H1244" s="128">
        <v>22.0</v>
      </c>
      <c r="I1244" s="128">
        <v>1022.4356914931135</v>
      </c>
      <c r="J1244" s="44" t="s">
        <v>47</v>
      </c>
      <c r="K1244" s="128">
        <v>1088.2776955691324</v>
      </c>
      <c r="L1244" s="128">
        <v>19.0</v>
      </c>
      <c r="M1244" s="128">
        <v>1085.1932687933618</v>
      </c>
      <c r="N1244" s="44"/>
      <c r="O1244" s="128"/>
      <c r="P1244" s="128"/>
      <c r="Q1244" s="128"/>
      <c r="V1244" s="44" t="s">
        <v>121</v>
      </c>
      <c r="W1244" s="128">
        <v>887.4320235198339</v>
      </c>
      <c r="X1244" s="128">
        <v>12.0</v>
      </c>
      <c r="Y1244" s="128">
        <v>889.3491309218331</v>
      </c>
      <c r="Z1244" s="44" t="s">
        <v>92</v>
      </c>
      <c r="AA1244" s="128">
        <v>992.0716672670718</v>
      </c>
      <c r="AB1244" s="128">
        <v>14.0</v>
      </c>
      <c r="AC1244" s="128">
        <v>994.4493585464305</v>
      </c>
      <c r="AD1244" s="44" t="s">
        <v>112</v>
      </c>
      <c r="AE1244" s="128">
        <v>999.6895329949393</v>
      </c>
      <c r="AF1244" s="128">
        <v>26.0</v>
      </c>
      <c r="AG1244" s="128">
        <v>1005.3947343135815</v>
      </c>
      <c r="AH1244" s="44"/>
      <c r="AI1244" s="128"/>
      <c r="AJ1244" s="128"/>
      <c r="AK1244" s="128"/>
      <c r="AP1244" s="128">
        <v>13.0</v>
      </c>
      <c r="AQ1244" s="128">
        <v>15.0</v>
      </c>
      <c r="AS1244" s="44" t="s">
        <v>231</v>
      </c>
      <c r="AT1244" s="44">
        <v>1243.0</v>
      </c>
      <c r="AU1244" s="44"/>
      <c r="AW1244" s="93"/>
      <c r="AY1244" s="93"/>
      <c r="AZ1244" s="93"/>
      <c r="BA1244" s="93"/>
      <c r="BB1244" s="155"/>
      <c r="BC1244" s="93"/>
      <c r="BE1244" s="93"/>
      <c r="BG1244" s="93"/>
      <c r="BH1244" s="93"/>
      <c r="BI1244" s="93"/>
      <c r="BJ1244" s="155"/>
      <c r="BK1244" s="93"/>
    </row>
    <row r="1245">
      <c r="A1245" s="166">
        <v>44808.930795312495</v>
      </c>
      <c r="B1245" s="44" t="s">
        <v>31</v>
      </c>
      <c r="C1245" s="128">
        <v>1000.0</v>
      </c>
      <c r="D1245" s="128">
        <v>23.0</v>
      </c>
      <c r="E1245" s="128">
        <v>1008.5185185185185</v>
      </c>
      <c r="F1245" s="44" t="s">
        <v>23</v>
      </c>
      <c r="G1245" s="128">
        <v>1000.0</v>
      </c>
      <c r="H1245" s="128">
        <v>17.0</v>
      </c>
      <c r="I1245" s="128">
        <v>1005.1851851851852</v>
      </c>
      <c r="J1245" s="44" t="s">
        <v>27</v>
      </c>
      <c r="K1245" s="128">
        <v>1000.0</v>
      </c>
      <c r="L1245" s="128">
        <v>19.0</v>
      </c>
      <c r="M1245" s="128">
        <v>1006.2962962962963</v>
      </c>
      <c r="N1245" s="44"/>
      <c r="O1245" s="128"/>
      <c r="P1245" s="128"/>
      <c r="Q1245" s="128"/>
      <c r="V1245" s="44" t="s">
        <v>47</v>
      </c>
      <c r="W1245" s="128">
        <v>1000.0</v>
      </c>
      <c r="X1245" s="128">
        <v>16.0</v>
      </c>
      <c r="Y1245" s="128">
        <v>994.074074074074</v>
      </c>
      <c r="Z1245" s="44" t="s">
        <v>34</v>
      </c>
      <c r="AA1245" s="128">
        <v>1000.0</v>
      </c>
      <c r="AB1245" s="128">
        <v>12.0</v>
      </c>
      <c r="AC1245" s="128">
        <v>991.8518518518518</v>
      </c>
      <c r="AD1245" s="44" t="s">
        <v>107</v>
      </c>
      <c r="AE1245" s="128">
        <v>1000.0</v>
      </c>
      <c r="AF1245" s="128">
        <v>16.0</v>
      </c>
      <c r="AG1245" s="128">
        <v>994.074074074074</v>
      </c>
      <c r="AH1245" s="44"/>
      <c r="AI1245" s="128"/>
      <c r="AJ1245" s="128"/>
      <c r="AK1245" s="128"/>
      <c r="AP1245" s="128">
        <v>17.0</v>
      </c>
      <c r="AQ1245" s="128">
        <v>11.0</v>
      </c>
      <c r="AT1245" s="44">
        <v>1244.0</v>
      </c>
      <c r="AU1245" s="44"/>
      <c r="AW1245" s="93"/>
      <c r="AY1245" s="93"/>
      <c r="AZ1245" s="93"/>
      <c r="BA1245" s="93"/>
      <c r="BB1245" s="155"/>
      <c r="BC1245" s="93"/>
      <c r="BE1245" s="93"/>
      <c r="BG1245" s="93"/>
      <c r="BH1245" s="93"/>
      <c r="BI1245" s="93"/>
      <c r="BJ1245" s="155"/>
      <c r="BK1245" s="93"/>
    </row>
    <row r="1246">
      <c r="A1246" s="166">
        <v>44808.97114091435</v>
      </c>
      <c r="B1246" s="44" t="s">
        <v>34</v>
      </c>
      <c r="C1246" s="128">
        <v>991.8518518518518</v>
      </c>
      <c r="D1246" s="128">
        <v>17.0</v>
      </c>
      <c r="E1246" s="128">
        <v>995.2251752092158</v>
      </c>
      <c r="F1246" s="44" t="s">
        <v>47</v>
      </c>
      <c r="G1246" s="128">
        <v>994.074074074074</v>
      </c>
      <c r="H1246" s="128">
        <v>16.0</v>
      </c>
      <c r="I1246" s="128">
        <v>996.5227111179696</v>
      </c>
      <c r="J1246" s="44" t="s">
        <v>23</v>
      </c>
      <c r="K1246" s="128">
        <v>1005.1851851851852</v>
      </c>
      <c r="L1246" s="128">
        <v>24.0</v>
      </c>
      <c r="M1246" s="128">
        <v>1009.7936821433268</v>
      </c>
      <c r="N1246" s="44" t="s">
        <v>31</v>
      </c>
      <c r="O1246" s="128">
        <v>1008.5185185185185</v>
      </c>
      <c r="P1246" s="128">
        <v>36.0</v>
      </c>
      <c r="Q1246" s="128">
        <v>1018.0880611591174</v>
      </c>
      <c r="V1246" s="44" t="s">
        <v>107</v>
      </c>
      <c r="W1246" s="128">
        <v>994.074074074074</v>
      </c>
      <c r="X1246" s="128">
        <v>15.0</v>
      </c>
      <c r="Y1246" s="128">
        <v>988.6748249466955</v>
      </c>
      <c r="Z1246" s="44" t="s">
        <v>110</v>
      </c>
      <c r="AA1246" s="128">
        <v>1000.0</v>
      </c>
      <c r="AB1246" s="128">
        <v>10.0</v>
      </c>
      <c r="AC1246" s="128">
        <v>991.8712823520548</v>
      </c>
      <c r="AD1246" s="44" t="s">
        <v>82</v>
      </c>
      <c r="AE1246" s="128">
        <v>1000.0</v>
      </c>
      <c r="AF1246" s="128">
        <v>13.0</v>
      </c>
      <c r="AG1246" s="128">
        <v>993.1212823520548</v>
      </c>
      <c r="AH1246" s="44" t="s">
        <v>27</v>
      </c>
      <c r="AI1246" s="128">
        <v>1006.2962962962963</v>
      </c>
      <c r="AJ1246" s="128">
        <v>31.0</v>
      </c>
      <c r="AK1246" s="128">
        <v>1006.2862962962963</v>
      </c>
      <c r="AP1246" s="128">
        <v>18.0</v>
      </c>
      <c r="AQ1246" s="128">
        <v>10.0</v>
      </c>
      <c r="AT1246" s="44">
        <v>1245.0</v>
      </c>
      <c r="AU1246" s="44"/>
      <c r="AW1246" s="93"/>
      <c r="AY1246" s="93"/>
      <c r="AZ1246" s="93"/>
      <c r="BA1246" s="93"/>
      <c r="BB1246" s="155"/>
      <c r="BC1246" s="93"/>
      <c r="BE1246" s="93"/>
      <c r="BG1246" s="93"/>
      <c r="BH1246" s="93"/>
      <c r="BI1246" s="93"/>
      <c r="BJ1246" s="155"/>
      <c r="BK1246" s="93"/>
    </row>
    <row r="1247">
      <c r="A1247" s="166">
        <v>44809.01279988426</v>
      </c>
      <c r="B1247" s="44" t="s">
        <v>82</v>
      </c>
      <c r="C1247" s="128">
        <v>993.1212823520548</v>
      </c>
      <c r="D1247" s="128">
        <v>12.0</v>
      </c>
      <c r="E1247" s="128">
        <v>994.3822821528934</v>
      </c>
      <c r="F1247" s="44" t="s">
        <v>34</v>
      </c>
      <c r="G1247" s="128">
        <v>995.2251752092158</v>
      </c>
      <c r="H1247" s="128">
        <v>30.0</v>
      </c>
      <c r="I1247" s="128">
        <v>1003.7945395913766</v>
      </c>
      <c r="J1247" s="44" t="s">
        <v>27</v>
      </c>
      <c r="K1247" s="128">
        <v>1006.2862962962963</v>
      </c>
      <c r="L1247" s="128">
        <v>26.0</v>
      </c>
      <c r="M1247" s="128">
        <v>1012.645504970612</v>
      </c>
      <c r="N1247" s="44" t="s">
        <v>23</v>
      </c>
      <c r="O1247" s="128">
        <v>1009.7936821433268</v>
      </c>
      <c r="P1247" s="128">
        <v>20.0</v>
      </c>
      <c r="Q1247" s="128">
        <v>1013.6041092860117</v>
      </c>
      <c r="V1247" s="44" t="s">
        <v>107</v>
      </c>
      <c r="W1247" s="128">
        <v>988.6748249466955</v>
      </c>
      <c r="X1247" s="128">
        <v>21.0</v>
      </c>
      <c r="Y1247" s="128">
        <v>984.1475492820889</v>
      </c>
      <c r="Z1247" s="44" t="s">
        <v>47</v>
      </c>
      <c r="AA1247" s="128">
        <v>996.5227111179696</v>
      </c>
      <c r="AB1247" s="128">
        <v>19.0</v>
      </c>
      <c r="AC1247" s="128">
        <v>990.3621533544494</v>
      </c>
      <c r="AD1247" s="44" t="s">
        <v>125</v>
      </c>
      <c r="AE1247" s="128">
        <v>1000.0</v>
      </c>
      <c r="AF1247" s="128">
        <v>16.0</v>
      </c>
      <c r="AG1247" s="128">
        <v>992.3672262992795</v>
      </c>
      <c r="AH1247" s="44" t="s">
        <v>31</v>
      </c>
      <c r="AI1247" s="128">
        <v>1018.0880611591174</v>
      </c>
      <c r="AJ1247" s="128">
        <v>31.0</v>
      </c>
      <c r="AK1247" s="128">
        <v>1016.4086682879646</v>
      </c>
      <c r="AP1247" s="128">
        <v>16.0</v>
      </c>
      <c r="AQ1247" s="128">
        <v>12.0</v>
      </c>
      <c r="AT1247" s="44">
        <v>1246.0</v>
      </c>
      <c r="AU1247" s="44"/>
      <c r="AW1247" s="93"/>
      <c r="AY1247" s="93"/>
      <c r="AZ1247" s="93"/>
      <c r="BA1247" s="93"/>
      <c r="BB1247" s="155"/>
      <c r="BC1247" s="93"/>
      <c r="BE1247" s="93"/>
      <c r="BG1247" s="93"/>
      <c r="BH1247" s="93"/>
      <c r="BI1247" s="93"/>
      <c r="BJ1247" s="155"/>
      <c r="BK1247" s="93"/>
    </row>
    <row r="1248">
      <c r="A1248" s="166">
        <v>44823.94381123842</v>
      </c>
      <c r="B1248" s="44" t="s">
        <v>82</v>
      </c>
      <c r="C1248" s="128">
        <v>994.3822821528934</v>
      </c>
      <c r="D1248" s="128">
        <v>16.0</v>
      </c>
      <c r="E1248" s="128">
        <v>994.3922821528934</v>
      </c>
      <c r="F1248" s="44" t="s">
        <v>38</v>
      </c>
      <c r="G1248" s="128">
        <v>1000.0</v>
      </c>
      <c r="H1248" s="128">
        <v>42.0</v>
      </c>
      <c r="I1248" s="128">
        <v>1003.1679491022052</v>
      </c>
      <c r="J1248" s="44" t="s">
        <v>112</v>
      </c>
      <c r="K1248" s="128">
        <v>1000.0</v>
      </c>
      <c r="L1248" s="128">
        <v>43.0</v>
      </c>
      <c r="M1248" s="128">
        <v>1003.3762824355385</v>
      </c>
      <c r="N1248" s="44" t="s">
        <v>27</v>
      </c>
      <c r="O1248" s="128">
        <v>1012.645504970612</v>
      </c>
      <c r="P1248" s="128">
        <v>54.0</v>
      </c>
      <c r="Q1248" s="128">
        <v>1018.074357467997</v>
      </c>
      <c r="V1248" s="44" t="s">
        <v>47</v>
      </c>
      <c r="W1248" s="128">
        <v>990.3621533544494</v>
      </c>
      <c r="X1248" s="128">
        <v>46.0</v>
      </c>
      <c r="Y1248" s="128">
        <v>990.0962133993794</v>
      </c>
      <c r="Z1248" s="44" t="s">
        <v>92</v>
      </c>
      <c r="AA1248" s="128">
        <v>1000.0</v>
      </c>
      <c r="AB1248" s="128">
        <v>39.0</v>
      </c>
      <c r="AC1248" s="128">
        <v>997.7373741148249</v>
      </c>
      <c r="AD1248" s="44" t="s">
        <v>123</v>
      </c>
      <c r="AE1248" s="128">
        <v>1000.0</v>
      </c>
      <c r="AF1248" s="128">
        <v>25.0</v>
      </c>
      <c r="AG1248" s="128">
        <v>994.8207074481583</v>
      </c>
      <c r="AH1248" s="44" t="s">
        <v>23</v>
      </c>
      <c r="AI1248" s="128">
        <v>1013.6041092860117</v>
      </c>
      <c r="AJ1248" s="128">
        <v>40.0</v>
      </c>
      <c r="AK1248" s="128">
        <v>1011.3119676780987</v>
      </c>
      <c r="AP1248" s="128">
        <v>29.0</v>
      </c>
      <c r="AQ1248" s="128">
        <v>27.0</v>
      </c>
      <c r="AS1248" s="44" t="s">
        <v>612</v>
      </c>
      <c r="AT1248" s="44">
        <v>1247.0</v>
      </c>
      <c r="AU1248" s="44"/>
      <c r="AW1248" s="93"/>
      <c r="AY1248" s="93"/>
      <c r="AZ1248" s="93"/>
      <c r="BA1248" s="93"/>
      <c r="BB1248" s="155"/>
      <c r="BC1248" s="93"/>
      <c r="BE1248" s="93"/>
      <c r="BG1248" s="93"/>
      <c r="BH1248" s="93"/>
      <c r="BI1248" s="93"/>
      <c r="BJ1248" s="155"/>
      <c r="BK1248" s="93"/>
    </row>
    <row r="1249">
      <c r="A1249" s="166">
        <v>44824.00419490741</v>
      </c>
      <c r="B1249" s="44" t="s">
        <v>572</v>
      </c>
      <c r="C1249" s="128">
        <v>974.9137398775074</v>
      </c>
      <c r="D1249" s="128">
        <v>10.0</v>
      </c>
      <c r="E1249" s="128">
        <v>971.5353610945829</v>
      </c>
      <c r="F1249" s="44" t="s">
        <v>107</v>
      </c>
      <c r="G1249" s="128">
        <v>984.1475492820889</v>
      </c>
      <c r="H1249" s="128">
        <v>27.0</v>
      </c>
      <c r="I1249" s="128">
        <v>983.2457477910317</v>
      </c>
      <c r="J1249" s="44" t="s">
        <v>38</v>
      </c>
      <c r="K1249" s="128">
        <v>1003.1679491022052</v>
      </c>
      <c r="L1249" s="128">
        <v>24.0</v>
      </c>
      <c r="M1249" s="128">
        <v>1001.3429455794586</v>
      </c>
      <c r="N1249" s="44" t="s">
        <v>112</v>
      </c>
      <c r="O1249" s="128">
        <v>1003.3762824355385</v>
      </c>
      <c r="P1249" s="128">
        <v>27.0</v>
      </c>
      <c r="Q1249" s="128">
        <v>1002.0490217024952</v>
      </c>
      <c r="R1249" s="44" t="s">
        <v>27</v>
      </c>
      <c r="S1249" s="128">
        <v>1018.074357467997</v>
      </c>
      <c r="T1249" s="128">
        <v>20.0</v>
      </c>
      <c r="U1249" s="128">
        <v>1015.5068019977685</v>
      </c>
      <c r="V1249" s="44" t="s">
        <v>47</v>
      </c>
      <c r="W1249" s="128">
        <v>990.0962133993794</v>
      </c>
      <c r="X1249" s="128">
        <v>13.0</v>
      </c>
      <c r="Y1249" s="128">
        <v>990.9357476382626</v>
      </c>
      <c r="Z1249" s="44" t="s">
        <v>110</v>
      </c>
      <c r="AA1249" s="128">
        <v>991.8712823520548</v>
      </c>
      <c r="AB1249" s="128">
        <v>13.0</v>
      </c>
      <c r="AC1249" s="128">
        <v>992.6686747985184</v>
      </c>
      <c r="AD1249" s="44" t="s">
        <v>125</v>
      </c>
      <c r="AE1249" s="128">
        <v>992.3672262992795</v>
      </c>
      <c r="AF1249" s="128">
        <v>18.0</v>
      </c>
      <c r="AG1249" s="128">
        <v>993.9868371641293</v>
      </c>
      <c r="AH1249" s="44" t="s">
        <v>92</v>
      </c>
      <c r="AI1249" s="128">
        <v>997.7373741148249</v>
      </c>
      <c r="AJ1249" s="128">
        <v>24.0</v>
      </c>
      <c r="AK1249" s="128">
        <v>1000.255018086398</v>
      </c>
      <c r="AL1249" s="44" t="s">
        <v>23</v>
      </c>
      <c r="AM1249" s="128">
        <v>1011.3119676780987</v>
      </c>
      <c r="AN1249" s="128">
        <v>35.0</v>
      </c>
      <c r="AO1249" s="128">
        <v>1015.537786156329</v>
      </c>
      <c r="AP1249" s="128">
        <v>13.0</v>
      </c>
      <c r="AQ1249" s="128">
        <v>15.0</v>
      </c>
      <c r="AS1249" s="44" t="s">
        <v>279</v>
      </c>
      <c r="AT1249" s="44">
        <v>1248.0</v>
      </c>
      <c r="AU1249" s="44"/>
      <c r="AW1249" s="93"/>
      <c r="AY1249" s="93"/>
      <c r="AZ1249" s="93"/>
      <c r="BA1249" s="93"/>
      <c r="BB1249" s="155"/>
      <c r="BC1249" s="93"/>
      <c r="BE1249" s="93"/>
      <c r="BG1249" s="93"/>
      <c r="BH1249" s="93"/>
      <c r="BI1249" s="93"/>
      <c r="BJ1249" s="155"/>
      <c r="BK1249" s="93"/>
    </row>
    <row r="1250">
      <c r="A1250" s="166">
        <v>44824.96216466435</v>
      </c>
      <c r="B1250" s="44" t="s">
        <v>47</v>
      </c>
      <c r="C1250" s="128">
        <v>990.9357476382626</v>
      </c>
      <c r="D1250" s="128">
        <v>38.0</v>
      </c>
      <c r="E1250" s="128">
        <v>988.8474036602054</v>
      </c>
      <c r="F1250" s="44" t="s">
        <v>112</v>
      </c>
      <c r="G1250" s="128">
        <v>1002.0490217024952</v>
      </c>
      <c r="H1250" s="128">
        <v>27.0</v>
      </c>
      <c r="I1250" s="128">
        <v>996.3962024343716</v>
      </c>
      <c r="J1250" s="44" t="s">
        <v>23</v>
      </c>
      <c r="K1250" s="128">
        <v>1015.537786156329</v>
      </c>
      <c r="L1250" s="128">
        <v>40.0</v>
      </c>
      <c r="M1250" s="128">
        <v>1013.27894940251</v>
      </c>
      <c r="N1250" s="44"/>
      <c r="O1250" s="128"/>
      <c r="P1250" s="128"/>
      <c r="Q1250" s="128"/>
      <c r="V1250" s="44" t="s">
        <v>92</v>
      </c>
      <c r="W1250" s="128">
        <v>1000.255018086398</v>
      </c>
      <c r="X1250" s="128">
        <v>36.0</v>
      </c>
      <c r="Y1250" s="128">
        <v>1002.7775349856408</v>
      </c>
      <c r="Z1250" s="44" t="s">
        <v>38</v>
      </c>
      <c r="AA1250" s="128">
        <v>1001.3429455794586</v>
      </c>
      <c r="AB1250" s="128">
        <v>45.0</v>
      </c>
      <c r="AC1250" s="128">
        <v>1006.3251067062274</v>
      </c>
      <c r="AD1250" s="44" t="s">
        <v>27</v>
      </c>
      <c r="AE1250" s="128">
        <v>1015.5068019977685</v>
      </c>
      <c r="AF1250" s="128">
        <v>37.0</v>
      </c>
      <c r="AG1250" s="128">
        <v>1018.002123971757</v>
      </c>
      <c r="AH1250" s="44"/>
      <c r="AI1250" s="128"/>
      <c r="AJ1250" s="128"/>
      <c r="AK1250" s="128"/>
      <c r="AP1250" s="128">
        <v>27.0</v>
      </c>
      <c r="AQ1250" s="128">
        <v>29.0</v>
      </c>
      <c r="AT1250" s="44">
        <v>1249.0</v>
      </c>
      <c r="AU1250" s="44"/>
      <c r="AW1250" s="93"/>
      <c r="AY1250" s="93"/>
      <c r="AZ1250" s="93"/>
      <c r="BA1250" s="93"/>
      <c r="BB1250" s="155"/>
      <c r="BC1250" s="93"/>
      <c r="BE1250" s="93"/>
      <c r="BG1250" s="93"/>
      <c r="BH1250" s="93"/>
      <c r="BI1250" s="93"/>
      <c r="BJ1250" s="155"/>
      <c r="BK1250" s="93"/>
    </row>
    <row r="1251">
      <c r="A1251" s="166">
        <v>44825.01976296296</v>
      </c>
      <c r="B1251" s="44" t="s">
        <v>47</v>
      </c>
      <c r="C1251" s="128">
        <v>988.8474036602054</v>
      </c>
      <c r="D1251" s="128">
        <v>25.0</v>
      </c>
      <c r="E1251" s="128">
        <v>988.8574036602054</v>
      </c>
      <c r="F1251" s="44" t="s">
        <v>125</v>
      </c>
      <c r="G1251" s="128">
        <v>993.9868371641293</v>
      </c>
      <c r="H1251" s="128">
        <v>31.0</v>
      </c>
      <c r="I1251" s="128">
        <v>993.9968371641293</v>
      </c>
      <c r="J1251" s="44" t="s">
        <v>38</v>
      </c>
      <c r="K1251" s="128">
        <v>1006.3251067062274</v>
      </c>
      <c r="L1251" s="128">
        <v>17.0</v>
      </c>
      <c r="M1251" s="128">
        <v>1006.3351067062274</v>
      </c>
      <c r="N1251" s="44" t="s">
        <v>27</v>
      </c>
      <c r="O1251" s="128">
        <v>1018.002123971757</v>
      </c>
      <c r="P1251" s="128">
        <v>42.0</v>
      </c>
      <c r="Q1251" s="128">
        <v>1018.012123971757</v>
      </c>
      <c r="V1251" s="44" t="s">
        <v>82</v>
      </c>
      <c r="W1251" s="128">
        <v>994.3922821528934</v>
      </c>
      <c r="X1251" s="128">
        <v>19.0</v>
      </c>
      <c r="Y1251" s="128">
        <v>994.4022821528933</v>
      </c>
      <c r="Z1251" s="44" t="s">
        <v>112</v>
      </c>
      <c r="AA1251" s="128">
        <v>996.3962024343716</v>
      </c>
      <c r="AB1251" s="128">
        <v>29.0</v>
      </c>
      <c r="AC1251" s="128">
        <v>996.4062024343716</v>
      </c>
      <c r="AD1251" s="44" t="s">
        <v>92</v>
      </c>
      <c r="AE1251" s="128">
        <v>1002.7775349856408</v>
      </c>
      <c r="AF1251" s="128">
        <v>28.0</v>
      </c>
      <c r="AG1251" s="128">
        <v>1002.7875349856408</v>
      </c>
      <c r="AH1251" s="44" t="s">
        <v>23</v>
      </c>
      <c r="AI1251" s="128">
        <v>1013.27894940251</v>
      </c>
      <c r="AJ1251" s="128">
        <v>43.0</v>
      </c>
      <c r="AK1251" s="128">
        <v>1013.28894940251</v>
      </c>
      <c r="AP1251" s="128">
        <v>21.0</v>
      </c>
      <c r="AQ1251" s="128">
        <v>21.0</v>
      </c>
      <c r="AT1251" s="44">
        <v>1250.0</v>
      </c>
      <c r="AU1251" s="44"/>
      <c r="AW1251" s="93"/>
      <c r="AY1251" s="93"/>
      <c r="AZ1251" s="93"/>
      <c r="BA1251" s="93"/>
      <c r="BB1251" s="155"/>
      <c r="BC1251" s="93"/>
      <c r="BE1251" s="93"/>
      <c r="BG1251" s="93"/>
      <c r="BH1251" s="93"/>
      <c r="BI1251" s="93"/>
      <c r="BJ1251" s="155"/>
      <c r="BK1251" s="93"/>
    </row>
    <row r="1252">
      <c r="A1252" s="166">
        <v>44827.94551148148</v>
      </c>
      <c r="B1252" s="44" t="s">
        <v>107</v>
      </c>
      <c r="C1252" s="128">
        <v>983.2457477910317</v>
      </c>
      <c r="D1252" s="128">
        <v>20.0</v>
      </c>
      <c r="E1252" s="128">
        <v>989.8729478380593</v>
      </c>
      <c r="F1252" s="44" t="s">
        <v>82</v>
      </c>
      <c r="G1252" s="128">
        <v>994.4022821528933</v>
      </c>
      <c r="H1252" s="128">
        <v>22.0</v>
      </c>
      <c r="I1252" s="128">
        <v>1001.3909129894541</v>
      </c>
      <c r="J1252" s="44" t="s">
        <v>27</v>
      </c>
      <c r="K1252" s="128">
        <v>1018.012123971757</v>
      </c>
      <c r="L1252" s="128">
        <v>22.0</v>
      </c>
      <c r="M1252" s="128">
        <v>1024.3962930881685</v>
      </c>
      <c r="N1252" s="44"/>
      <c r="O1252" s="128"/>
      <c r="P1252" s="128"/>
      <c r="Q1252" s="128"/>
      <c r="V1252" s="44" t="s">
        <v>47</v>
      </c>
      <c r="W1252" s="128">
        <v>988.8574036602054</v>
      </c>
      <c r="X1252" s="128">
        <v>14.0</v>
      </c>
      <c r="Y1252" s="128">
        <v>981.927318876772</v>
      </c>
      <c r="Z1252" s="44" t="s">
        <v>121</v>
      </c>
      <c r="AA1252" s="128">
        <v>1000.0</v>
      </c>
      <c r="AB1252" s="128">
        <v>13.0</v>
      </c>
      <c r="AC1252" s="128">
        <v>992.1094995094687</v>
      </c>
      <c r="AD1252" s="44" t="s">
        <v>92</v>
      </c>
      <c r="AE1252" s="128">
        <v>1002.7875349856408</v>
      </c>
      <c r="AF1252" s="128">
        <v>18.0</v>
      </c>
      <c r="AG1252" s="128">
        <v>997.6081202596054</v>
      </c>
      <c r="AH1252" s="44"/>
      <c r="AI1252" s="128"/>
      <c r="AJ1252" s="128"/>
      <c r="AK1252" s="128"/>
      <c r="AP1252" s="128">
        <v>18.0</v>
      </c>
      <c r="AQ1252" s="128">
        <v>10.0</v>
      </c>
      <c r="AT1252" s="44">
        <v>1251.0</v>
      </c>
      <c r="AU1252" s="44"/>
      <c r="AW1252" s="93"/>
      <c r="AY1252" s="93"/>
      <c r="AZ1252" s="93"/>
      <c r="BA1252" s="93"/>
      <c r="BB1252" s="155"/>
      <c r="BC1252" s="93"/>
      <c r="BE1252" s="93"/>
      <c r="BG1252" s="93"/>
      <c r="BH1252" s="93"/>
      <c r="BI1252" s="93"/>
      <c r="BJ1252" s="155"/>
      <c r="BK1252" s="93"/>
    </row>
    <row r="1253">
      <c r="A1253" s="166">
        <v>44828.00211753472</v>
      </c>
      <c r="B1253" s="44" t="s">
        <v>47</v>
      </c>
      <c r="C1253" s="128">
        <v>981.927318876772</v>
      </c>
      <c r="D1253" s="128">
        <v>26.0</v>
      </c>
      <c r="E1253" s="128">
        <v>981.937318876772</v>
      </c>
      <c r="F1253" s="44" t="s">
        <v>107</v>
      </c>
      <c r="G1253" s="128">
        <v>989.8729478380593</v>
      </c>
      <c r="H1253" s="128">
        <v>17.0</v>
      </c>
      <c r="I1253" s="128">
        <v>989.8829478380593</v>
      </c>
      <c r="J1253" s="44" t="s">
        <v>82</v>
      </c>
      <c r="K1253" s="128">
        <v>1001.3909129894541</v>
      </c>
      <c r="L1253" s="128">
        <v>17.0</v>
      </c>
      <c r="M1253" s="128">
        <v>1001.4009129894541</v>
      </c>
      <c r="N1253" s="44"/>
      <c r="O1253" s="128"/>
      <c r="P1253" s="128"/>
      <c r="Q1253" s="128"/>
      <c r="V1253" s="44" t="s">
        <v>613</v>
      </c>
      <c r="W1253" s="128">
        <v>950.0</v>
      </c>
      <c r="X1253" s="128">
        <v>16.0</v>
      </c>
      <c r="Y1253" s="128">
        <v>950.01</v>
      </c>
      <c r="Z1253" s="44" t="s">
        <v>125</v>
      </c>
      <c r="AA1253" s="128">
        <v>993.9968371641293</v>
      </c>
      <c r="AB1253" s="128">
        <v>21.0</v>
      </c>
      <c r="AC1253" s="128">
        <v>994.0068371641293</v>
      </c>
      <c r="AD1253" s="44" t="s">
        <v>27</v>
      </c>
      <c r="AE1253" s="128">
        <v>1024.3962930881685</v>
      </c>
      <c r="AF1253" s="128">
        <v>22.0</v>
      </c>
      <c r="AG1253" s="128">
        <v>1024.4062930881685</v>
      </c>
      <c r="AH1253" s="44"/>
      <c r="AI1253" s="128"/>
      <c r="AJ1253" s="128"/>
      <c r="AK1253" s="128"/>
      <c r="AP1253" s="128">
        <v>14.0</v>
      </c>
      <c r="AQ1253" s="128">
        <v>14.0</v>
      </c>
      <c r="AT1253" s="44">
        <v>1252.0</v>
      </c>
      <c r="AU1253" s="44"/>
      <c r="AW1253" s="93"/>
      <c r="AY1253" s="93"/>
      <c r="AZ1253" s="93"/>
      <c r="BA1253" s="93"/>
      <c r="BB1253" s="155"/>
      <c r="BC1253" s="93"/>
      <c r="BE1253" s="93"/>
      <c r="BG1253" s="93"/>
      <c r="BH1253" s="93"/>
      <c r="BI1253" s="93"/>
      <c r="BJ1253" s="155"/>
      <c r="BK1253" s="93"/>
    </row>
    <row r="1254">
      <c r="A1254" s="166">
        <v>44828.958849884264</v>
      </c>
      <c r="B1254" s="44" t="s">
        <v>47</v>
      </c>
      <c r="C1254" s="128">
        <v>981.937318876772</v>
      </c>
      <c r="D1254" s="128">
        <v>19.0</v>
      </c>
      <c r="E1254" s="128">
        <v>983.4675338286647</v>
      </c>
      <c r="F1254" s="44" t="s">
        <v>125</v>
      </c>
      <c r="G1254" s="128">
        <v>994.0068371641293</v>
      </c>
      <c r="H1254" s="128">
        <v>26.0</v>
      </c>
      <c r="I1254" s="128">
        <v>997.1575307303387</v>
      </c>
      <c r="J1254" s="44" t="s">
        <v>27</v>
      </c>
      <c r="K1254" s="128">
        <v>1024.4062930881685</v>
      </c>
      <c r="L1254" s="128">
        <v>35.0</v>
      </c>
      <c r="M1254" s="128">
        <v>1029.7253845700664</v>
      </c>
      <c r="N1254" s="44"/>
      <c r="O1254" s="128"/>
      <c r="P1254" s="128"/>
      <c r="Q1254" s="128"/>
      <c r="V1254" s="44" t="s">
        <v>54</v>
      </c>
      <c r="W1254" s="128">
        <v>1000.0</v>
      </c>
      <c r="X1254" s="128">
        <v>33.0</v>
      </c>
      <c r="Y1254" s="128">
        <v>998.9168295035557</v>
      </c>
      <c r="Z1254" s="44" t="s">
        <v>117</v>
      </c>
      <c r="AA1254" s="128">
        <v>1000.0</v>
      </c>
      <c r="AB1254" s="128">
        <v>13.0</v>
      </c>
      <c r="AC1254" s="128">
        <v>993.3612739480002</v>
      </c>
      <c r="AD1254" s="44" t="s">
        <v>38</v>
      </c>
      <c r="AE1254" s="128">
        <v>1006.3351067062274</v>
      </c>
      <c r="AF1254" s="128">
        <v>29.0</v>
      </c>
      <c r="AG1254" s="128">
        <v>1004.0570032546715</v>
      </c>
      <c r="AH1254" s="44"/>
      <c r="AI1254" s="128"/>
      <c r="AJ1254" s="128"/>
      <c r="AK1254" s="128"/>
      <c r="AP1254" s="128">
        <v>23.0</v>
      </c>
      <c r="AQ1254" s="128">
        <v>19.0</v>
      </c>
      <c r="AT1254" s="44">
        <v>1253.0</v>
      </c>
      <c r="AU1254" s="44"/>
      <c r="AW1254" s="93"/>
      <c r="AY1254" s="93"/>
      <c r="AZ1254" s="93"/>
      <c r="BA1254" s="93"/>
      <c r="BB1254" s="155"/>
      <c r="BC1254" s="93"/>
      <c r="BE1254" s="93"/>
      <c r="BG1254" s="93"/>
      <c r="BH1254" s="93"/>
      <c r="BI1254" s="93"/>
      <c r="BJ1254" s="155"/>
      <c r="BK1254" s="93"/>
    </row>
    <row r="1255">
      <c r="A1255" s="166">
        <v>44829.012537766204</v>
      </c>
      <c r="B1255" s="44" t="s">
        <v>47</v>
      </c>
      <c r="C1255" s="128">
        <v>983.4675338286647</v>
      </c>
      <c r="D1255" s="128">
        <v>18.0</v>
      </c>
      <c r="E1255" s="128">
        <v>987.4286233579744</v>
      </c>
      <c r="F1255" s="44" t="s">
        <v>117</v>
      </c>
      <c r="G1255" s="128">
        <v>993.3612739480002</v>
      </c>
      <c r="H1255" s="128">
        <v>13.0</v>
      </c>
      <c r="I1255" s="128">
        <v>994.9359017626807</v>
      </c>
      <c r="J1255" s="44" t="s">
        <v>54</v>
      </c>
      <c r="K1255" s="128">
        <v>998.9168295035557</v>
      </c>
      <c r="L1255" s="128">
        <v>37.0</v>
      </c>
      <c r="M1255" s="128">
        <v>1010.3626871911243</v>
      </c>
      <c r="N1255" s="44" t="s">
        <v>38</v>
      </c>
      <c r="O1255" s="128">
        <v>1004.0570032546715</v>
      </c>
      <c r="P1255" s="128">
        <v>17.0</v>
      </c>
      <c r="Q1255" s="128">
        <v>1007.0754282231126</v>
      </c>
      <c r="V1255" s="44" t="s">
        <v>613</v>
      </c>
      <c r="W1255" s="128">
        <v>950.01</v>
      </c>
      <c r="X1255" s="128">
        <v>10.0</v>
      </c>
      <c r="Y1255" s="128">
        <v>943.6363470366788</v>
      </c>
      <c r="Z1255" s="44" t="s">
        <v>125</v>
      </c>
      <c r="AA1255" s="128">
        <v>997.1575307303387</v>
      </c>
      <c r="AB1255" s="128">
        <v>10.0</v>
      </c>
      <c r="AC1255" s="128">
        <v>989.116563938063</v>
      </c>
      <c r="AD1255" s="44" t="s">
        <v>82</v>
      </c>
      <c r="AE1255" s="128">
        <v>1001.4009129894541</v>
      </c>
      <c r="AF1255" s="128">
        <v>19.0</v>
      </c>
      <c r="AG1255" s="128">
        <v>997.040545573869</v>
      </c>
      <c r="AH1255" s="44" t="s">
        <v>27</v>
      </c>
      <c r="AI1255" s="128">
        <v>1029.7253845700664</v>
      </c>
      <c r="AJ1255" s="128">
        <v>27.0</v>
      </c>
      <c r="AK1255" s="128">
        <v>1028.5003717412483</v>
      </c>
      <c r="AP1255" s="128">
        <v>18.0</v>
      </c>
      <c r="AQ1255" s="128">
        <v>10.0</v>
      </c>
      <c r="AT1255" s="44">
        <v>1254.0</v>
      </c>
      <c r="AU1255" s="44"/>
      <c r="AW1255" s="93"/>
      <c r="AY1255" s="93"/>
      <c r="AZ1255" s="93"/>
      <c r="BA1255" s="93"/>
      <c r="BB1255" s="155"/>
      <c r="BC1255" s="93"/>
      <c r="BE1255" s="93"/>
      <c r="BG1255" s="93"/>
      <c r="BH1255" s="93"/>
      <c r="BI1255" s="93"/>
      <c r="BJ1255" s="155"/>
      <c r="BK1255" s="93"/>
    </row>
    <row r="1256">
      <c r="A1256" s="166">
        <v>44831.899830787035</v>
      </c>
      <c r="B1256" s="44" t="s">
        <v>47</v>
      </c>
      <c r="C1256" s="128">
        <v>987.4286233579744</v>
      </c>
      <c r="D1256" s="128">
        <v>29.0</v>
      </c>
      <c r="E1256" s="128">
        <v>984.637353344724</v>
      </c>
      <c r="F1256" s="44" t="s">
        <v>34</v>
      </c>
      <c r="G1256" s="128">
        <v>1003.7945395913766</v>
      </c>
      <c r="H1256" s="128">
        <v>30.0</v>
      </c>
      <c r="I1256" s="128">
        <v>1000.9710702777443</v>
      </c>
      <c r="J1256" s="44" t="s">
        <v>27</v>
      </c>
      <c r="K1256" s="128">
        <v>1028.5003717412483</v>
      </c>
      <c r="L1256" s="128">
        <v>25.0</v>
      </c>
      <c r="M1256" s="128">
        <v>1024.115111068131</v>
      </c>
      <c r="N1256" s="44"/>
      <c r="O1256" s="128"/>
      <c r="P1256" s="128"/>
      <c r="Q1256" s="128"/>
      <c r="V1256" s="44" t="s">
        <v>82</v>
      </c>
      <c r="W1256" s="128">
        <v>997.040545573869</v>
      </c>
      <c r="X1256" s="128">
        <v>16.0</v>
      </c>
      <c r="Y1256" s="128">
        <v>997.050545573869</v>
      </c>
      <c r="Z1256" s="44" t="s">
        <v>38</v>
      </c>
      <c r="AA1256" s="128">
        <v>1007.0754282231126</v>
      </c>
      <c r="AB1256" s="128">
        <v>29.0</v>
      </c>
      <c r="AC1256" s="128">
        <v>1010.379269029258</v>
      </c>
      <c r="AD1256" s="44" t="s">
        <v>23</v>
      </c>
      <c r="AE1256" s="128">
        <v>1013.28894940251</v>
      </c>
      <c r="AF1256" s="128">
        <v>42.0</v>
      </c>
      <c r="AG1256" s="128">
        <v>1020.1428424604462</v>
      </c>
      <c r="AH1256" s="44"/>
      <c r="AI1256" s="128"/>
      <c r="AJ1256" s="128"/>
      <c r="AK1256" s="128"/>
      <c r="AP1256" s="128">
        <v>19.0</v>
      </c>
      <c r="AQ1256" s="128">
        <v>23.0</v>
      </c>
      <c r="AT1256" s="44">
        <v>1255.0</v>
      </c>
      <c r="AU1256" s="44"/>
      <c r="AW1256" s="93"/>
      <c r="AY1256" s="93"/>
      <c r="AZ1256" s="93"/>
      <c r="BA1256" s="93"/>
      <c r="BB1256" s="155"/>
      <c r="BC1256" s="93"/>
      <c r="BE1256" s="93"/>
      <c r="BG1256" s="93"/>
      <c r="BH1256" s="93"/>
      <c r="BI1256" s="93"/>
      <c r="BJ1256" s="155"/>
      <c r="BK1256" s="93"/>
    </row>
    <row r="1257">
      <c r="A1257" s="166">
        <v>44831.94227071759</v>
      </c>
      <c r="B1257" s="44" t="s">
        <v>47</v>
      </c>
      <c r="C1257" s="128">
        <v>984.637353344724</v>
      </c>
      <c r="D1257" s="128">
        <v>15.0</v>
      </c>
      <c r="E1257" s="128">
        <v>977.9630617003347</v>
      </c>
      <c r="F1257" s="44" t="s">
        <v>38</v>
      </c>
      <c r="G1257" s="128">
        <v>1010.379269029258</v>
      </c>
      <c r="H1257" s="128">
        <v>15.0</v>
      </c>
      <c r="I1257" s="128">
        <v>1003.1992997624749</v>
      </c>
      <c r="J1257" s="44" t="s">
        <v>23</v>
      </c>
      <c r="K1257" s="128">
        <v>1020.1428424604462</v>
      </c>
      <c r="L1257" s="128">
        <v>17.0</v>
      </c>
      <c r="M1257" s="128">
        <v>1013.9971033716187</v>
      </c>
      <c r="N1257" s="44"/>
      <c r="O1257" s="128"/>
      <c r="P1257" s="128"/>
      <c r="Q1257" s="128"/>
      <c r="V1257" s="44" t="s">
        <v>110</v>
      </c>
      <c r="W1257" s="128">
        <v>992.6686747985184</v>
      </c>
      <c r="X1257" s="128">
        <v>24.0</v>
      </c>
      <c r="Y1257" s="128">
        <v>1001.7927706714776</v>
      </c>
      <c r="Z1257" s="44" t="s">
        <v>34</v>
      </c>
      <c r="AA1257" s="128">
        <v>1000.9710702777443</v>
      </c>
      <c r="AB1257" s="128">
        <v>18.0</v>
      </c>
      <c r="AC1257" s="128">
        <v>1006.5510477589016</v>
      </c>
      <c r="AD1257" s="44" t="s">
        <v>27</v>
      </c>
      <c r="AE1257" s="128">
        <v>1024.115111068131</v>
      </c>
      <c r="AF1257" s="128">
        <v>18.0</v>
      </c>
      <c r="AG1257" s="128">
        <v>1029.4110377140146</v>
      </c>
      <c r="AH1257" s="44"/>
      <c r="AI1257" s="128"/>
      <c r="AJ1257" s="128"/>
      <c r="AK1257" s="128"/>
      <c r="AP1257" s="128">
        <v>12.0</v>
      </c>
      <c r="AQ1257" s="128">
        <v>16.0</v>
      </c>
      <c r="AT1257" s="44">
        <v>1256.0</v>
      </c>
      <c r="AU1257" s="44"/>
      <c r="AW1257" s="93"/>
      <c r="AY1257" s="93"/>
      <c r="AZ1257" s="93"/>
      <c r="BA1257" s="93"/>
      <c r="BB1257" s="155"/>
      <c r="BC1257" s="93"/>
      <c r="BE1257" s="93"/>
      <c r="BG1257" s="93"/>
      <c r="BH1257" s="93"/>
      <c r="BI1257" s="93"/>
      <c r="BJ1257" s="155"/>
      <c r="BK1257" s="93"/>
    </row>
    <row r="1258">
      <c r="A1258" s="166">
        <v>44831.990291574075</v>
      </c>
      <c r="B1258" s="44" t="s">
        <v>47</v>
      </c>
      <c r="C1258" s="128">
        <v>977.9630617003347</v>
      </c>
      <c r="D1258" s="128">
        <v>20.0</v>
      </c>
      <c r="E1258" s="128">
        <v>974.0295426094757</v>
      </c>
      <c r="F1258" s="44" t="s">
        <v>112</v>
      </c>
      <c r="G1258" s="128">
        <v>996.4062024343716</v>
      </c>
      <c r="H1258" s="128">
        <v>16.0</v>
      </c>
      <c r="I1258" s="128">
        <v>990.362282240211</v>
      </c>
      <c r="J1258" s="44" t="s">
        <v>34</v>
      </c>
      <c r="K1258" s="128">
        <v>1006.5510477589016</v>
      </c>
      <c r="L1258" s="128">
        <v>16.0</v>
      </c>
      <c r="M1258" s="128">
        <v>1000.3602306190502</v>
      </c>
      <c r="N1258" s="44" t="s">
        <v>27</v>
      </c>
      <c r="O1258" s="128">
        <v>1029.4110377140146</v>
      </c>
      <c r="P1258" s="128">
        <v>22.0</v>
      </c>
      <c r="Q1258" s="128">
        <v>1025.5792941388856</v>
      </c>
      <c r="V1258" s="44" t="s">
        <v>125</v>
      </c>
      <c r="W1258" s="128">
        <v>989.116563938063</v>
      </c>
      <c r="X1258" s="128">
        <v>14.0</v>
      </c>
      <c r="Y1258" s="128">
        <v>991.0337118729988</v>
      </c>
      <c r="Z1258" s="44" t="s">
        <v>110</v>
      </c>
      <c r="AA1258" s="128">
        <v>1001.7927706714776</v>
      </c>
      <c r="AB1258" s="128">
        <v>20.0</v>
      </c>
      <c r="AC1258" s="128">
        <v>1005.9350265932503</v>
      </c>
      <c r="AD1258" s="44" t="s">
        <v>38</v>
      </c>
      <c r="AE1258" s="128">
        <v>1003.1992997624749</v>
      </c>
      <c r="AF1258" s="128">
        <v>23.0</v>
      </c>
      <c r="AG1258" s="128">
        <v>1008.5686592516007</v>
      </c>
      <c r="AH1258" s="44" t="s">
        <v>23</v>
      </c>
      <c r="AI1258" s="128">
        <v>1013.9971033716187</v>
      </c>
      <c r="AJ1258" s="128">
        <v>31.0</v>
      </c>
      <c r="AK1258" s="128">
        <v>1022.5683400257843</v>
      </c>
      <c r="AP1258" s="128">
        <v>12.0</v>
      </c>
      <c r="AQ1258" s="128">
        <v>16.0</v>
      </c>
      <c r="AT1258" s="44">
        <v>1257.0</v>
      </c>
      <c r="AU1258" s="44"/>
      <c r="AW1258" s="93"/>
      <c r="AY1258" s="93"/>
      <c r="AZ1258" s="93"/>
      <c r="BA1258" s="93"/>
      <c r="BB1258" s="155"/>
      <c r="BC1258" s="93"/>
      <c r="BE1258" s="93"/>
      <c r="BG1258" s="93"/>
      <c r="BH1258" s="93"/>
      <c r="BI1258" s="93"/>
      <c r="BJ1258" s="155"/>
      <c r="BK1258" s="93"/>
    </row>
    <row r="1259">
      <c r="A1259" s="166">
        <v>44832.03575917824</v>
      </c>
      <c r="B1259" s="44" t="s">
        <v>47</v>
      </c>
      <c r="C1259" s="128">
        <v>974.0295426094757</v>
      </c>
      <c r="D1259" s="128">
        <v>16.0</v>
      </c>
      <c r="E1259" s="128">
        <v>966.1785172304326</v>
      </c>
      <c r="F1259" s="44" t="s">
        <v>34</v>
      </c>
      <c r="G1259" s="128">
        <v>1000.3602306190502</v>
      </c>
      <c r="H1259" s="128">
        <v>14.0</v>
      </c>
      <c r="I1259" s="128">
        <v>990.5443173850165</v>
      </c>
      <c r="J1259" s="44" t="s">
        <v>27</v>
      </c>
      <c r="K1259" s="128">
        <v>1025.5792941388856</v>
      </c>
      <c r="L1259" s="128">
        <v>28.0</v>
      </c>
      <c r="M1259" s="128">
        <v>1023.2462327519625</v>
      </c>
      <c r="N1259" s="44"/>
      <c r="O1259" s="128"/>
      <c r="P1259" s="128"/>
      <c r="Q1259" s="128"/>
      <c r="V1259" s="44" t="s">
        <v>112</v>
      </c>
      <c r="W1259" s="128">
        <v>990.362282240211</v>
      </c>
      <c r="X1259" s="128">
        <v>14.0</v>
      </c>
      <c r="Y1259" s="128">
        <v>993.1543742082879</v>
      </c>
      <c r="Z1259" s="44" t="s">
        <v>125</v>
      </c>
      <c r="AA1259" s="128">
        <v>991.0337118729988</v>
      </c>
      <c r="AB1259" s="128">
        <v>19.0</v>
      </c>
      <c r="AC1259" s="128">
        <v>996.5822065894541</v>
      </c>
      <c r="AD1259" s="44" t="s">
        <v>23</v>
      </c>
      <c r="AE1259" s="128">
        <v>1022.5683400257843</v>
      </c>
      <c r="AF1259" s="128">
        <v>31.0</v>
      </c>
      <c r="AG1259" s="128">
        <v>1034.227753341252</v>
      </c>
      <c r="AH1259" s="44"/>
      <c r="AI1259" s="128"/>
      <c r="AJ1259" s="128"/>
      <c r="AK1259" s="128"/>
      <c r="AP1259" s="128">
        <v>12.0</v>
      </c>
      <c r="AQ1259" s="128">
        <v>15.0</v>
      </c>
      <c r="AT1259" s="44">
        <v>1258.0</v>
      </c>
      <c r="AU1259" s="44"/>
      <c r="AW1259" s="93"/>
      <c r="AY1259" s="93"/>
      <c r="AZ1259" s="93"/>
      <c r="BA1259" s="93"/>
      <c r="BB1259" s="155"/>
      <c r="BC1259" s="93"/>
      <c r="BE1259" s="93"/>
      <c r="BG1259" s="93"/>
      <c r="BH1259" s="93"/>
      <c r="BI1259" s="93"/>
      <c r="BJ1259" s="155"/>
      <c r="BK1259" s="93"/>
    </row>
    <row r="1260">
      <c r="A1260" s="166">
        <v>44832.97658260417</v>
      </c>
      <c r="B1260" s="44" t="s">
        <v>47</v>
      </c>
      <c r="C1260" s="128">
        <v>966.1785172304326</v>
      </c>
      <c r="D1260" s="128">
        <v>27.0</v>
      </c>
      <c r="E1260" s="128">
        <v>978.1685219387123</v>
      </c>
      <c r="F1260" s="44" t="s">
        <v>38</v>
      </c>
      <c r="G1260" s="128">
        <v>1008.5686592516007</v>
      </c>
      <c r="H1260" s="128">
        <v>11.0</v>
      </c>
      <c r="I1260" s="128">
        <v>1010.4422032714614</v>
      </c>
      <c r="J1260" s="44" t="s">
        <v>23</v>
      </c>
      <c r="K1260" s="128">
        <v>1034.227753341252</v>
      </c>
      <c r="L1260" s="128">
        <v>19.0</v>
      </c>
      <c r="M1260" s="128">
        <v>1040.3642046131117</v>
      </c>
      <c r="N1260" s="44"/>
      <c r="O1260" s="128"/>
      <c r="P1260" s="128"/>
      <c r="Q1260" s="128"/>
      <c r="V1260" s="44" t="s">
        <v>34</v>
      </c>
      <c r="W1260" s="128">
        <v>990.5443173850165</v>
      </c>
      <c r="X1260" s="128">
        <v>14.0</v>
      </c>
      <c r="Y1260" s="128">
        <v>982.5565311428808</v>
      </c>
      <c r="Z1260" s="44" t="s">
        <v>112</v>
      </c>
      <c r="AA1260" s="128">
        <v>993.1543742082879</v>
      </c>
      <c r="AB1260" s="128">
        <v>15.0</v>
      </c>
      <c r="AC1260" s="128">
        <v>985.6651075734652</v>
      </c>
      <c r="AD1260" s="44" t="s">
        <v>27</v>
      </c>
      <c r="AE1260" s="128">
        <v>1023.2462327519625</v>
      </c>
      <c r="AF1260" s="128">
        <v>21.0</v>
      </c>
      <c r="AG1260" s="128">
        <v>1018.7232856289208</v>
      </c>
      <c r="AH1260" s="44"/>
      <c r="AI1260" s="128"/>
      <c r="AJ1260" s="128"/>
      <c r="AK1260" s="128"/>
      <c r="AP1260" s="128">
        <v>16.0</v>
      </c>
      <c r="AQ1260" s="128">
        <v>12.0</v>
      </c>
      <c r="AR1260" s="44" t="s">
        <v>614</v>
      </c>
      <c r="AT1260" s="44">
        <v>1259.0</v>
      </c>
      <c r="AU1260" s="44"/>
      <c r="AW1260" s="93"/>
      <c r="AY1260" s="93"/>
      <c r="AZ1260" s="93"/>
      <c r="BA1260" s="93"/>
      <c r="BB1260" s="155"/>
      <c r="BC1260" s="93"/>
      <c r="BE1260" s="93"/>
      <c r="BG1260" s="93"/>
      <c r="BH1260" s="93"/>
      <c r="BI1260" s="93"/>
      <c r="BJ1260" s="155"/>
      <c r="BK1260" s="93"/>
    </row>
    <row r="1261">
      <c r="A1261" s="166">
        <v>44833.006367662034</v>
      </c>
      <c r="B1261" s="44" t="s">
        <v>47</v>
      </c>
      <c r="C1261" s="128">
        <v>978.1685219387123</v>
      </c>
      <c r="D1261" s="128">
        <v>15.0</v>
      </c>
      <c r="E1261" s="128">
        <v>980.6325331891177</v>
      </c>
      <c r="F1261" s="44" t="s">
        <v>125</v>
      </c>
      <c r="G1261" s="128">
        <v>996.5822065894541</v>
      </c>
      <c r="H1261" s="128">
        <v>14.0</v>
      </c>
      <c r="I1261" s="128">
        <v>998.5054607198128</v>
      </c>
      <c r="J1261" s="44" t="s">
        <v>23</v>
      </c>
      <c r="K1261" s="128">
        <v>1040.3642046131117</v>
      </c>
      <c r="L1261" s="128">
        <v>28.0</v>
      </c>
      <c r="M1261" s="128">
        <v>1045.9769392323476</v>
      </c>
      <c r="N1261" s="44"/>
      <c r="O1261" s="128"/>
      <c r="P1261" s="128"/>
      <c r="Q1261" s="128"/>
      <c r="V1261" s="44" t="s">
        <v>34</v>
      </c>
      <c r="W1261" s="128">
        <v>982.5565311428808</v>
      </c>
      <c r="X1261" s="128">
        <v>24.0</v>
      </c>
      <c r="Y1261" s="128">
        <v>981.5369977973046</v>
      </c>
      <c r="Z1261" s="44" t="s">
        <v>38</v>
      </c>
      <c r="AA1261" s="128">
        <v>1010.4422032714614</v>
      </c>
      <c r="AB1261" s="128">
        <v>6.0</v>
      </c>
      <c r="AC1261" s="128">
        <v>1004.163815328351</v>
      </c>
      <c r="AD1261" s="44" t="s">
        <v>27</v>
      </c>
      <c r="AE1261" s="128">
        <v>1018.7232856289208</v>
      </c>
      <c r="AF1261" s="128">
        <v>19.0</v>
      </c>
      <c r="AG1261" s="128">
        <v>1016.0212069176073</v>
      </c>
      <c r="AH1261" s="44"/>
      <c r="AI1261" s="128"/>
      <c r="AJ1261" s="128"/>
      <c r="AK1261" s="128"/>
      <c r="AP1261" s="128">
        <v>15.0</v>
      </c>
      <c r="AQ1261" s="128">
        <v>13.0</v>
      </c>
      <c r="AR1261" s="44" t="s">
        <v>615</v>
      </c>
      <c r="AT1261" s="44">
        <v>1260.0</v>
      </c>
      <c r="AU1261" s="44"/>
      <c r="AW1261" s="93"/>
      <c r="AY1261" s="93"/>
      <c r="AZ1261" s="93"/>
      <c r="BA1261" s="93"/>
      <c r="BB1261" s="155"/>
      <c r="BC1261" s="93"/>
      <c r="BE1261" s="93"/>
      <c r="BG1261" s="93"/>
      <c r="BH1261" s="93"/>
      <c r="BI1261" s="93"/>
      <c r="BJ1261" s="155"/>
      <c r="BK1261" s="93"/>
    </row>
    <row r="1262">
      <c r="A1262" s="166">
        <v>44833.92161149306</v>
      </c>
      <c r="B1262" s="44" t="s">
        <v>47</v>
      </c>
      <c r="C1262" s="128">
        <v>980.6325331891177</v>
      </c>
      <c r="D1262" s="128">
        <v>43.0</v>
      </c>
      <c r="E1262" s="128">
        <v>994.2713530898319</v>
      </c>
      <c r="F1262" s="44" t="s">
        <v>108</v>
      </c>
      <c r="G1262" s="128">
        <v>1000.0</v>
      </c>
      <c r="H1262" s="128">
        <v>18.0</v>
      </c>
      <c r="I1262" s="128">
        <v>1000.01</v>
      </c>
      <c r="J1262" s="44" t="s">
        <v>27</v>
      </c>
      <c r="K1262" s="128">
        <v>1016.0212069176073</v>
      </c>
      <c r="L1262" s="128">
        <v>34.0</v>
      </c>
      <c r="M1262" s="128">
        <v>1023.4643471782736</v>
      </c>
      <c r="N1262" s="44"/>
      <c r="O1262" s="128"/>
      <c r="P1262" s="128"/>
      <c r="Q1262" s="128"/>
      <c r="V1262" s="44" t="s">
        <v>123</v>
      </c>
      <c r="W1262" s="128">
        <v>994.8207074481583</v>
      </c>
      <c r="X1262" s="128">
        <v>16.0</v>
      </c>
      <c r="Y1262" s="128">
        <v>983.2695763689676</v>
      </c>
      <c r="Z1262" s="44" t="s">
        <v>92</v>
      </c>
      <c r="AA1262" s="128">
        <v>997.6081202596054</v>
      </c>
      <c r="AB1262" s="128">
        <v>33.0</v>
      </c>
      <c r="AC1262" s="128">
        <v>995.4235215962487</v>
      </c>
      <c r="AD1262" s="44" t="s">
        <v>110</v>
      </c>
      <c r="AE1262" s="128">
        <v>1005.9350265932503</v>
      </c>
      <c r="AF1262" s="128">
        <v>26.0</v>
      </c>
      <c r="AG1262" s="128">
        <v>999.6707563357976</v>
      </c>
      <c r="AH1262" s="44"/>
      <c r="AI1262" s="128"/>
      <c r="AJ1262" s="128"/>
      <c r="AK1262" s="128"/>
      <c r="AP1262" s="128">
        <v>26.0</v>
      </c>
      <c r="AQ1262" s="128">
        <v>16.0</v>
      </c>
      <c r="AT1262" s="44">
        <v>1261.0</v>
      </c>
      <c r="AU1262" s="44"/>
      <c r="AW1262" s="93"/>
      <c r="AY1262" s="93"/>
      <c r="AZ1262" s="93"/>
      <c r="BA1262" s="93"/>
      <c r="BB1262" s="155"/>
      <c r="BC1262" s="93"/>
      <c r="BE1262" s="93"/>
      <c r="BG1262" s="93"/>
      <c r="BH1262" s="93"/>
      <c r="BI1262" s="93"/>
      <c r="BJ1262" s="155"/>
      <c r="BK1262" s="93"/>
    </row>
    <row r="1263">
      <c r="A1263" s="166">
        <v>44833.986122476854</v>
      </c>
      <c r="B1263" s="44" t="s">
        <v>107</v>
      </c>
      <c r="C1263" s="128">
        <v>989.8829478380593</v>
      </c>
      <c r="D1263" s="128">
        <v>25.0</v>
      </c>
      <c r="E1263" s="128">
        <v>987.6855670349129</v>
      </c>
      <c r="F1263" s="44" t="s">
        <v>47</v>
      </c>
      <c r="G1263" s="128">
        <v>994.2713530898319</v>
      </c>
      <c r="H1263" s="128">
        <v>12.0</v>
      </c>
      <c r="I1263" s="128">
        <v>986.5802544015326</v>
      </c>
      <c r="J1263" s="44" t="s">
        <v>125</v>
      </c>
      <c r="K1263" s="128">
        <v>998.5054607198128</v>
      </c>
      <c r="L1263" s="128">
        <v>15.0</v>
      </c>
      <c r="M1263" s="128">
        <v>991.9994977375977</v>
      </c>
      <c r="N1263" s="44" t="s">
        <v>110</v>
      </c>
      <c r="O1263" s="128">
        <v>999.6707563357976</v>
      </c>
      <c r="P1263" s="128">
        <v>22.0</v>
      </c>
      <c r="Q1263" s="128">
        <v>996.0651988094585</v>
      </c>
      <c r="V1263" s="44" t="s">
        <v>34</v>
      </c>
      <c r="W1263" s="128">
        <v>981.5369977973046</v>
      </c>
      <c r="X1263" s="128">
        <v>28.0</v>
      </c>
      <c r="Y1263" s="128">
        <v>988.8073894894228</v>
      </c>
      <c r="Z1263" s="44" t="s">
        <v>112</v>
      </c>
      <c r="AA1263" s="128">
        <v>985.6651075734652</v>
      </c>
      <c r="AB1263" s="128">
        <v>28.0</v>
      </c>
      <c r="AC1263" s="128">
        <v>992.8203305099182</v>
      </c>
      <c r="AD1263" s="44" t="s">
        <v>82</v>
      </c>
      <c r="AE1263" s="128">
        <v>997.050545573869</v>
      </c>
      <c r="AF1263" s="128">
        <v>15.0</v>
      </c>
      <c r="AG1263" s="128">
        <v>998.5309755381036</v>
      </c>
      <c r="AH1263" s="44" t="s">
        <v>27</v>
      </c>
      <c r="AI1263" s="128">
        <v>1023.4643471782736</v>
      </c>
      <c r="AJ1263" s="128">
        <v>22.0</v>
      </c>
      <c r="AK1263" s="128">
        <v>1027.5583025854678</v>
      </c>
      <c r="AP1263" s="128">
        <v>11.0</v>
      </c>
      <c r="AQ1263" s="128">
        <v>17.0</v>
      </c>
      <c r="AT1263" s="44">
        <v>1262.0</v>
      </c>
      <c r="AU1263" s="44"/>
      <c r="AW1263" s="93"/>
      <c r="AY1263" s="93"/>
      <c r="AZ1263" s="93"/>
      <c r="BA1263" s="93"/>
      <c r="BB1263" s="155"/>
      <c r="BC1263" s="93"/>
      <c r="BE1263" s="93"/>
      <c r="BG1263" s="93"/>
      <c r="BH1263" s="93"/>
      <c r="BI1263" s="93"/>
      <c r="BJ1263" s="155"/>
      <c r="BK1263" s="93"/>
    </row>
    <row r="1264">
      <c r="A1264" s="166">
        <v>44834.02014548611</v>
      </c>
      <c r="B1264" s="44" t="s">
        <v>47</v>
      </c>
      <c r="C1264" s="128">
        <v>986.5802544015326</v>
      </c>
      <c r="D1264" s="128">
        <v>23.0</v>
      </c>
      <c r="E1264" s="128">
        <v>992.3710427371235</v>
      </c>
      <c r="F1264" s="44" t="s">
        <v>107</v>
      </c>
      <c r="G1264" s="128">
        <v>987.6855670349129</v>
      </c>
      <c r="H1264" s="128">
        <v>15.0</v>
      </c>
      <c r="I1264" s="128">
        <v>990.2860750378447</v>
      </c>
      <c r="J1264" s="44" t="s">
        <v>125</v>
      </c>
      <c r="K1264" s="128">
        <v>991.9994977375977</v>
      </c>
      <c r="L1264" s="128">
        <v>15.0</v>
      </c>
      <c r="M1264" s="128">
        <v>994.514420150934</v>
      </c>
      <c r="N1264" s="44" t="s">
        <v>27</v>
      </c>
      <c r="O1264" s="128">
        <v>1027.5583025854678</v>
      </c>
      <c r="P1264" s="128">
        <v>30.0</v>
      </c>
      <c r="Q1264" s="128">
        <v>1035.6520838336087</v>
      </c>
      <c r="V1264" s="44" t="s">
        <v>34</v>
      </c>
      <c r="W1264" s="128">
        <v>988.8073894894228</v>
      </c>
      <c r="X1264" s="128">
        <v>23.0</v>
      </c>
      <c r="Y1264" s="128">
        <v>986.0219605306385</v>
      </c>
      <c r="Z1264" s="44" t="s">
        <v>112</v>
      </c>
      <c r="AA1264" s="128">
        <v>992.8203305099182</v>
      </c>
      <c r="AB1264" s="128">
        <v>19.0</v>
      </c>
      <c r="AC1264" s="128">
        <v>988.3834025398164</v>
      </c>
      <c r="AD1264" s="44" t="s">
        <v>110</v>
      </c>
      <c r="AE1264" s="128">
        <v>996.0651988094585</v>
      </c>
      <c r="AF1264" s="128">
        <v>19.0</v>
      </c>
      <c r="AG1264" s="128">
        <v>991.5788834149855</v>
      </c>
      <c r="AH1264" s="44" t="s">
        <v>82</v>
      </c>
      <c r="AI1264" s="128">
        <v>998.5309755381036</v>
      </c>
      <c r="AJ1264" s="128">
        <v>12.0</v>
      </c>
      <c r="AK1264" s="128">
        <v>991.2396478614627</v>
      </c>
      <c r="AP1264" s="128">
        <v>17.0</v>
      </c>
      <c r="AQ1264" s="128">
        <v>11.0</v>
      </c>
      <c r="AT1264" s="44">
        <v>1263.0</v>
      </c>
      <c r="AU1264" s="44"/>
      <c r="AW1264" s="93"/>
      <c r="AY1264" s="93"/>
      <c r="AZ1264" s="93"/>
      <c r="BA1264" s="93"/>
      <c r="BB1264" s="155"/>
      <c r="BC1264" s="93"/>
      <c r="BE1264" s="93"/>
      <c r="BG1264" s="93"/>
      <c r="BH1264" s="93"/>
      <c r="BI1264" s="93"/>
      <c r="BJ1264" s="155"/>
      <c r="BK1264" s="93"/>
    </row>
    <row r="1265">
      <c r="A1265" s="166">
        <v>44840.97610637732</v>
      </c>
      <c r="B1265" s="44" t="s">
        <v>112</v>
      </c>
      <c r="C1265" s="128">
        <v>988.3834025398164</v>
      </c>
      <c r="D1265" s="128">
        <v>18.0</v>
      </c>
      <c r="E1265" s="128">
        <v>982.1244867578275</v>
      </c>
      <c r="F1265" s="44" t="s">
        <v>125</v>
      </c>
      <c r="G1265" s="128">
        <v>994.514420150934</v>
      </c>
      <c r="H1265" s="128">
        <v>15.0</v>
      </c>
      <c r="I1265" s="128">
        <v>986.4573763964745</v>
      </c>
      <c r="J1265" s="44" t="s">
        <v>23</v>
      </c>
      <c r="K1265" s="128">
        <v>1045.9769392323476</v>
      </c>
      <c r="L1265" s="128">
        <v>20.0</v>
      </c>
      <c r="M1265" s="128">
        <v>1040.292898768796</v>
      </c>
      <c r="N1265" s="44"/>
      <c r="O1265" s="128"/>
      <c r="P1265" s="128"/>
      <c r="Q1265" s="128"/>
      <c r="V1265" s="44" t="s">
        <v>47</v>
      </c>
      <c r="W1265" s="128">
        <v>992.3710427371235</v>
      </c>
      <c r="X1265" s="128">
        <v>16.0</v>
      </c>
      <c r="Y1265" s="128">
        <v>997.5976793569412</v>
      </c>
      <c r="Z1265" s="44" t="s">
        <v>38</v>
      </c>
      <c r="AA1265" s="128">
        <v>1004.163815328351</v>
      </c>
      <c r="AB1265" s="128">
        <v>14.0</v>
      </c>
      <c r="AC1265" s="128">
        <v>1008.0605729091225</v>
      </c>
      <c r="AD1265" s="44" t="s">
        <v>27</v>
      </c>
      <c r="AE1265" s="128">
        <v>1035.6520838336087</v>
      </c>
      <c r="AF1265" s="128">
        <v>27.0</v>
      </c>
      <c r="AG1265" s="128">
        <v>1046.5286896330194</v>
      </c>
      <c r="AH1265" s="44"/>
      <c r="AI1265" s="128"/>
      <c r="AJ1265" s="128"/>
      <c r="AK1265" s="128"/>
      <c r="AP1265" s="128">
        <v>12.0</v>
      </c>
      <c r="AQ1265" s="128">
        <v>16.0</v>
      </c>
      <c r="AT1265" s="44">
        <v>1264.0</v>
      </c>
      <c r="AU1265" s="44"/>
      <c r="AW1265" s="93"/>
      <c r="AY1265" s="93"/>
      <c r="AZ1265" s="93"/>
      <c r="BA1265" s="93"/>
      <c r="BB1265" s="155"/>
      <c r="BC1265" s="93"/>
      <c r="BE1265" s="93"/>
      <c r="BG1265" s="93"/>
      <c r="BH1265" s="93"/>
      <c r="BI1265" s="93"/>
      <c r="BJ1265" s="155"/>
      <c r="BK1265" s="93"/>
    </row>
    <row r="1266">
      <c r="A1266" s="166">
        <v>44841.01578199074</v>
      </c>
      <c r="B1266" s="44" t="s">
        <v>110</v>
      </c>
      <c r="C1266" s="128">
        <v>991.5788834149855</v>
      </c>
      <c r="D1266" s="128">
        <v>16.0</v>
      </c>
      <c r="E1266" s="128">
        <v>994.1459263404914</v>
      </c>
      <c r="F1266" s="44" t="s">
        <v>47</v>
      </c>
      <c r="G1266" s="128">
        <v>997.5976793569412</v>
      </c>
      <c r="H1266" s="128">
        <v>21.0</v>
      </c>
      <c r="I1266" s="128">
        <v>1001.4932291585925</v>
      </c>
      <c r="J1266" s="44" t="s">
        <v>38</v>
      </c>
      <c r="K1266" s="128">
        <v>1008.0605729091225</v>
      </c>
      <c r="L1266" s="128">
        <v>20.0</v>
      </c>
      <c r="M1266" s="128">
        <v>1011.5979801819652</v>
      </c>
      <c r="N1266" s="44"/>
      <c r="O1266" s="128"/>
      <c r="P1266" s="128"/>
      <c r="Q1266" s="128"/>
      <c r="V1266" s="44" t="s">
        <v>112</v>
      </c>
      <c r="W1266" s="128">
        <v>982.1244867578275</v>
      </c>
      <c r="X1266" s="128">
        <v>12.0</v>
      </c>
      <c r="Y1266" s="128">
        <v>976.9864056962604</v>
      </c>
      <c r="Z1266" s="44" t="s">
        <v>125</v>
      </c>
      <c r="AA1266" s="128">
        <v>986.4573763964745</v>
      </c>
      <c r="AB1266" s="128">
        <v>15.0</v>
      </c>
      <c r="AC1266" s="128">
        <v>982.0950534142567</v>
      </c>
      <c r="AD1266" s="44" t="s">
        <v>23</v>
      </c>
      <c r="AE1266" s="128">
        <v>1040.292898768796</v>
      </c>
      <c r="AF1266" s="128">
        <v>30.0</v>
      </c>
      <c r="AG1266" s="128">
        <v>1039.793302812581</v>
      </c>
      <c r="AH1266" s="44"/>
      <c r="AI1266" s="128"/>
      <c r="AJ1266" s="128"/>
      <c r="AK1266" s="128"/>
      <c r="AP1266" s="128">
        <v>15.0</v>
      </c>
      <c r="AQ1266" s="128">
        <v>13.0</v>
      </c>
      <c r="AT1266" s="44">
        <v>1265.0</v>
      </c>
      <c r="AU1266" s="44"/>
      <c r="AW1266" s="93"/>
      <c r="AY1266" s="93"/>
      <c r="AZ1266" s="93"/>
      <c r="BA1266" s="93"/>
      <c r="BB1266" s="155"/>
      <c r="BC1266" s="93"/>
      <c r="BE1266" s="93"/>
      <c r="BG1266" s="93"/>
      <c r="BH1266" s="93"/>
      <c r="BI1266" s="93"/>
      <c r="BJ1266" s="155"/>
      <c r="BK1266" s="93"/>
    </row>
    <row r="1267">
      <c r="A1267" s="166">
        <v>44841.99692417824</v>
      </c>
      <c r="B1267" s="44" t="s">
        <v>112</v>
      </c>
      <c r="C1267" s="128">
        <v>976.9864056962604</v>
      </c>
      <c r="D1267" s="128">
        <v>19.0</v>
      </c>
      <c r="E1267" s="128">
        <v>983.9454243457226</v>
      </c>
      <c r="F1267" s="44" t="s">
        <v>47</v>
      </c>
      <c r="G1267" s="128">
        <v>1001.4932291585925</v>
      </c>
      <c r="H1267" s="128">
        <v>20.0</v>
      </c>
      <c r="I1267" s="128">
        <v>1008.44090376794</v>
      </c>
      <c r="J1267" s="44" t="s">
        <v>23</v>
      </c>
      <c r="K1267" s="128">
        <v>1039.793302812581</v>
      </c>
      <c r="L1267" s="128">
        <v>19.0</v>
      </c>
      <c r="M1267" s="128">
        <v>1045.8866095537715</v>
      </c>
      <c r="N1267" s="44"/>
      <c r="O1267" s="128"/>
      <c r="P1267" s="128"/>
      <c r="Q1267" s="128"/>
      <c r="V1267" s="44" t="s">
        <v>125</v>
      </c>
      <c r="W1267" s="128">
        <v>982.0950534142567</v>
      </c>
      <c r="X1267" s="128">
        <v>6.0</v>
      </c>
      <c r="Y1267" s="128">
        <v>970.3104456443291</v>
      </c>
      <c r="Z1267" s="44" t="s">
        <v>107</v>
      </c>
      <c r="AA1267" s="128">
        <v>990.2860750378447</v>
      </c>
      <c r="AB1267" s="128">
        <v>15.0</v>
      </c>
      <c r="AC1267" s="128">
        <v>983.3358641574234</v>
      </c>
      <c r="AD1267" s="44" t="s">
        <v>27</v>
      </c>
      <c r="AE1267" s="128">
        <v>1046.5286896330194</v>
      </c>
      <c r="AF1267" s="128">
        <v>26.0</v>
      </c>
      <c r="AG1267" s="128">
        <v>1045.2635082833683</v>
      </c>
      <c r="AH1267" s="44"/>
      <c r="AI1267" s="128"/>
      <c r="AJ1267" s="128"/>
      <c r="AK1267" s="128"/>
      <c r="AP1267" s="128">
        <v>16.0</v>
      </c>
      <c r="AQ1267" s="128">
        <v>12.0</v>
      </c>
      <c r="AT1267" s="44">
        <v>1266.0</v>
      </c>
      <c r="AU1267" s="44"/>
      <c r="AW1267" s="93"/>
      <c r="AY1267" s="93"/>
      <c r="AZ1267" s="93"/>
      <c r="BA1267" s="93"/>
      <c r="BB1267" s="155"/>
      <c r="BC1267" s="93"/>
      <c r="BE1267" s="93"/>
      <c r="BG1267" s="93"/>
      <c r="BH1267" s="93"/>
      <c r="BI1267" s="93"/>
      <c r="BJ1267" s="155"/>
      <c r="BK1267" s="93"/>
    </row>
    <row r="1268">
      <c r="A1268" s="166">
        <v>44842.03364534723</v>
      </c>
      <c r="B1268" s="44" t="s">
        <v>107</v>
      </c>
      <c r="C1268" s="128">
        <v>983.3358641574234</v>
      </c>
      <c r="D1268" s="128">
        <v>14.0</v>
      </c>
      <c r="E1268" s="128">
        <v>988.055293382536</v>
      </c>
      <c r="F1268" s="44" t="s">
        <v>112</v>
      </c>
      <c r="G1268" s="128">
        <v>983.9454243457226</v>
      </c>
      <c r="H1268" s="128">
        <v>16.0</v>
      </c>
      <c r="I1268" s="128">
        <v>990.9067882708124</v>
      </c>
      <c r="J1268" s="44" t="s">
        <v>23</v>
      </c>
      <c r="K1268" s="128">
        <v>1045.8866095537715</v>
      </c>
      <c r="L1268" s="128">
        <v>37.0</v>
      </c>
      <c r="M1268" s="128">
        <v>1075.205816403569</v>
      </c>
      <c r="N1268" s="44"/>
      <c r="O1268" s="128"/>
      <c r="P1268" s="128"/>
      <c r="Q1268" s="128"/>
      <c r="V1268" s="44" t="s">
        <v>125</v>
      </c>
      <c r="W1268" s="128">
        <v>970.3104456443291</v>
      </c>
      <c r="X1268" s="128">
        <v>21.0</v>
      </c>
      <c r="Y1268" s="128">
        <v>961.2519387645889</v>
      </c>
      <c r="Z1268" s="44" t="s">
        <v>47</v>
      </c>
      <c r="AA1268" s="128">
        <v>1008.44090376794</v>
      </c>
      <c r="AB1268" s="128">
        <v>11.0</v>
      </c>
      <c r="AC1268" s="128">
        <v>986.4082889174746</v>
      </c>
      <c r="AD1268" s="44" t="s">
        <v>27</v>
      </c>
      <c r="AE1268" s="128">
        <v>1045.2635082833683</v>
      </c>
      <c r="AF1268" s="128">
        <v>22.0</v>
      </c>
      <c r="AG1268" s="128">
        <v>1035.3546300135738</v>
      </c>
      <c r="AH1268" s="44"/>
      <c r="AI1268" s="128"/>
      <c r="AJ1268" s="128"/>
      <c r="AK1268" s="128"/>
      <c r="AP1268" s="128">
        <v>19.0</v>
      </c>
      <c r="AQ1268" s="128">
        <v>9.0</v>
      </c>
      <c r="AT1268" s="44">
        <v>1267.0</v>
      </c>
      <c r="AU1268" s="44"/>
      <c r="AW1268" s="93"/>
      <c r="AY1268" s="93"/>
      <c r="AZ1268" s="93"/>
      <c r="BA1268" s="93"/>
      <c r="BB1268" s="155"/>
      <c r="BC1268" s="93"/>
      <c r="BE1268" s="93"/>
      <c r="BG1268" s="93"/>
      <c r="BH1268" s="93"/>
      <c r="BI1268" s="93"/>
      <c r="BJ1268" s="155"/>
      <c r="BK1268" s="93"/>
    </row>
    <row r="1269">
      <c r="A1269" s="166">
        <v>44842.063879293986</v>
      </c>
      <c r="B1269" s="44" t="s">
        <v>107</v>
      </c>
      <c r="C1269" s="128">
        <v>988.055293382536</v>
      </c>
      <c r="D1269" s="128">
        <v>13.0</v>
      </c>
      <c r="E1269" s="128">
        <v>978.5949437405079</v>
      </c>
      <c r="F1269" s="44" t="s">
        <v>112</v>
      </c>
      <c r="G1269" s="128">
        <v>990.9067882708124</v>
      </c>
      <c r="H1269" s="128">
        <v>20.0</v>
      </c>
      <c r="I1269" s="128">
        <v>985.2864063572588</v>
      </c>
      <c r="J1269" s="44" t="s">
        <v>27</v>
      </c>
      <c r="K1269" s="128">
        <v>1035.3546300135738</v>
      </c>
      <c r="L1269" s="128">
        <v>22.0</v>
      </c>
      <c r="M1269" s="128">
        <v>1030.4353615691555</v>
      </c>
      <c r="N1269" s="44"/>
      <c r="O1269" s="128"/>
      <c r="P1269" s="128"/>
      <c r="Q1269" s="128"/>
      <c r="V1269" s="44" t="s">
        <v>125</v>
      </c>
      <c r="W1269" s="128">
        <v>961.2519387645889</v>
      </c>
      <c r="X1269" s="128">
        <v>12.0</v>
      </c>
      <c r="Y1269" s="128">
        <v>964.2837605303915</v>
      </c>
      <c r="Z1269" s="44" t="s">
        <v>47</v>
      </c>
      <c r="AA1269" s="128">
        <v>986.4082889174746</v>
      </c>
      <c r="AB1269" s="128">
        <v>21.0</v>
      </c>
      <c r="AC1269" s="128">
        <v>993.7987292659323</v>
      </c>
      <c r="AD1269" s="44" t="s">
        <v>23</v>
      </c>
      <c r="AE1269" s="128">
        <v>1075.205816403569</v>
      </c>
      <c r="AF1269" s="128">
        <v>26.0</v>
      </c>
      <c r="AG1269" s="128">
        <v>1084.7835542893088</v>
      </c>
      <c r="AH1269" s="44"/>
      <c r="AI1269" s="128"/>
      <c r="AJ1269" s="128"/>
      <c r="AK1269" s="128"/>
      <c r="AP1269" s="128">
        <v>12.0</v>
      </c>
      <c r="AQ1269" s="128">
        <v>16.0</v>
      </c>
      <c r="AT1269" s="44">
        <v>1268.0</v>
      </c>
      <c r="AU1269" s="44"/>
      <c r="AW1269" s="93"/>
      <c r="AY1269" s="93"/>
      <c r="AZ1269" s="93"/>
      <c r="BA1269" s="93"/>
      <c r="BB1269" s="155"/>
      <c r="BC1269" s="93"/>
      <c r="BE1269" s="93"/>
      <c r="BG1269" s="93"/>
      <c r="BH1269" s="93"/>
      <c r="BI1269" s="93"/>
      <c r="BJ1269" s="155"/>
      <c r="BK1269" s="93"/>
    </row>
    <row r="1270">
      <c r="A1270" s="166">
        <v>44842.09391989584</v>
      </c>
      <c r="B1270" s="44" t="s">
        <v>107</v>
      </c>
      <c r="C1270" s="128">
        <v>978.5949437405079</v>
      </c>
      <c r="D1270" s="128">
        <v>18.0</v>
      </c>
      <c r="E1270" s="128">
        <v>971.5381307189998</v>
      </c>
      <c r="F1270" s="44" t="s">
        <v>112</v>
      </c>
      <c r="G1270" s="128">
        <v>985.2864063572588</v>
      </c>
      <c r="H1270" s="128">
        <v>13.0</v>
      </c>
      <c r="I1270" s="128">
        <v>973.9021908678787</v>
      </c>
      <c r="J1270" s="44" t="s">
        <v>47</v>
      </c>
      <c r="K1270" s="128">
        <v>993.7987292659323</v>
      </c>
      <c r="L1270" s="128">
        <v>13.0</v>
      </c>
      <c r="M1270" s="128">
        <v>982.2397577768205</v>
      </c>
      <c r="N1270" s="44"/>
      <c r="O1270" s="128"/>
      <c r="P1270" s="128"/>
      <c r="Q1270" s="128"/>
      <c r="V1270" s="44" t="s">
        <v>125</v>
      </c>
      <c r="W1270" s="128">
        <v>964.2837605303915</v>
      </c>
      <c r="X1270" s="128">
        <v>11.0</v>
      </c>
      <c r="Y1270" s="128">
        <v>967.7335625315201</v>
      </c>
      <c r="Z1270" s="44" t="s">
        <v>61</v>
      </c>
      <c r="AA1270" s="128">
        <v>1000.0</v>
      </c>
      <c r="AB1270" s="128">
        <v>26.0</v>
      </c>
      <c r="AC1270" s="128">
        <v>1014.794543485542</v>
      </c>
      <c r="AD1270" s="44" t="s">
        <v>23</v>
      </c>
      <c r="AE1270" s="128">
        <v>1084.7835542893088</v>
      </c>
      <c r="AF1270" s="128">
        <v>23.0</v>
      </c>
      <c r="AG1270" s="128">
        <v>1096.5392088026383</v>
      </c>
      <c r="AH1270" s="44"/>
      <c r="AI1270" s="128"/>
      <c r="AJ1270" s="128"/>
      <c r="AK1270" s="128"/>
      <c r="AP1270" s="128">
        <v>9.0</v>
      </c>
      <c r="AQ1270" s="128">
        <v>19.0</v>
      </c>
      <c r="AT1270" s="44">
        <v>1269.0</v>
      </c>
      <c r="AU1270" s="44"/>
      <c r="AW1270" s="93"/>
      <c r="AY1270" s="93"/>
      <c r="AZ1270" s="93"/>
      <c r="BA1270" s="93"/>
      <c r="BB1270" s="155"/>
      <c r="BC1270" s="93"/>
      <c r="BE1270" s="93"/>
      <c r="BG1270" s="93"/>
      <c r="BH1270" s="93"/>
      <c r="BI1270" s="93"/>
      <c r="BJ1270" s="155"/>
      <c r="BK1270" s="93"/>
    </row>
    <row r="1271">
      <c r="A1271" s="166">
        <v>44843.01269728009</v>
      </c>
      <c r="B1271" s="44" t="s">
        <v>47</v>
      </c>
      <c r="C1271" s="128">
        <v>982.2397577768205</v>
      </c>
      <c r="D1271" s="128">
        <v>22.0</v>
      </c>
      <c r="E1271" s="128">
        <v>1003.7330809937988</v>
      </c>
      <c r="F1271" s="44" t="s">
        <v>38</v>
      </c>
      <c r="G1271" s="128">
        <v>1011.5979801819652</v>
      </c>
      <c r="H1271" s="128">
        <v>21.0</v>
      </c>
      <c r="I1271" s="128">
        <v>1030.104656964987</v>
      </c>
      <c r="J1271" s="44"/>
      <c r="K1271" s="128"/>
      <c r="L1271" s="128"/>
      <c r="M1271" s="128"/>
      <c r="N1271" s="44"/>
      <c r="O1271" s="128"/>
      <c r="P1271" s="128"/>
      <c r="Q1271" s="128"/>
      <c r="V1271" s="44" t="s">
        <v>125</v>
      </c>
      <c r="W1271" s="128">
        <v>967.7335625315201</v>
      </c>
      <c r="X1271" s="128">
        <v>13.0</v>
      </c>
      <c r="Y1271" s="128">
        <v>948.5690752755797</v>
      </c>
      <c r="Z1271" s="44" t="s">
        <v>27</v>
      </c>
      <c r="AA1271" s="128">
        <v>1030.4353615691555</v>
      </c>
      <c r="AB1271" s="128">
        <v>13.0</v>
      </c>
      <c r="AC1271" s="128">
        <v>1009.5998488250958</v>
      </c>
      <c r="AD1271" s="44"/>
      <c r="AE1271" s="128"/>
      <c r="AF1271" s="128"/>
      <c r="AG1271" s="128"/>
      <c r="AH1271" s="44"/>
      <c r="AI1271" s="128"/>
      <c r="AJ1271" s="128"/>
      <c r="AK1271" s="128"/>
      <c r="AP1271" s="128">
        <v>19.0</v>
      </c>
      <c r="AQ1271" s="128">
        <v>9.0</v>
      </c>
      <c r="AT1271" s="44">
        <v>1270.0</v>
      </c>
      <c r="AU1271" s="44"/>
      <c r="AW1271" s="93"/>
      <c r="AY1271" s="93"/>
      <c r="AZ1271" s="93"/>
      <c r="BA1271" s="93"/>
      <c r="BB1271" s="155"/>
      <c r="BC1271" s="93"/>
      <c r="BE1271" s="93"/>
      <c r="BG1271" s="93"/>
      <c r="BH1271" s="93"/>
      <c r="BI1271" s="93"/>
      <c r="BJ1271" s="155"/>
      <c r="BK1271" s="93"/>
    </row>
    <row r="1272">
      <c r="A1272" s="166">
        <v>44843.041554062496</v>
      </c>
      <c r="B1272" s="44" t="s">
        <v>47</v>
      </c>
      <c r="C1272" s="128">
        <v>1003.7330809937988</v>
      </c>
      <c r="D1272" s="128">
        <v>20.0</v>
      </c>
      <c r="E1272" s="128">
        <v>1013.8963124374139</v>
      </c>
      <c r="F1272" s="44" t="s">
        <v>27</v>
      </c>
      <c r="G1272" s="128">
        <v>1009.5998488250958</v>
      </c>
      <c r="H1272" s="128">
        <v>17.0</v>
      </c>
      <c r="I1272" s="128">
        <v>1017.4366173814807</v>
      </c>
      <c r="J1272" s="44"/>
      <c r="K1272" s="128"/>
      <c r="L1272" s="128"/>
      <c r="M1272" s="128"/>
      <c r="N1272" s="44"/>
      <c r="O1272" s="128"/>
      <c r="P1272" s="128"/>
      <c r="Q1272" s="128"/>
      <c r="V1272" s="44" t="s">
        <v>125</v>
      </c>
      <c r="W1272" s="128">
        <v>948.5690752755797</v>
      </c>
      <c r="X1272" s="128">
        <v>18.0</v>
      </c>
      <c r="Y1272" s="128">
        <v>941.7961063896313</v>
      </c>
      <c r="Z1272" s="44" t="s">
        <v>38</v>
      </c>
      <c r="AA1272" s="128">
        <v>1030.104656964987</v>
      </c>
      <c r="AB1272" s="128">
        <v>14.0</v>
      </c>
      <c r="AC1272" s="128">
        <v>1018.8776258509355</v>
      </c>
      <c r="AD1272" s="44"/>
      <c r="AE1272" s="128"/>
      <c r="AF1272" s="128"/>
      <c r="AG1272" s="128"/>
      <c r="AH1272" s="44"/>
      <c r="AI1272" s="128"/>
      <c r="AJ1272" s="128"/>
      <c r="AK1272" s="128"/>
      <c r="AP1272" s="128">
        <v>17.0</v>
      </c>
      <c r="AQ1272" s="128">
        <v>11.0</v>
      </c>
      <c r="AT1272" s="44">
        <v>1271.0</v>
      </c>
      <c r="AU1272" s="44"/>
      <c r="AW1272" s="93"/>
      <c r="AY1272" s="93"/>
      <c r="AZ1272" s="93"/>
      <c r="BA1272" s="93"/>
      <c r="BB1272" s="155"/>
      <c r="BC1272" s="93"/>
      <c r="BE1272" s="93"/>
      <c r="BG1272" s="93"/>
      <c r="BH1272" s="93"/>
      <c r="BI1272" s="93"/>
      <c r="BJ1272" s="155"/>
      <c r="BK1272" s="93"/>
    </row>
    <row r="1273">
      <c r="A1273" s="166">
        <v>44843.079881701386</v>
      </c>
      <c r="B1273" s="44" t="s">
        <v>125</v>
      </c>
      <c r="C1273" s="128">
        <v>941.7961063896313</v>
      </c>
      <c r="D1273" s="128">
        <v>19.0</v>
      </c>
      <c r="E1273" s="128">
        <v>941.8061063896313</v>
      </c>
      <c r="F1273" s="44" t="s">
        <v>47</v>
      </c>
      <c r="G1273" s="128">
        <v>1013.8963124374139</v>
      </c>
      <c r="H1273" s="128">
        <v>20.0</v>
      </c>
      <c r="I1273" s="128">
        <v>1013.9063124374139</v>
      </c>
      <c r="J1273" s="44" t="s">
        <v>61</v>
      </c>
      <c r="K1273" s="128">
        <v>1014.794543485542</v>
      </c>
      <c r="L1273" s="128">
        <v>21.0</v>
      </c>
      <c r="M1273" s="128">
        <v>1014.804543485542</v>
      </c>
      <c r="N1273" s="44"/>
      <c r="O1273" s="128"/>
      <c r="P1273" s="128"/>
      <c r="Q1273" s="128"/>
      <c r="V1273" s="44" t="s">
        <v>27</v>
      </c>
      <c r="W1273" s="128">
        <v>1017.4366173814807</v>
      </c>
      <c r="X1273" s="128">
        <v>36.0</v>
      </c>
      <c r="Y1273" s="128">
        <v>1017.4466173814807</v>
      </c>
      <c r="Z1273" s="44" t="s">
        <v>38</v>
      </c>
      <c r="AA1273" s="128">
        <v>1018.8776258509355</v>
      </c>
      <c r="AB1273" s="128">
        <v>33.0</v>
      </c>
      <c r="AC1273" s="128">
        <v>1018.8876258509355</v>
      </c>
      <c r="AD1273" s="44"/>
      <c r="AE1273" s="128"/>
      <c r="AF1273" s="128"/>
      <c r="AG1273" s="128"/>
      <c r="AH1273" s="44"/>
      <c r="AI1273" s="128"/>
      <c r="AJ1273" s="128"/>
      <c r="AK1273" s="128"/>
      <c r="AP1273" s="128">
        <v>27.0</v>
      </c>
      <c r="AQ1273" s="128">
        <v>14.0</v>
      </c>
      <c r="AT1273" s="44">
        <v>1272.0</v>
      </c>
      <c r="AU1273" s="44"/>
      <c r="AW1273" s="93"/>
      <c r="AY1273" s="93"/>
      <c r="AZ1273" s="93"/>
      <c r="BA1273" s="93"/>
      <c r="BB1273" s="155"/>
      <c r="BC1273" s="93"/>
      <c r="BE1273" s="93"/>
      <c r="BG1273" s="93"/>
      <c r="BH1273" s="93"/>
      <c r="BI1273" s="93"/>
      <c r="BJ1273" s="155"/>
      <c r="BK1273" s="93"/>
    </row>
    <row r="1274">
      <c r="A1274" s="166">
        <v>44844.97437130787</v>
      </c>
      <c r="B1274" s="44" t="s">
        <v>125</v>
      </c>
      <c r="C1274" s="128">
        <v>941.8061063896313</v>
      </c>
      <c r="D1274" s="128">
        <v>13.0</v>
      </c>
      <c r="E1274" s="128">
        <v>944.3537958232816</v>
      </c>
      <c r="F1274" s="44" t="s">
        <v>112</v>
      </c>
      <c r="G1274" s="128">
        <v>973.9021908678787</v>
      </c>
      <c r="H1274" s="128">
        <v>18.0</v>
      </c>
      <c r="I1274" s="128">
        <v>977.8995714218923</v>
      </c>
      <c r="J1274" s="44" t="s">
        <v>34</v>
      </c>
      <c r="K1274" s="128">
        <v>986.0219605306385</v>
      </c>
      <c r="L1274" s="128">
        <v>22.0</v>
      </c>
      <c r="M1274" s="128">
        <v>991.5111686889027</v>
      </c>
      <c r="N1274" s="44" t="s">
        <v>23</v>
      </c>
      <c r="O1274" s="128">
        <v>1096.5392088026383</v>
      </c>
      <c r="P1274" s="128">
        <v>29.0</v>
      </c>
      <c r="Q1274" s="128">
        <v>1104.5049306567103</v>
      </c>
      <c r="V1274" s="44" t="s">
        <v>107</v>
      </c>
      <c r="W1274" s="128">
        <v>971.5381307189998</v>
      </c>
      <c r="X1274" s="128">
        <v>17.0</v>
      </c>
      <c r="Y1274" s="128">
        <v>966.902755555135</v>
      </c>
      <c r="Z1274" s="44" t="s">
        <v>110</v>
      </c>
      <c r="AA1274" s="128">
        <v>994.1459263404914</v>
      </c>
      <c r="AB1274" s="128">
        <v>22.0</v>
      </c>
      <c r="AC1274" s="128">
        <v>991.3474016245978</v>
      </c>
      <c r="AD1274" s="44" t="s">
        <v>47</v>
      </c>
      <c r="AE1274" s="128">
        <v>1013.9063124374139</v>
      </c>
      <c r="AF1274" s="128">
        <v>15.0</v>
      </c>
      <c r="AG1274" s="128">
        <v>1008.0523976225414</v>
      </c>
      <c r="AH1274" s="44" t="s">
        <v>38</v>
      </c>
      <c r="AI1274" s="128">
        <v>1018.8876258509355</v>
      </c>
      <c r="AJ1274" s="128">
        <v>13.0</v>
      </c>
      <c r="AK1274" s="128">
        <v>1012.1754405455664</v>
      </c>
      <c r="AP1274" s="128">
        <v>17.0</v>
      </c>
      <c r="AQ1274" s="128">
        <v>11.0</v>
      </c>
      <c r="AS1274" s="44" t="s">
        <v>229</v>
      </c>
      <c r="AT1274" s="44">
        <v>1273.0</v>
      </c>
      <c r="AU1274" s="44"/>
      <c r="AW1274" s="93"/>
      <c r="AY1274" s="93"/>
      <c r="AZ1274" s="93"/>
      <c r="BA1274" s="93"/>
      <c r="BB1274" s="155"/>
      <c r="BC1274" s="93"/>
      <c r="BE1274" s="93"/>
      <c r="BG1274" s="93"/>
      <c r="BH1274" s="93"/>
      <c r="BI1274" s="93"/>
      <c r="BJ1274" s="155"/>
      <c r="BK1274" s="93"/>
    </row>
    <row r="1275">
      <c r="A1275" s="166">
        <v>44845.01595094908</v>
      </c>
      <c r="B1275" s="44" t="s">
        <v>125</v>
      </c>
      <c r="C1275" s="128">
        <v>944.3537958232816</v>
      </c>
      <c r="D1275" s="128">
        <v>17.0</v>
      </c>
      <c r="E1275" s="128">
        <v>938.6420064251517</v>
      </c>
      <c r="F1275" s="44" t="s">
        <v>107</v>
      </c>
      <c r="G1275" s="128">
        <v>966.902755555135</v>
      </c>
      <c r="H1275" s="128">
        <v>15.0</v>
      </c>
      <c r="I1275" s="128">
        <v>959.8784029266759</v>
      </c>
      <c r="J1275" s="44" t="s">
        <v>47</v>
      </c>
      <c r="K1275" s="128">
        <v>1008.0523976225414</v>
      </c>
      <c r="L1275" s="128">
        <v>16.0</v>
      </c>
      <c r="M1275" s="128">
        <v>1000.9636441922679</v>
      </c>
      <c r="N1275" s="44" t="s">
        <v>23</v>
      </c>
      <c r="O1275" s="128">
        <v>1104.5049306567103</v>
      </c>
      <c r="P1275" s="128">
        <v>30.0</v>
      </c>
      <c r="Q1275" s="128">
        <v>1103.3298261135728</v>
      </c>
      <c r="V1275" s="44" t="s">
        <v>110</v>
      </c>
      <c r="W1275" s="128">
        <v>991.3474016245978</v>
      </c>
      <c r="X1275" s="128">
        <v>25.0</v>
      </c>
      <c r="Y1275" s="128">
        <v>998.4554214413837</v>
      </c>
      <c r="Z1275" s="44" t="s">
        <v>34</v>
      </c>
      <c r="AA1275" s="128">
        <v>991.5111686889027</v>
      </c>
      <c r="AB1275" s="128">
        <v>20.0</v>
      </c>
      <c r="AC1275" s="128">
        <v>996.4297604727773</v>
      </c>
      <c r="AD1275" s="44" t="s">
        <v>38</v>
      </c>
      <c r="AE1275" s="128">
        <v>1012.1754405455664</v>
      </c>
      <c r="AF1275" s="128">
        <v>19.0</v>
      </c>
      <c r="AG1275" s="128">
        <v>1016.4612129228146</v>
      </c>
      <c r="AH1275" s="44" t="s">
        <v>27</v>
      </c>
      <c r="AI1275" s="128">
        <v>1017.4466173814807</v>
      </c>
      <c r="AJ1275" s="128">
        <v>20.0</v>
      </c>
      <c r="AK1275" s="128">
        <v>1022.1342334035718</v>
      </c>
      <c r="AP1275" s="128">
        <v>12.0</v>
      </c>
      <c r="AQ1275" s="128">
        <v>16.0</v>
      </c>
      <c r="AT1275" s="44">
        <v>1274.0</v>
      </c>
      <c r="AU1275" s="44"/>
      <c r="AW1275" s="93"/>
      <c r="AY1275" s="93"/>
      <c r="AZ1275" s="93"/>
      <c r="BA1275" s="93"/>
      <c r="BB1275" s="155"/>
      <c r="BC1275" s="93"/>
      <c r="BE1275" s="93"/>
      <c r="BG1275" s="93"/>
      <c r="BH1275" s="93"/>
      <c r="BI1275" s="93"/>
      <c r="BJ1275" s="155"/>
      <c r="BK1275" s="93"/>
    </row>
    <row r="1276">
      <c r="A1276" s="166">
        <v>44846.00096949074</v>
      </c>
      <c r="B1276" s="44" t="s">
        <v>125</v>
      </c>
      <c r="C1276" s="128">
        <v>938.6420064251517</v>
      </c>
      <c r="D1276" s="128">
        <v>10.0</v>
      </c>
      <c r="E1276" s="128">
        <v>934.9600645302784</v>
      </c>
      <c r="F1276" s="44" t="s">
        <v>107</v>
      </c>
      <c r="G1276" s="128">
        <v>959.8784029266759</v>
      </c>
      <c r="H1276" s="128">
        <v>18.0</v>
      </c>
      <c r="I1276" s="128">
        <v>957.6852114179846</v>
      </c>
      <c r="J1276" s="44" t="s">
        <v>47</v>
      </c>
      <c r="K1276" s="128">
        <v>1000.9636441922679</v>
      </c>
      <c r="L1276" s="128">
        <v>15.0</v>
      </c>
      <c r="M1276" s="128">
        <v>997.9163054925532</v>
      </c>
      <c r="N1276" s="44" t="s">
        <v>23</v>
      </c>
      <c r="O1276" s="128">
        <v>1103.3298261135728</v>
      </c>
      <c r="P1276" s="128">
        <v>25.0</v>
      </c>
      <c r="Q1276" s="128">
        <v>1102.252298216852</v>
      </c>
      <c r="V1276" s="44" t="s">
        <v>112</v>
      </c>
      <c r="W1276" s="128">
        <v>977.8995714218923</v>
      </c>
      <c r="X1276" s="128">
        <v>19.0</v>
      </c>
      <c r="Y1276" s="128">
        <v>980.4638324902359</v>
      </c>
      <c r="Z1276" s="44" t="s">
        <v>110</v>
      </c>
      <c r="AA1276" s="128">
        <v>998.4554214413837</v>
      </c>
      <c r="AB1276" s="128">
        <v>14.0</v>
      </c>
      <c r="AC1276" s="128">
        <v>999.8686115295933</v>
      </c>
      <c r="AD1276" s="44" t="s">
        <v>61</v>
      </c>
      <c r="AE1276" s="128">
        <v>1014.804543485542</v>
      </c>
      <c r="AF1276" s="128">
        <v>22.0</v>
      </c>
      <c r="AG1276" s="128">
        <v>1017.8254589209793</v>
      </c>
      <c r="AH1276" s="44" t="s">
        <v>27</v>
      </c>
      <c r="AI1276" s="128">
        <v>1022.1342334035718</v>
      </c>
      <c r="AJ1276" s="128">
        <v>22.0</v>
      </c>
      <c r="AK1276" s="128">
        <v>1025.1358668115815</v>
      </c>
      <c r="AP1276" s="128">
        <v>13.0</v>
      </c>
      <c r="AQ1276" s="128">
        <v>15.0</v>
      </c>
      <c r="AS1276" s="44" t="s">
        <v>232</v>
      </c>
      <c r="AT1276" s="44">
        <v>1275.0</v>
      </c>
      <c r="AU1276" s="44"/>
      <c r="AW1276" s="93"/>
      <c r="AY1276" s="93"/>
      <c r="AZ1276" s="93"/>
      <c r="BA1276" s="93"/>
      <c r="BB1276" s="155"/>
      <c r="BC1276" s="93"/>
      <c r="BE1276" s="93"/>
      <c r="BG1276" s="93"/>
      <c r="BH1276" s="93"/>
      <c r="BI1276" s="93"/>
      <c r="BJ1276" s="155"/>
      <c r="BK1276" s="93"/>
    </row>
    <row r="1277">
      <c r="A1277" s="166">
        <v>44846.03449868056</v>
      </c>
      <c r="B1277" s="44" t="s">
        <v>125</v>
      </c>
      <c r="C1277" s="128">
        <v>934.9600645302784</v>
      </c>
      <c r="D1277" s="128">
        <v>10.0</v>
      </c>
      <c r="E1277" s="128">
        <v>935.6415512877019</v>
      </c>
      <c r="F1277" s="44" t="s">
        <v>107</v>
      </c>
      <c r="G1277" s="128">
        <v>957.6852114179846</v>
      </c>
      <c r="H1277" s="128">
        <v>25.0</v>
      </c>
      <c r="I1277" s="128">
        <v>961.2600084080776</v>
      </c>
      <c r="J1277" s="44" t="s">
        <v>61</v>
      </c>
      <c r="K1277" s="128">
        <v>1017.8254589209793</v>
      </c>
      <c r="L1277" s="128">
        <v>27.0</v>
      </c>
      <c r="M1277" s="128">
        <v>1021.4638611037441</v>
      </c>
      <c r="N1277" s="44" t="s">
        <v>23</v>
      </c>
      <c r="O1277" s="128">
        <v>1102.252298216852</v>
      </c>
      <c r="P1277" s="128">
        <v>20.0</v>
      </c>
      <c r="Q1277" s="128">
        <v>1104.3576122865709</v>
      </c>
      <c r="V1277" s="44" t="s">
        <v>112</v>
      </c>
      <c r="W1277" s="128">
        <v>980.4638324902359</v>
      </c>
      <c r="X1277" s="128">
        <v>22.0</v>
      </c>
      <c r="Y1277" s="128">
        <v>978.9842348892213</v>
      </c>
      <c r="Z1277" s="44" t="s">
        <v>47</v>
      </c>
      <c r="AA1277" s="128">
        <v>997.9163054925532</v>
      </c>
      <c r="AB1277" s="128">
        <v>22.0</v>
      </c>
      <c r="AC1277" s="128">
        <v>996.3549553784968</v>
      </c>
      <c r="AD1277" s="44" t="s">
        <v>110</v>
      </c>
      <c r="AE1277" s="128">
        <v>999.8686115295933</v>
      </c>
      <c r="AF1277" s="128">
        <v>10.0</v>
      </c>
      <c r="AG1277" s="128">
        <v>995.7997267815881</v>
      </c>
      <c r="AH1277" s="44" t="s">
        <v>27</v>
      </c>
      <c r="AI1277" s="128">
        <v>1025.1358668115815</v>
      </c>
      <c r="AJ1277" s="128">
        <v>16.0</v>
      </c>
      <c r="AK1277" s="128">
        <v>1022.2456992746576</v>
      </c>
      <c r="AP1277" s="128">
        <v>15.0</v>
      </c>
      <c r="AQ1277" s="128">
        <v>13.0</v>
      </c>
      <c r="AS1277" s="44" t="s">
        <v>295</v>
      </c>
      <c r="AT1277" s="44">
        <v>1276.0</v>
      </c>
      <c r="AU1277" s="44"/>
      <c r="AW1277" s="93"/>
      <c r="AY1277" s="93"/>
      <c r="AZ1277" s="93"/>
      <c r="BA1277" s="93"/>
      <c r="BB1277" s="155"/>
      <c r="BC1277" s="93"/>
      <c r="BE1277" s="93"/>
      <c r="BG1277" s="93"/>
      <c r="BH1277" s="93"/>
      <c r="BI1277" s="93"/>
      <c r="BJ1277" s="155"/>
      <c r="BK1277" s="93"/>
    </row>
    <row r="1278">
      <c r="A1278" s="166">
        <v>44847.92449675926</v>
      </c>
      <c r="B1278" s="44" t="s">
        <v>112</v>
      </c>
      <c r="C1278" s="128">
        <v>978.9842348892213</v>
      </c>
      <c r="D1278" s="128">
        <v>26.0</v>
      </c>
      <c r="E1278" s="128">
        <v>986.5673575186927</v>
      </c>
      <c r="F1278" s="44" t="s">
        <v>92</v>
      </c>
      <c r="G1278" s="128">
        <v>995.4235215962487</v>
      </c>
      <c r="H1278" s="128">
        <v>14.0</v>
      </c>
      <c r="I1278" s="128">
        <v>997.8221561273953</v>
      </c>
      <c r="J1278" s="44" t="s">
        <v>110</v>
      </c>
      <c r="K1278" s="128">
        <v>995.7997267815881</v>
      </c>
      <c r="L1278" s="128">
        <v>18.0</v>
      </c>
      <c r="M1278" s="128">
        <v>999.8614337596051</v>
      </c>
      <c r="N1278" s="44" t="s">
        <v>27</v>
      </c>
      <c r="O1278" s="128">
        <v>1022.2456992746576</v>
      </c>
      <c r="P1278" s="128">
        <v>23.0</v>
      </c>
      <c r="Q1278" s="128">
        <v>1028.2022351360226</v>
      </c>
      <c r="V1278" s="44" t="s">
        <v>123</v>
      </c>
      <c r="W1278" s="128">
        <v>983.2695763689676</v>
      </c>
      <c r="X1278" s="128">
        <v>12.0</v>
      </c>
      <c r="Y1278" s="128">
        <v>976.1015325260876</v>
      </c>
      <c r="Z1278" s="44" t="s">
        <v>47</v>
      </c>
      <c r="AA1278" s="128">
        <v>996.3549553784968</v>
      </c>
      <c r="AB1278" s="128">
        <v>13.0</v>
      </c>
      <c r="AC1278" s="128">
        <v>989.4827259779198</v>
      </c>
      <c r="AD1278" s="44" t="s">
        <v>34</v>
      </c>
      <c r="AE1278" s="128">
        <v>996.4297604727773</v>
      </c>
      <c r="AF1278" s="128">
        <v>24.0</v>
      </c>
      <c r="AG1278" s="128">
        <v>994.1402571928146</v>
      </c>
      <c r="AH1278" s="44" t="s">
        <v>38</v>
      </c>
      <c r="AI1278" s="128">
        <v>1016.4612129228146</v>
      </c>
      <c r="AJ1278" s="128">
        <v>21.0</v>
      </c>
      <c r="AK1278" s="128">
        <v>1012.7909894462343</v>
      </c>
      <c r="AP1278" s="128">
        <v>16.0</v>
      </c>
      <c r="AQ1278" s="128">
        <v>12.0</v>
      </c>
      <c r="AT1278" s="44">
        <v>1277.0</v>
      </c>
      <c r="AU1278" s="44"/>
      <c r="AW1278" s="93"/>
      <c r="AY1278" s="93"/>
      <c r="AZ1278" s="93"/>
      <c r="BA1278" s="93"/>
      <c r="BB1278" s="155"/>
      <c r="BC1278" s="93"/>
      <c r="BE1278" s="93"/>
      <c r="BG1278" s="93"/>
      <c r="BH1278" s="93"/>
      <c r="BI1278" s="93"/>
      <c r="BJ1278" s="155"/>
      <c r="BK1278" s="93"/>
    </row>
    <row r="1279">
      <c r="A1279" s="166">
        <v>44847.96594722223</v>
      </c>
      <c r="B1279" s="44" t="s">
        <v>112</v>
      </c>
      <c r="C1279" s="128">
        <v>986.5673575186927</v>
      </c>
      <c r="D1279" s="128">
        <v>16.0</v>
      </c>
      <c r="E1279" s="128">
        <v>980.3178802642735</v>
      </c>
      <c r="F1279" s="44" t="s">
        <v>34</v>
      </c>
      <c r="G1279" s="128">
        <v>994.1402571928146</v>
      </c>
      <c r="H1279" s="128">
        <v>27.0</v>
      </c>
      <c r="I1279" s="128">
        <v>992.3986513888932</v>
      </c>
      <c r="J1279" s="44" t="s">
        <v>110</v>
      </c>
      <c r="K1279" s="128">
        <v>999.8614337596051</v>
      </c>
      <c r="L1279" s="128">
        <v>11.0</v>
      </c>
      <c r="M1279" s="128">
        <v>991.4031084475515</v>
      </c>
      <c r="N1279" s="44" t="s">
        <v>38</v>
      </c>
      <c r="O1279" s="128">
        <v>1012.7909894462343</v>
      </c>
      <c r="P1279" s="128">
        <v>23.0</v>
      </c>
      <c r="Q1279" s="128">
        <v>1009.2403978166285</v>
      </c>
      <c r="V1279" s="44" t="s">
        <v>123</v>
      </c>
      <c r="W1279" s="128">
        <v>976.1015325260876</v>
      </c>
      <c r="X1279" s="128">
        <v>14.0</v>
      </c>
      <c r="Y1279" s="128">
        <v>978.09879689299</v>
      </c>
      <c r="Z1279" s="44" t="s">
        <v>47</v>
      </c>
      <c r="AA1279" s="128">
        <v>989.4827259779198</v>
      </c>
      <c r="AB1279" s="128">
        <v>23.0</v>
      </c>
      <c r="AC1279" s="128">
        <v>995.0571972901762</v>
      </c>
      <c r="AD1279" s="44" t="s">
        <v>92</v>
      </c>
      <c r="AE1279" s="128">
        <v>997.8221561273953</v>
      </c>
      <c r="AF1279" s="128">
        <v>20.0</v>
      </c>
      <c r="AG1279" s="128">
        <v>1002.0581615760426</v>
      </c>
      <c r="AH1279" s="44" t="s">
        <v>27</v>
      </c>
      <c r="AI1279" s="128">
        <v>1028.2022351360226</v>
      </c>
      <c r="AJ1279" s="128">
        <v>30.0</v>
      </c>
      <c r="AK1279" s="128">
        <v>1036.3944940082165</v>
      </c>
      <c r="AP1279" s="128">
        <v>10.0</v>
      </c>
      <c r="AQ1279" s="128">
        <v>18.0</v>
      </c>
      <c r="AT1279" s="44">
        <v>1278.0</v>
      </c>
      <c r="AU1279" s="44"/>
      <c r="AW1279" s="93"/>
      <c r="AY1279" s="93"/>
      <c r="AZ1279" s="93"/>
      <c r="BA1279" s="93"/>
      <c r="BB1279" s="155"/>
      <c r="BC1279" s="93"/>
      <c r="BE1279" s="93"/>
      <c r="BG1279" s="93"/>
      <c r="BH1279" s="93"/>
      <c r="BI1279" s="93"/>
      <c r="BJ1279" s="155"/>
      <c r="BK1279" s="93"/>
    </row>
    <row r="1280">
      <c r="A1280" s="166">
        <v>44847.99830407408</v>
      </c>
      <c r="B1280" s="44" t="s">
        <v>125</v>
      </c>
      <c r="C1280" s="128">
        <v>935.6415512877019</v>
      </c>
      <c r="D1280" s="128">
        <v>12.0</v>
      </c>
      <c r="E1280" s="128">
        <v>936.7728978618998</v>
      </c>
      <c r="F1280" s="44" t="s">
        <v>112</v>
      </c>
      <c r="G1280" s="128">
        <v>980.3178802642735</v>
      </c>
      <c r="H1280" s="128">
        <v>20.0</v>
      </c>
      <c r="I1280" s="128">
        <v>983.4372973293155</v>
      </c>
      <c r="J1280" s="44" t="s">
        <v>110</v>
      </c>
      <c r="K1280" s="128">
        <v>991.4031084475515</v>
      </c>
      <c r="L1280" s="128">
        <v>31.0</v>
      </c>
      <c r="M1280" s="128">
        <v>998.0757723152096</v>
      </c>
      <c r="N1280" s="44" t="s">
        <v>34</v>
      </c>
      <c r="O1280" s="128">
        <v>992.3986513888932</v>
      </c>
      <c r="P1280" s="128">
        <v>25.0</v>
      </c>
      <c r="Q1280" s="128">
        <v>997.0621851053946</v>
      </c>
      <c r="R1280" s="44" t="s">
        <v>27</v>
      </c>
      <c r="S1280" s="128">
        <v>1036.3944940082165</v>
      </c>
      <c r="T1280" s="128">
        <v>25.0</v>
      </c>
      <c r="U1280" s="128">
        <v>1040.807532784817</v>
      </c>
      <c r="V1280" s="44" t="s">
        <v>107</v>
      </c>
      <c r="W1280" s="128">
        <v>961.2600084080776</v>
      </c>
      <c r="X1280" s="128">
        <v>18.0</v>
      </c>
      <c r="Y1280" s="128">
        <v>957.3681227761285</v>
      </c>
      <c r="Z1280" s="44" t="s">
        <v>123</v>
      </c>
      <c r="AA1280" s="128">
        <v>978.09879689299</v>
      </c>
      <c r="AB1280" s="128">
        <v>19.0</v>
      </c>
      <c r="AC1280" s="128">
        <v>974.3617594858649</v>
      </c>
      <c r="AD1280" s="44" t="s">
        <v>47</v>
      </c>
      <c r="AE1280" s="128">
        <v>995.0571972901762</v>
      </c>
      <c r="AF1280" s="128">
        <v>28.0</v>
      </c>
      <c r="AG1280" s="128">
        <v>994.181812010835</v>
      </c>
      <c r="AH1280" s="44" t="s">
        <v>108</v>
      </c>
      <c r="AI1280" s="128">
        <v>1000.01</v>
      </c>
      <c r="AJ1280" s="128">
        <v>16.0</v>
      </c>
      <c r="AK1280" s="128">
        <v>995.1017931116911</v>
      </c>
      <c r="AL1280" s="44" t="s">
        <v>92</v>
      </c>
      <c r="AM1280" s="128">
        <v>1002.0581615760426</v>
      </c>
      <c r="AN1280" s="128">
        <v>11.0</v>
      </c>
      <c r="AO1280" s="128">
        <v>995.4706767827669</v>
      </c>
      <c r="AP1280" s="128">
        <v>16.0</v>
      </c>
      <c r="AQ1280" s="128">
        <v>12.0</v>
      </c>
      <c r="AT1280" s="44">
        <v>1279.0</v>
      </c>
      <c r="AU1280" s="44"/>
      <c r="AW1280" s="93"/>
      <c r="AY1280" s="93"/>
      <c r="AZ1280" s="93"/>
      <c r="BA1280" s="93"/>
      <c r="BB1280" s="155"/>
      <c r="BC1280" s="93"/>
      <c r="BE1280" s="93"/>
      <c r="BG1280" s="93"/>
      <c r="BH1280" s="93"/>
      <c r="BI1280" s="93"/>
      <c r="BJ1280" s="155"/>
      <c r="BK1280" s="93"/>
    </row>
    <row r="1281">
      <c r="A1281" s="166">
        <v>44848.97569127315</v>
      </c>
      <c r="B1281" s="44" t="s">
        <v>47</v>
      </c>
      <c r="C1281" s="128">
        <v>994.181812010835</v>
      </c>
      <c r="D1281" s="128">
        <v>22.0</v>
      </c>
      <c r="E1281" s="128">
        <v>1001.9309312015678</v>
      </c>
      <c r="F1281" s="44" t="s">
        <v>108</v>
      </c>
      <c r="G1281" s="128">
        <v>995.1017931116911</v>
      </c>
      <c r="H1281" s="128">
        <v>7.0</v>
      </c>
      <c r="I1281" s="128">
        <v>995.1117931116911</v>
      </c>
      <c r="J1281" s="44" t="s">
        <v>92</v>
      </c>
      <c r="K1281" s="128">
        <v>995.4706767827669</v>
      </c>
      <c r="L1281" s="128">
        <v>29.0</v>
      </c>
      <c r="M1281" s="128">
        <v>1006.8995957992565</v>
      </c>
      <c r="N1281" s="44"/>
      <c r="O1281" s="128"/>
      <c r="P1281" s="128"/>
      <c r="Q1281" s="128"/>
      <c r="V1281" s="44" t="s">
        <v>107</v>
      </c>
      <c r="W1281" s="128">
        <v>957.3681227761285</v>
      </c>
      <c r="X1281" s="128">
        <v>18.0</v>
      </c>
      <c r="Y1281" s="128">
        <v>951.9541383366978</v>
      </c>
      <c r="Z1281" s="44" t="s">
        <v>117</v>
      </c>
      <c r="AA1281" s="128">
        <v>994.9359017626807</v>
      </c>
      <c r="AB1281" s="128">
        <v>17.0</v>
      </c>
      <c r="AC1281" s="128">
        <v>988.4693515275372</v>
      </c>
      <c r="AD1281" s="44" t="s">
        <v>38</v>
      </c>
      <c r="AE1281" s="128">
        <v>1009.2403978166285</v>
      </c>
      <c r="AF1281" s="128">
        <v>16.0</v>
      </c>
      <c r="AG1281" s="128">
        <v>1002.1209324912027</v>
      </c>
      <c r="AH1281" s="44"/>
      <c r="AI1281" s="128"/>
      <c r="AJ1281" s="128"/>
      <c r="AK1281" s="128"/>
      <c r="AP1281" s="128">
        <v>18.0</v>
      </c>
      <c r="AQ1281" s="128">
        <v>10.0</v>
      </c>
      <c r="AT1281" s="44">
        <v>1280.0</v>
      </c>
      <c r="AU1281" s="44"/>
      <c r="AW1281" s="93"/>
      <c r="AY1281" s="93"/>
      <c r="AZ1281" s="93"/>
      <c r="BA1281" s="93"/>
      <c r="BB1281" s="155"/>
      <c r="BC1281" s="93"/>
      <c r="BE1281" s="93"/>
      <c r="BG1281" s="93"/>
      <c r="BH1281" s="93"/>
      <c r="BI1281" s="93"/>
      <c r="BJ1281" s="155"/>
      <c r="BK1281" s="93"/>
    </row>
    <row r="1282">
      <c r="A1282" s="166">
        <v>44849.01237856482</v>
      </c>
      <c r="B1282" s="44" t="s">
        <v>117</v>
      </c>
      <c r="C1282" s="128">
        <v>988.4693515275372</v>
      </c>
      <c r="D1282" s="128">
        <v>13.0</v>
      </c>
      <c r="E1282" s="128">
        <v>990.5616714911287</v>
      </c>
      <c r="F1282" s="44" t="s">
        <v>47</v>
      </c>
      <c r="G1282" s="128">
        <v>1001.9309312015678</v>
      </c>
      <c r="H1282" s="128">
        <v>24.0</v>
      </c>
      <c r="I1282" s="128">
        <v>1007.0068503950212</v>
      </c>
      <c r="J1282" s="44" t="s">
        <v>92</v>
      </c>
      <c r="K1282" s="128">
        <v>1006.8995957992565</v>
      </c>
      <c r="L1282" s="128">
        <v>16.0</v>
      </c>
      <c r="M1282" s="128">
        <v>1009.7313566422117</v>
      </c>
      <c r="N1282" s="44"/>
      <c r="O1282" s="128"/>
      <c r="P1282" s="128"/>
      <c r="Q1282" s="128"/>
      <c r="V1282" s="44" t="s">
        <v>107</v>
      </c>
      <c r="W1282" s="128">
        <v>951.9541383366978</v>
      </c>
      <c r="X1282" s="128">
        <v>16.0</v>
      </c>
      <c r="Y1282" s="128">
        <v>948.4440457229077</v>
      </c>
      <c r="Z1282" s="44" t="s">
        <v>38</v>
      </c>
      <c r="AA1282" s="128">
        <v>1002.1209324912027</v>
      </c>
      <c r="AB1282" s="128">
        <v>11.0</v>
      </c>
      <c r="AC1282" s="128">
        <v>996.8506088020808</v>
      </c>
      <c r="AD1282" s="44" t="s">
        <v>27</v>
      </c>
      <c r="AE1282" s="128">
        <v>1040.807532784817</v>
      </c>
      <c r="AF1282" s="128">
        <v>26.0</v>
      </c>
      <c r="AG1282" s="128">
        <v>1039.587949087729</v>
      </c>
      <c r="AH1282" s="44"/>
      <c r="AI1282" s="128"/>
      <c r="AJ1282" s="128"/>
      <c r="AK1282" s="128"/>
      <c r="AP1282" s="128">
        <v>15.0</v>
      </c>
      <c r="AQ1282" s="128">
        <v>13.0</v>
      </c>
      <c r="AT1282" s="44">
        <v>1281.0</v>
      </c>
      <c r="AU1282" s="44"/>
      <c r="AW1282" s="93"/>
      <c r="AY1282" s="93"/>
      <c r="AZ1282" s="93"/>
      <c r="BA1282" s="93"/>
      <c r="BB1282" s="155"/>
      <c r="BC1282" s="93"/>
      <c r="BE1282" s="93"/>
      <c r="BG1282" s="93"/>
      <c r="BH1282" s="93"/>
      <c r="BI1282" s="93"/>
      <c r="BJ1282" s="155"/>
      <c r="BK1282" s="93"/>
    </row>
    <row r="1283">
      <c r="A1283" s="166">
        <v>44849.04271303241</v>
      </c>
      <c r="B1283" s="44" t="s">
        <v>125</v>
      </c>
      <c r="C1283" s="128">
        <v>936.7728978618998</v>
      </c>
      <c r="D1283" s="128">
        <v>8.0</v>
      </c>
      <c r="E1283" s="128">
        <v>927.2197768269058</v>
      </c>
      <c r="F1283" s="44" t="s">
        <v>38</v>
      </c>
      <c r="G1283" s="128">
        <v>996.8506088020808</v>
      </c>
      <c r="H1283" s="128">
        <v>7.0</v>
      </c>
      <c r="I1283" s="128">
        <v>985.908625886734</v>
      </c>
      <c r="J1283" s="44" t="s">
        <v>27</v>
      </c>
      <c r="K1283" s="128">
        <v>1039.587949087729</v>
      </c>
      <c r="L1283" s="128">
        <v>28.0</v>
      </c>
      <c r="M1283" s="128">
        <v>1039.577949087729</v>
      </c>
      <c r="N1283" s="44"/>
      <c r="O1283" s="128"/>
      <c r="P1283" s="128"/>
      <c r="Q1283" s="128"/>
      <c r="V1283" s="44" t="s">
        <v>107</v>
      </c>
      <c r="W1283" s="128">
        <v>948.4440457229077</v>
      </c>
      <c r="X1283" s="128">
        <v>18.0</v>
      </c>
      <c r="Y1283" s="128">
        <v>953.9579808549892</v>
      </c>
      <c r="Z1283" s="44" t="s">
        <v>47</v>
      </c>
      <c r="AA1283" s="128">
        <v>1007.0068503950212</v>
      </c>
      <c r="AB1283" s="128">
        <v>25.0</v>
      </c>
      <c r="AC1283" s="128">
        <v>1015.3744728572277</v>
      </c>
      <c r="AD1283" s="44" t="s">
        <v>92</v>
      </c>
      <c r="AE1283" s="128">
        <v>1009.7313566422117</v>
      </c>
      <c r="AF1283" s="128">
        <v>21.0</v>
      </c>
      <c r="AG1283" s="128">
        <v>1015.8497990479236</v>
      </c>
      <c r="AH1283" s="44"/>
      <c r="AI1283" s="128"/>
      <c r="AJ1283" s="128"/>
      <c r="AK1283" s="128"/>
      <c r="AP1283" s="128">
        <v>10.0</v>
      </c>
      <c r="AQ1283" s="128">
        <v>18.0</v>
      </c>
      <c r="AT1283" s="44">
        <v>1282.0</v>
      </c>
      <c r="AU1283" s="44"/>
      <c r="AW1283" s="93"/>
      <c r="AY1283" s="93"/>
      <c r="AZ1283" s="93"/>
      <c r="BA1283" s="93"/>
      <c r="BB1283" s="155"/>
      <c r="BC1283" s="93"/>
      <c r="BE1283" s="93"/>
      <c r="BG1283" s="93"/>
      <c r="BH1283" s="93"/>
      <c r="BI1283" s="93"/>
      <c r="BJ1283" s="155"/>
      <c r="BK1283" s="93"/>
    </row>
    <row r="1284">
      <c r="A1284" s="166">
        <v>44849.94949131944</v>
      </c>
      <c r="B1284" s="44" t="s">
        <v>125</v>
      </c>
      <c r="C1284" s="128">
        <v>927.2197768269058</v>
      </c>
      <c r="D1284" s="128">
        <v>16.0</v>
      </c>
      <c r="E1284" s="128">
        <v>921.2741150739068</v>
      </c>
      <c r="F1284" s="44" t="s">
        <v>92</v>
      </c>
      <c r="G1284" s="128">
        <v>1015.8497990479236</v>
      </c>
      <c r="H1284" s="128">
        <v>20.0</v>
      </c>
      <c r="I1284" s="128">
        <v>1010.8557499474304</v>
      </c>
      <c r="J1284" s="44" t="s">
        <v>23</v>
      </c>
      <c r="K1284" s="128">
        <v>1104.3576122865709</v>
      </c>
      <c r="L1284" s="128">
        <v>13.0</v>
      </c>
      <c r="M1284" s="128">
        <v>1095.297323140063</v>
      </c>
      <c r="N1284" s="44"/>
      <c r="O1284" s="128"/>
      <c r="P1284" s="128"/>
      <c r="Q1284" s="128"/>
      <c r="V1284" s="44" t="s">
        <v>110</v>
      </c>
      <c r="W1284" s="128">
        <v>998.0757723152096</v>
      </c>
      <c r="X1284" s="128">
        <v>13.0</v>
      </c>
      <c r="Y1284" s="128">
        <v>1002.2816854658565</v>
      </c>
      <c r="Z1284" s="44" t="s">
        <v>47</v>
      </c>
      <c r="AA1284" s="128">
        <v>1015.3744728572277</v>
      </c>
      <c r="AB1284" s="128">
        <v>21.0</v>
      </c>
      <c r="AC1284" s="128">
        <v>1023.8852060649282</v>
      </c>
      <c r="AD1284" s="44" t="s">
        <v>27</v>
      </c>
      <c r="AE1284" s="128">
        <v>1039.577949087729</v>
      </c>
      <c r="AF1284" s="128">
        <v>19.0</v>
      </c>
      <c r="AG1284" s="128">
        <v>1046.8613027293816</v>
      </c>
      <c r="AH1284" s="44"/>
      <c r="AI1284" s="128"/>
      <c r="AJ1284" s="128"/>
      <c r="AK1284" s="128"/>
      <c r="AP1284" s="128">
        <v>12.0</v>
      </c>
      <c r="AQ1284" s="128">
        <v>16.0</v>
      </c>
      <c r="AT1284" s="44">
        <v>1283.0</v>
      </c>
      <c r="AU1284" s="44"/>
      <c r="AW1284" s="93"/>
      <c r="AY1284" s="93"/>
      <c r="AZ1284" s="93"/>
      <c r="BA1284" s="93"/>
      <c r="BB1284" s="155"/>
      <c r="BC1284" s="93"/>
      <c r="BE1284" s="93"/>
      <c r="BG1284" s="93"/>
      <c r="BH1284" s="93"/>
      <c r="BI1284" s="93"/>
      <c r="BJ1284" s="155"/>
      <c r="BK1284" s="93"/>
    </row>
    <row r="1285">
      <c r="A1285" s="166">
        <v>44849.985910347226</v>
      </c>
      <c r="B1285" s="44" t="s">
        <v>125</v>
      </c>
      <c r="C1285" s="128">
        <v>921.2741150739068</v>
      </c>
      <c r="D1285" s="128">
        <v>16.0</v>
      </c>
      <c r="E1285" s="128">
        <v>924.2229664144542</v>
      </c>
      <c r="F1285" s="44" t="s">
        <v>47</v>
      </c>
      <c r="G1285" s="128">
        <v>1023.8852060649282</v>
      </c>
      <c r="H1285" s="128">
        <v>21.0</v>
      </c>
      <c r="I1285" s="128">
        <v>1027.3452530784225</v>
      </c>
      <c r="J1285" s="44" t="s">
        <v>23</v>
      </c>
      <c r="K1285" s="128">
        <v>1095.297323140063</v>
      </c>
      <c r="L1285" s="128">
        <v>25.0</v>
      </c>
      <c r="M1285" s="128">
        <v>1099.8884247860215</v>
      </c>
      <c r="N1285" s="44"/>
      <c r="O1285" s="128"/>
      <c r="P1285" s="128"/>
      <c r="Q1285" s="128"/>
      <c r="V1285" s="44" t="s">
        <v>110</v>
      </c>
      <c r="W1285" s="128">
        <v>1002.2816854658565</v>
      </c>
      <c r="X1285" s="128">
        <v>18.0</v>
      </c>
      <c r="Y1285" s="128">
        <v>998.5715833762811</v>
      </c>
      <c r="Z1285" s="44" t="s">
        <v>92</v>
      </c>
      <c r="AA1285" s="128">
        <v>1010.8557499474304</v>
      </c>
      <c r="AB1285" s="128">
        <v>14.0</v>
      </c>
      <c r="AC1285" s="128">
        <v>1005.8838478598074</v>
      </c>
      <c r="AD1285" s="44" t="s">
        <v>27</v>
      </c>
      <c r="AE1285" s="128">
        <v>1046.8613027293816</v>
      </c>
      <c r="AF1285" s="128">
        <v>23.0</v>
      </c>
      <c r="AG1285" s="128">
        <v>1044.54330690658</v>
      </c>
      <c r="AH1285" s="44"/>
      <c r="AI1285" s="128"/>
      <c r="AJ1285" s="128"/>
      <c r="AK1285" s="128"/>
      <c r="AP1285" s="128">
        <v>15.0</v>
      </c>
      <c r="AQ1285" s="128">
        <v>13.0</v>
      </c>
      <c r="AT1285" s="44">
        <v>1284.0</v>
      </c>
      <c r="AU1285" s="44"/>
      <c r="AW1285" s="93"/>
      <c r="AY1285" s="93"/>
      <c r="AZ1285" s="93"/>
      <c r="BA1285" s="93"/>
      <c r="BB1285" s="155"/>
      <c r="BC1285" s="93"/>
      <c r="BE1285" s="93"/>
      <c r="BG1285" s="93"/>
      <c r="BH1285" s="93"/>
      <c r="BI1285" s="93"/>
      <c r="BJ1285" s="155"/>
      <c r="BK1285" s="93"/>
    </row>
    <row r="1286">
      <c r="A1286" s="166">
        <v>44850.02338762731</v>
      </c>
      <c r="B1286" s="44" t="s">
        <v>125</v>
      </c>
      <c r="C1286" s="128">
        <v>924.2229664144542</v>
      </c>
      <c r="D1286" s="128">
        <v>10.0</v>
      </c>
      <c r="E1286" s="128">
        <v>919.4481692844972</v>
      </c>
      <c r="F1286" s="44" t="s">
        <v>47</v>
      </c>
      <c r="G1286" s="128">
        <v>1027.3452530784225</v>
      </c>
      <c r="H1286" s="128">
        <v>13.0</v>
      </c>
      <c r="I1286" s="128">
        <v>1022.679325461914</v>
      </c>
      <c r="J1286" s="44" t="s">
        <v>23</v>
      </c>
      <c r="K1286" s="128">
        <v>1099.8884247860215</v>
      </c>
      <c r="L1286" s="128">
        <v>28.0</v>
      </c>
      <c r="M1286" s="128">
        <v>1099.3291495324868</v>
      </c>
      <c r="N1286" s="44"/>
      <c r="O1286" s="128"/>
      <c r="P1286" s="128"/>
      <c r="Q1286" s="128"/>
      <c r="V1286" s="44" t="s">
        <v>110</v>
      </c>
      <c r="W1286" s="128">
        <v>998.5715833762811</v>
      </c>
      <c r="X1286" s="128">
        <v>21.0</v>
      </c>
      <c r="Y1286" s="128">
        <v>1002.4281383866788</v>
      </c>
      <c r="Z1286" s="44" t="s">
        <v>92</v>
      </c>
      <c r="AA1286" s="128">
        <v>1005.8838478598074</v>
      </c>
      <c r="AB1286" s="128">
        <v>19.0</v>
      </c>
      <c r="AC1286" s="128">
        <v>1009.1494661507077</v>
      </c>
      <c r="AD1286" s="44" t="s">
        <v>27</v>
      </c>
      <c r="AE1286" s="128">
        <v>1044.54330690658</v>
      </c>
      <c r="AF1286" s="128">
        <v>18.0</v>
      </c>
      <c r="AG1286" s="128">
        <v>1047.421133605282</v>
      </c>
      <c r="AH1286" s="44"/>
      <c r="AI1286" s="128"/>
      <c r="AJ1286" s="128"/>
      <c r="AK1286" s="128"/>
      <c r="AP1286" s="128">
        <v>13.0</v>
      </c>
      <c r="AQ1286" s="128">
        <v>15.0</v>
      </c>
      <c r="AT1286" s="44">
        <v>1285.0</v>
      </c>
      <c r="AU1286" s="44"/>
      <c r="AW1286" s="93"/>
      <c r="AY1286" s="93"/>
      <c r="AZ1286" s="93"/>
      <c r="BA1286" s="93"/>
      <c r="BB1286" s="155"/>
      <c r="BC1286" s="93"/>
      <c r="BE1286" s="93"/>
      <c r="BG1286" s="93"/>
      <c r="BH1286" s="93"/>
      <c r="BI1286" s="93"/>
      <c r="BJ1286" s="155"/>
      <c r="BK1286" s="93"/>
    </row>
    <row r="1287">
      <c r="A1287" s="166">
        <v>44850.055771562504</v>
      </c>
      <c r="B1287" s="44" t="s">
        <v>125</v>
      </c>
      <c r="C1287" s="128">
        <v>919.4481692844972</v>
      </c>
      <c r="D1287" s="128">
        <v>21.0</v>
      </c>
      <c r="E1287" s="128">
        <v>926.5113755028638</v>
      </c>
      <c r="F1287" s="44" t="s">
        <v>27</v>
      </c>
      <c r="G1287" s="128">
        <v>1047.421133605282</v>
      </c>
      <c r="H1287" s="128">
        <v>17.0</v>
      </c>
      <c r="I1287" s="128">
        <v>1050.6680483375592</v>
      </c>
      <c r="J1287" s="44" t="s">
        <v>23</v>
      </c>
      <c r="K1287" s="128">
        <v>1099.3291495324868</v>
      </c>
      <c r="L1287" s="128">
        <v>26.0</v>
      </c>
      <c r="M1287" s="128">
        <v>1107.019028581843</v>
      </c>
      <c r="N1287" s="44"/>
      <c r="O1287" s="128"/>
      <c r="P1287" s="128"/>
      <c r="Q1287" s="128"/>
      <c r="V1287" s="44" t="s">
        <v>110</v>
      </c>
      <c r="W1287" s="128">
        <v>1002.4281383866788</v>
      </c>
      <c r="X1287" s="128">
        <v>12.0</v>
      </c>
      <c r="Y1287" s="128">
        <v>994.3159342979126</v>
      </c>
      <c r="Z1287" s="44" t="s">
        <v>92</v>
      </c>
      <c r="AA1287" s="128">
        <v>1009.1494661507077</v>
      </c>
      <c r="AB1287" s="128">
        <v>19.0</v>
      </c>
      <c r="AC1287" s="128">
        <v>1004.491883979246</v>
      </c>
      <c r="AD1287" s="44" t="s">
        <v>47</v>
      </c>
      <c r="AE1287" s="128">
        <v>1022.679325461914</v>
      </c>
      <c r="AF1287" s="128">
        <v>18.0</v>
      </c>
      <c r="AG1287" s="128">
        <v>1017.449111722142</v>
      </c>
      <c r="AH1287" s="44"/>
      <c r="AI1287" s="128"/>
      <c r="AJ1287" s="128"/>
      <c r="AK1287" s="128"/>
      <c r="AP1287" s="128">
        <v>17.0</v>
      </c>
      <c r="AQ1287" s="128">
        <v>11.0</v>
      </c>
      <c r="AT1287" s="44">
        <v>1286.0</v>
      </c>
      <c r="AU1287" s="44"/>
      <c r="AW1287" s="93"/>
      <c r="AY1287" s="93"/>
      <c r="AZ1287" s="93"/>
      <c r="BA1287" s="93"/>
      <c r="BB1287" s="155"/>
      <c r="BC1287" s="93"/>
      <c r="BE1287" s="93"/>
      <c r="BG1287" s="93"/>
      <c r="BH1287" s="93"/>
      <c r="BI1287" s="93"/>
      <c r="BJ1287" s="155"/>
      <c r="BK1287" s="93"/>
    </row>
    <row r="1288">
      <c r="A1288" s="166">
        <v>44850.942149525465</v>
      </c>
      <c r="B1288" s="44" t="s">
        <v>125</v>
      </c>
      <c r="C1288" s="128">
        <v>926.5113755028638</v>
      </c>
      <c r="D1288" s="128">
        <v>17.0</v>
      </c>
      <c r="E1288" s="128">
        <v>920.9790712293404</v>
      </c>
      <c r="F1288" s="44" t="s">
        <v>92</v>
      </c>
      <c r="G1288" s="128">
        <v>1004.491883979246</v>
      </c>
      <c r="H1288" s="128">
        <v>12.0</v>
      </c>
      <c r="I1288" s="128">
        <v>994.8502036435026</v>
      </c>
      <c r="J1288" s="44" t="s">
        <v>23</v>
      </c>
      <c r="K1288" s="128">
        <v>1107.019028581843</v>
      </c>
      <c r="L1288" s="128">
        <v>19.0</v>
      </c>
      <c r="M1288" s="128">
        <v>1101.1930131911097</v>
      </c>
      <c r="N1288" s="44"/>
      <c r="O1288" s="128"/>
      <c r="P1288" s="128"/>
      <c r="Q1288" s="128"/>
      <c r="V1288" s="44" t="s">
        <v>107</v>
      </c>
      <c r="W1288" s="128">
        <v>953.9579808549892</v>
      </c>
      <c r="X1288" s="128">
        <v>20.0</v>
      </c>
      <c r="Y1288" s="128">
        <v>961.428957914074</v>
      </c>
      <c r="Z1288" s="44" t="s">
        <v>47</v>
      </c>
      <c r="AA1288" s="128">
        <v>1017.449111722142</v>
      </c>
      <c r="AB1288" s="128">
        <v>20.0</v>
      </c>
      <c r="AC1288" s="128">
        <v>1024.0035610283012</v>
      </c>
      <c r="AD1288" s="44" t="s">
        <v>27</v>
      </c>
      <c r="AE1288" s="128">
        <v>1050.6680483375592</v>
      </c>
      <c r="AF1288" s="128">
        <v>21.0</v>
      </c>
      <c r="AG1288" s="128">
        <v>1057.642621972315</v>
      </c>
      <c r="AH1288" s="44"/>
      <c r="AI1288" s="128"/>
      <c r="AJ1288" s="128"/>
      <c r="AK1288" s="128"/>
      <c r="AP1288" s="128">
        <v>12.0</v>
      </c>
      <c r="AQ1288" s="128">
        <v>16.0</v>
      </c>
      <c r="AT1288" s="44">
        <v>1287.0</v>
      </c>
      <c r="AU1288" s="44"/>
      <c r="AW1288" s="93"/>
      <c r="AY1288" s="93"/>
      <c r="AZ1288" s="93"/>
      <c r="BA1288" s="93"/>
      <c r="BB1288" s="155"/>
      <c r="BC1288" s="93"/>
      <c r="BE1288" s="93"/>
      <c r="BG1288" s="93"/>
      <c r="BH1288" s="93"/>
      <c r="BI1288" s="93"/>
      <c r="BJ1288" s="155"/>
      <c r="BK1288" s="93"/>
    </row>
    <row r="1289">
      <c r="A1289" s="166">
        <v>44850.981492453706</v>
      </c>
      <c r="B1289" s="44" t="s">
        <v>125</v>
      </c>
      <c r="C1289" s="128">
        <v>920.9790712293404</v>
      </c>
      <c r="D1289" s="128">
        <v>6.0</v>
      </c>
      <c r="E1289" s="128">
        <v>921.5363491540023</v>
      </c>
      <c r="F1289" s="44" t="s">
        <v>92</v>
      </c>
      <c r="G1289" s="128">
        <v>994.8502036435026</v>
      </c>
      <c r="H1289" s="128">
        <v>19.0</v>
      </c>
      <c r="I1289" s="128">
        <v>998.648731415935</v>
      </c>
      <c r="J1289" s="44" t="s">
        <v>23</v>
      </c>
      <c r="K1289" s="128">
        <v>1101.1930131911097</v>
      </c>
      <c r="L1289" s="128">
        <v>29.0</v>
      </c>
      <c r="M1289" s="128">
        <v>1107.8372074940155</v>
      </c>
      <c r="N1289" s="44"/>
      <c r="O1289" s="128"/>
      <c r="P1289" s="128"/>
      <c r="Q1289" s="128"/>
      <c r="V1289" s="44" t="s">
        <v>107</v>
      </c>
      <c r="W1289" s="128">
        <v>961.428957914074</v>
      </c>
      <c r="X1289" s="128">
        <v>10.0</v>
      </c>
      <c r="Y1289" s="128">
        <v>955.7797096412531</v>
      </c>
      <c r="Z1289" s="44" t="s">
        <v>47</v>
      </c>
      <c r="AA1289" s="128">
        <v>1024.0035610283012</v>
      </c>
      <c r="AB1289" s="128">
        <v>22.0</v>
      </c>
      <c r="AC1289" s="128">
        <v>1021.663500390753</v>
      </c>
      <c r="AD1289" s="44" t="s">
        <v>27</v>
      </c>
      <c r="AE1289" s="128">
        <v>1057.642621972315</v>
      </c>
      <c r="AF1289" s="128">
        <v>20.0</v>
      </c>
      <c r="AG1289" s="128">
        <v>1054.6319308826842</v>
      </c>
      <c r="AH1289" s="44"/>
      <c r="AI1289" s="128"/>
      <c r="AJ1289" s="128"/>
      <c r="AK1289" s="128"/>
      <c r="AP1289" s="128">
        <v>15.0</v>
      </c>
      <c r="AQ1289" s="128">
        <v>13.0</v>
      </c>
      <c r="AT1289" s="44">
        <v>1288.0</v>
      </c>
      <c r="AU1289" s="44"/>
      <c r="AW1289" s="93"/>
      <c r="AY1289" s="93"/>
      <c r="AZ1289" s="93"/>
      <c r="BA1289" s="93"/>
      <c r="BB1289" s="155"/>
      <c r="BC1289" s="93"/>
      <c r="BE1289" s="93"/>
      <c r="BG1289" s="93"/>
      <c r="BH1289" s="93"/>
      <c r="BI1289" s="93"/>
      <c r="BJ1289" s="155"/>
      <c r="BK1289" s="93"/>
    </row>
    <row r="1290">
      <c r="A1290" s="166">
        <v>44851.015692685185</v>
      </c>
      <c r="B1290" s="44" t="s">
        <v>125</v>
      </c>
      <c r="C1290" s="128">
        <v>921.5363491540023</v>
      </c>
      <c r="D1290" s="128">
        <v>17.0</v>
      </c>
      <c r="E1290" s="128">
        <v>926.3264687166497</v>
      </c>
      <c r="F1290" s="44" t="s">
        <v>47</v>
      </c>
      <c r="G1290" s="128">
        <v>1021.663500390753</v>
      </c>
      <c r="H1290" s="128">
        <v>15.0</v>
      </c>
      <c r="I1290" s="128">
        <v>1023.857665441312</v>
      </c>
      <c r="J1290" s="44" t="s">
        <v>23</v>
      </c>
      <c r="K1290" s="128">
        <v>1107.8372074940155</v>
      </c>
      <c r="L1290" s="128">
        <v>33.0</v>
      </c>
      <c r="M1290" s="128">
        <v>1118.8529228808093</v>
      </c>
      <c r="N1290" s="44"/>
      <c r="O1290" s="128"/>
      <c r="P1290" s="128"/>
      <c r="Q1290" s="128"/>
      <c r="V1290" s="44" t="s">
        <v>107</v>
      </c>
      <c r="W1290" s="128">
        <v>955.7797096412531</v>
      </c>
      <c r="X1290" s="128">
        <v>14.0</v>
      </c>
      <c r="Y1290" s="128">
        <v>948.2119332315998</v>
      </c>
      <c r="Z1290" s="44" t="s">
        <v>92</v>
      </c>
      <c r="AA1290" s="128">
        <v>998.648731415935</v>
      </c>
      <c r="AB1290" s="128">
        <v>22.0</v>
      </c>
      <c r="AC1290" s="128">
        <v>994.5647197974398</v>
      </c>
      <c r="AD1290" s="44" t="s">
        <v>27</v>
      </c>
      <c r="AE1290" s="128">
        <v>1054.6319308826842</v>
      </c>
      <c r="AF1290" s="128">
        <v>18.0</v>
      </c>
      <c r="AG1290" s="128">
        <v>1048.2837189108327</v>
      </c>
      <c r="AH1290" s="44"/>
      <c r="AI1290" s="128"/>
      <c r="AJ1290" s="128"/>
      <c r="AK1290" s="128"/>
      <c r="AP1290" s="128">
        <v>17.0</v>
      </c>
      <c r="AQ1290" s="128">
        <v>11.0</v>
      </c>
      <c r="AT1290" s="44">
        <v>1289.0</v>
      </c>
      <c r="AU1290" s="44"/>
      <c r="AW1290" s="93"/>
      <c r="AY1290" s="93"/>
      <c r="AZ1290" s="93"/>
      <c r="BA1290" s="93"/>
      <c r="BB1290" s="155"/>
      <c r="BC1290" s="93"/>
      <c r="BE1290" s="93"/>
      <c r="BG1290" s="93"/>
      <c r="BH1290" s="93"/>
      <c r="BI1290" s="93"/>
      <c r="BJ1290" s="155"/>
      <c r="BK1290" s="93"/>
    </row>
    <row r="1291">
      <c r="A1291" s="166">
        <v>44851.95899421297</v>
      </c>
      <c r="B1291" s="44" t="s">
        <v>38</v>
      </c>
      <c r="C1291" s="128">
        <v>985.908625886734</v>
      </c>
      <c r="D1291" s="128">
        <v>21.0</v>
      </c>
      <c r="E1291" s="128">
        <v>980.9884419668205</v>
      </c>
      <c r="F1291" s="44" t="s">
        <v>110</v>
      </c>
      <c r="G1291" s="128">
        <v>994.3159342979126</v>
      </c>
      <c r="H1291" s="128">
        <v>15.0</v>
      </c>
      <c r="I1291" s="128">
        <v>985.8053749125563</v>
      </c>
      <c r="J1291" s="44" t="s">
        <v>47</v>
      </c>
      <c r="K1291" s="128">
        <v>1023.857665441312</v>
      </c>
      <c r="L1291" s="128">
        <v>17.0</v>
      </c>
      <c r="M1291" s="128">
        <v>1016.2884087465817</v>
      </c>
      <c r="N1291" s="44"/>
      <c r="O1291" s="128"/>
      <c r="P1291" s="128"/>
      <c r="Q1291" s="128"/>
      <c r="V1291" s="44" t="s">
        <v>107</v>
      </c>
      <c r="W1291" s="128">
        <v>948.2119332315998</v>
      </c>
      <c r="X1291" s="128">
        <v>23.0</v>
      </c>
      <c r="Y1291" s="128">
        <v>958.690096066274</v>
      </c>
      <c r="Z1291" s="44" t="s">
        <v>92</v>
      </c>
      <c r="AA1291" s="128">
        <v>994.5647197974398</v>
      </c>
      <c r="AB1291" s="128">
        <v>17.0</v>
      </c>
      <c r="AC1291" s="128">
        <v>1000.8658653816209</v>
      </c>
      <c r="AD1291" s="44" t="s">
        <v>27</v>
      </c>
      <c r="AE1291" s="128">
        <v>1048.2837189108327</v>
      </c>
      <c r="AF1291" s="128">
        <v>14.0</v>
      </c>
      <c r="AG1291" s="128">
        <v>1052.5044104919775</v>
      </c>
      <c r="AH1291" s="44"/>
      <c r="AI1291" s="128"/>
      <c r="AJ1291" s="128"/>
      <c r="AK1291" s="128"/>
      <c r="AP1291" s="128">
        <v>12.0</v>
      </c>
      <c r="AQ1291" s="128">
        <v>16.0</v>
      </c>
      <c r="AT1291" s="44">
        <v>1290.0</v>
      </c>
      <c r="AU1291" s="44"/>
      <c r="AW1291" s="93"/>
      <c r="AY1291" s="93"/>
      <c r="AZ1291" s="93"/>
      <c r="BA1291" s="93"/>
      <c r="BB1291" s="155"/>
      <c r="BC1291" s="93"/>
      <c r="BE1291" s="93"/>
      <c r="BG1291" s="93"/>
      <c r="BH1291" s="93"/>
      <c r="BI1291" s="93"/>
      <c r="BJ1291" s="155"/>
      <c r="BK1291" s="93"/>
    </row>
    <row r="1292">
      <c r="A1292" s="166">
        <v>44852.005408784724</v>
      </c>
      <c r="B1292" s="44" t="s">
        <v>38</v>
      </c>
      <c r="C1292" s="128">
        <v>980.9884419668205</v>
      </c>
      <c r="D1292" s="128">
        <v>16.0</v>
      </c>
      <c r="E1292" s="128">
        <v>975.2927812936015</v>
      </c>
      <c r="F1292" s="44" t="s">
        <v>110</v>
      </c>
      <c r="G1292" s="128">
        <v>985.8053749125563</v>
      </c>
      <c r="H1292" s="128">
        <v>8.0</v>
      </c>
      <c r="I1292" s="128">
        <v>976.7340256368864</v>
      </c>
      <c r="J1292" s="44" t="s">
        <v>92</v>
      </c>
      <c r="K1292" s="128">
        <v>1000.8658653816209</v>
      </c>
      <c r="L1292" s="128">
        <v>22.0</v>
      </c>
      <c r="M1292" s="128">
        <v>997.514907156677</v>
      </c>
      <c r="N1292" s="44" t="s">
        <v>27</v>
      </c>
      <c r="O1292" s="128">
        <v>1052.5044104919775</v>
      </c>
      <c r="P1292" s="128">
        <v>26.0</v>
      </c>
      <c r="Q1292" s="128">
        <v>1050.6223786658104</v>
      </c>
      <c r="V1292" s="44" t="s">
        <v>125</v>
      </c>
      <c r="W1292" s="128">
        <v>926.3264687166497</v>
      </c>
      <c r="X1292" s="128">
        <v>15.0</v>
      </c>
      <c r="Y1292" s="128">
        <v>929.2871225348194</v>
      </c>
      <c r="Z1292" s="44" t="s">
        <v>107</v>
      </c>
      <c r="AA1292" s="128">
        <v>958.690096066274</v>
      </c>
      <c r="AB1292" s="128">
        <v>34.0</v>
      </c>
      <c r="AC1292" s="128">
        <v>968.9946176857605</v>
      </c>
      <c r="AD1292" s="44" t="s">
        <v>47</v>
      </c>
      <c r="AE1292" s="128">
        <v>1016.2884087465817</v>
      </c>
      <c r="AF1292" s="128">
        <v>16.0</v>
      </c>
      <c r="AG1292" s="128">
        <v>1018.4973741657855</v>
      </c>
      <c r="AH1292" s="44" t="s">
        <v>23</v>
      </c>
      <c r="AI1292" s="128">
        <v>1118.8529228808093</v>
      </c>
      <c r="AJ1292" s="128">
        <v>22.0</v>
      </c>
      <c r="AK1292" s="128">
        <v>1123.3787820239493</v>
      </c>
      <c r="AP1292" s="128">
        <v>11.0</v>
      </c>
      <c r="AQ1292" s="128">
        <v>17.0</v>
      </c>
      <c r="AT1292" s="44">
        <v>1291.0</v>
      </c>
      <c r="AU1292" s="44"/>
      <c r="AW1292" s="93"/>
      <c r="AY1292" s="93"/>
      <c r="AZ1292" s="93"/>
      <c r="BA1292" s="93"/>
      <c r="BB1292" s="155"/>
      <c r="BC1292" s="93"/>
      <c r="BE1292" s="93"/>
      <c r="BG1292" s="93"/>
      <c r="BH1292" s="93"/>
      <c r="BI1292" s="93"/>
      <c r="BJ1292" s="155"/>
      <c r="BK1292" s="93"/>
    </row>
    <row r="1293">
      <c r="A1293" s="166">
        <v>44852.04400447916</v>
      </c>
      <c r="B1293" s="44" t="s">
        <v>125</v>
      </c>
      <c r="C1293" s="128">
        <v>929.2871225348194</v>
      </c>
      <c r="D1293" s="128">
        <v>12.0</v>
      </c>
      <c r="E1293" s="128">
        <v>925.804339053617</v>
      </c>
      <c r="F1293" s="44" t="s">
        <v>107</v>
      </c>
      <c r="G1293" s="128">
        <v>968.9946176857605</v>
      </c>
      <c r="H1293" s="128">
        <v>14.0</v>
      </c>
      <c r="I1293" s="128">
        <v>965.6561485428728</v>
      </c>
      <c r="J1293" s="44" t="s">
        <v>61</v>
      </c>
      <c r="K1293" s="128">
        <v>1021.4638611037441</v>
      </c>
      <c r="L1293" s="128">
        <v>19.0</v>
      </c>
      <c r="M1293" s="128">
        <v>1018.9693311728586</v>
      </c>
      <c r="N1293" s="44" t="s">
        <v>23</v>
      </c>
      <c r="O1293" s="128">
        <v>1123.3787820239493</v>
      </c>
      <c r="P1293" s="128">
        <v>28.0</v>
      </c>
      <c r="Q1293" s="128">
        <v>1122.6945645789249</v>
      </c>
      <c r="V1293" s="44" t="s">
        <v>110</v>
      </c>
      <c r="W1293" s="128">
        <v>976.7340256368864</v>
      </c>
      <c r="X1293" s="128">
        <v>17.0</v>
      </c>
      <c r="Y1293" s="128">
        <v>978.6247563321979</v>
      </c>
      <c r="Z1293" s="44" t="s">
        <v>34</v>
      </c>
      <c r="AA1293" s="128">
        <v>997.0621851053946</v>
      </c>
      <c r="AB1293" s="128">
        <v>15.0</v>
      </c>
      <c r="AC1293" s="128">
        <v>998.4409524841965</v>
      </c>
      <c r="AD1293" s="44" t="s">
        <v>47</v>
      </c>
      <c r="AE1293" s="128">
        <v>1018.4973741657855</v>
      </c>
      <c r="AF1293" s="128">
        <v>23.0</v>
      </c>
      <c r="AG1293" s="128">
        <v>1021.473548784338</v>
      </c>
      <c r="AH1293" s="44" t="s">
        <v>27</v>
      </c>
      <c r="AI1293" s="128">
        <v>1050.6223786658104</v>
      </c>
      <c r="AJ1293" s="128">
        <v>27.0</v>
      </c>
      <c r="AK1293" s="128">
        <v>1054.3767059731445</v>
      </c>
      <c r="AP1293" s="128">
        <v>13.0</v>
      </c>
      <c r="AQ1293" s="128">
        <v>15.0</v>
      </c>
      <c r="AT1293" s="44">
        <v>1292.0</v>
      </c>
      <c r="AU1293" s="44"/>
      <c r="AW1293" s="93"/>
      <c r="AY1293" s="93"/>
      <c r="AZ1293" s="93"/>
      <c r="BA1293" s="93"/>
      <c r="BB1293" s="155"/>
      <c r="BC1293" s="93"/>
      <c r="BE1293" s="93"/>
      <c r="BG1293" s="93"/>
      <c r="BH1293" s="93"/>
      <c r="BI1293" s="93"/>
      <c r="BJ1293" s="155"/>
      <c r="BK1293" s="93"/>
    </row>
    <row r="1294">
      <c r="A1294" s="166">
        <v>44852.91847533565</v>
      </c>
      <c r="B1294" s="44" t="s">
        <v>100</v>
      </c>
      <c r="C1294" s="128">
        <v>930.2231970917147</v>
      </c>
      <c r="D1294" s="128">
        <v>20.0</v>
      </c>
      <c r="E1294" s="128">
        <v>935.1672624697604</v>
      </c>
      <c r="F1294" s="44" t="s">
        <v>38</v>
      </c>
      <c r="G1294" s="128">
        <v>975.2927812936015</v>
      </c>
      <c r="H1294" s="128">
        <v>19.0</v>
      </c>
      <c r="I1294" s="128">
        <v>979.0317358663975</v>
      </c>
      <c r="J1294" s="44" t="s">
        <v>34</v>
      </c>
      <c r="K1294" s="128">
        <v>998.4409524841965</v>
      </c>
      <c r="L1294" s="128">
        <v>26.0</v>
      </c>
      <c r="M1294" s="128">
        <v>1004.9863618035238</v>
      </c>
      <c r="N1294" s="44" t="s">
        <v>23</v>
      </c>
      <c r="O1294" s="128">
        <v>1122.6945645789249</v>
      </c>
      <c r="P1294" s="128">
        <v>25.0</v>
      </c>
      <c r="Q1294" s="128">
        <v>1128.4661353087556</v>
      </c>
      <c r="V1294" s="44" t="s">
        <v>107</v>
      </c>
      <c r="W1294" s="128">
        <v>965.6561485428728</v>
      </c>
      <c r="X1294" s="128">
        <v>6.0</v>
      </c>
      <c r="Y1294" s="128">
        <v>956.1021566702036</v>
      </c>
      <c r="Z1294" s="44" t="s">
        <v>92</v>
      </c>
      <c r="AA1294" s="128">
        <v>997.514907156677</v>
      </c>
      <c r="AB1294" s="128">
        <v>23.0</v>
      </c>
      <c r="AC1294" s="128">
        <v>995.1253761179444</v>
      </c>
      <c r="AD1294" s="44" t="s">
        <v>47</v>
      </c>
      <c r="AE1294" s="128">
        <v>1021.473548784338</v>
      </c>
      <c r="AF1294" s="128">
        <v>9.0</v>
      </c>
      <c r="AG1294" s="128">
        <v>1012.8326614177646</v>
      </c>
      <c r="AH1294" s="44" t="s">
        <v>27</v>
      </c>
      <c r="AI1294" s="128">
        <v>1054.3767059731445</v>
      </c>
      <c r="AJ1294" s="128">
        <v>28.0</v>
      </c>
      <c r="AK1294" s="128">
        <v>1053.9611162511198</v>
      </c>
      <c r="AP1294" s="128">
        <v>18.0</v>
      </c>
      <c r="AQ1294" s="128">
        <v>10.0</v>
      </c>
      <c r="AT1294" s="44">
        <v>1293.0</v>
      </c>
      <c r="AU1294" s="44"/>
      <c r="AW1294" s="93"/>
      <c r="AY1294" s="93"/>
      <c r="AZ1294" s="93"/>
      <c r="BA1294" s="93"/>
      <c r="BB1294" s="155"/>
      <c r="BC1294" s="93"/>
      <c r="BE1294" s="93"/>
      <c r="BG1294" s="93"/>
      <c r="BH1294" s="93"/>
      <c r="BI1294" s="93"/>
      <c r="BJ1294" s="155"/>
      <c r="BK1294" s="93"/>
    </row>
    <row r="1295">
      <c r="A1295" s="166">
        <v>44852.96861083333</v>
      </c>
      <c r="B1295" s="44" t="s">
        <v>34</v>
      </c>
      <c r="C1295" s="128">
        <v>1004.9863618035238</v>
      </c>
      <c r="D1295" s="128">
        <v>21.0</v>
      </c>
      <c r="E1295" s="128">
        <v>1000.9627503475022</v>
      </c>
      <c r="F1295" s="44" t="s">
        <v>47</v>
      </c>
      <c r="G1295" s="128">
        <v>1012.8326614177646</v>
      </c>
      <c r="H1295" s="128">
        <v>26.0</v>
      </c>
      <c r="I1295" s="128">
        <v>1010.0234237180633</v>
      </c>
      <c r="J1295" s="44" t="s">
        <v>27</v>
      </c>
      <c r="K1295" s="128">
        <v>1053.9611162511198</v>
      </c>
      <c r="L1295" s="128">
        <v>29.0</v>
      </c>
      <c r="M1295" s="128">
        <v>1051.7939654068427</v>
      </c>
      <c r="N1295" s="44"/>
      <c r="O1295" s="128"/>
      <c r="P1295" s="128"/>
      <c r="Q1295" s="128"/>
      <c r="V1295" s="44" t="s">
        <v>38</v>
      </c>
      <c r="W1295" s="128">
        <v>979.0317358663975</v>
      </c>
      <c r="X1295" s="128">
        <v>22.0</v>
      </c>
      <c r="Y1295" s="128">
        <v>980.6965384856627</v>
      </c>
      <c r="Z1295" s="44" t="s">
        <v>92</v>
      </c>
      <c r="AA1295" s="128">
        <v>995.1253761179444</v>
      </c>
      <c r="AB1295" s="128">
        <v>29.0</v>
      </c>
      <c r="AC1295" s="128">
        <v>998.4199113507017</v>
      </c>
      <c r="AD1295" s="44" t="s">
        <v>23</v>
      </c>
      <c r="AE1295" s="128">
        <v>1128.4661353087556</v>
      </c>
      <c r="AF1295" s="128">
        <v>33.0</v>
      </c>
      <c r="AG1295" s="128">
        <v>1132.506797456733</v>
      </c>
      <c r="AH1295" s="44"/>
      <c r="AI1295" s="128"/>
      <c r="AJ1295" s="128"/>
      <c r="AK1295" s="128"/>
      <c r="AP1295" s="128">
        <v>20.0</v>
      </c>
      <c r="AQ1295" s="128">
        <v>22.0</v>
      </c>
      <c r="AT1295" s="44">
        <v>1294.0</v>
      </c>
      <c r="AU1295" s="44"/>
      <c r="AW1295" s="93"/>
      <c r="AY1295" s="93"/>
      <c r="AZ1295" s="93"/>
      <c r="BA1295" s="93"/>
      <c r="BB1295" s="155"/>
      <c r="BC1295" s="93"/>
      <c r="BE1295" s="93"/>
      <c r="BG1295" s="93"/>
      <c r="BH1295" s="93"/>
      <c r="BI1295" s="93"/>
      <c r="BJ1295" s="155"/>
      <c r="BK1295" s="93"/>
    </row>
    <row r="1296">
      <c r="A1296" s="166">
        <v>44853.01706896991</v>
      </c>
      <c r="B1296" s="44" t="s">
        <v>125</v>
      </c>
      <c r="C1296" s="128">
        <v>925.804339053617</v>
      </c>
      <c r="D1296" s="128">
        <v>13.0</v>
      </c>
      <c r="E1296" s="128">
        <v>922.6449134657156</v>
      </c>
      <c r="F1296" s="44" t="s">
        <v>38</v>
      </c>
      <c r="G1296" s="128">
        <v>980.6965384856627</v>
      </c>
      <c r="H1296" s="128">
        <v>13.0</v>
      </c>
      <c r="I1296" s="128">
        <v>977.2029750597677</v>
      </c>
      <c r="J1296" s="44" t="s">
        <v>61</v>
      </c>
      <c r="K1296" s="128">
        <v>1018.9693311728586</v>
      </c>
      <c r="L1296" s="128">
        <v>15.0</v>
      </c>
      <c r="M1296" s="128">
        <v>1015.7681000778848</v>
      </c>
      <c r="N1296" s="44" t="s">
        <v>23</v>
      </c>
      <c r="O1296" s="128">
        <v>1132.506797456733</v>
      </c>
      <c r="P1296" s="128">
        <v>30.0</v>
      </c>
      <c r="Q1296" s="128">
        <v>1132.361017565503</v>
      </c>
      <c r="V1296" s="44" t="s">
        <v>92</v>
      </c>
      <c r="W1296" s="128">
        <v>998.4199113507017</v>
      </c>
      <c r="X1296" s="128">
        <v>16.0</v>
      </c>
      <c r="Y1296" s="128">
        <v>999.869158174363</v>
      </c>
      <c r="Z1296" s="44" t="s">
        <v>34</v>
      </c>
      <c r="AA1296" s="128">
        <v>1000.9627503475022</v>
      </c>
      <c r="AB1296" s="128">
        <v>21.0</v>
      </c>
      <c r="AC1296" s="128">
        <v>1003.4440927777745</v>
      </c>
      <c r="AD1296" s="44" t="s">
        <v>47</v>
      </c>
      <c r="AE1296" s="128">
        <v>1010.0234237180633</v>
      </c>
      <c r="AF1296" s="128">
        <v>23.0</v>
      </c>
      <c r="AG1296" s="128">
        <v>1012.8907832530496</v>
      </c>
      <c r="AH1296" s="44" t="s">
        <v>27</v>
      </c>
      <c r="AI1296" s="128">
        <v>1051.7939654068427</v>
      </c>
      <c r="AJ1296" s="128">
        <v>25.0</v>
      </c>
      <c r="AK1296" s="128">
        <v>1054.9960166179228</v>
      </c>
      <c r="AP1296" s="128">
        <v>13.0</v>
      </c>
      <c r="AQ1296" s="128">
        <v>15.0</v>
      </c>
      <c r="AT1296" s="44">
        <v>1295.0</v>
      </c>
      <c r="AU1296" s="44"/>
      <c r="AW1296" s="93"/>
      <c r="AY1296" s="93"/>
      <c r="AZ1296" s="93"/>
      <c r="BA1296" s="93"/>
      <c r="BB1296" s="155"/>
      <c r="BC1296" s="93"/>
      <c r="BE1296" s="93"/>
      <c r="BG1296" s="93"/>
      <c r="BH1296" s="93"/>
      <c r="BI1296" s="93"/>
      <c r="BJ1296" s="155"/>
      <c r="BK1296" s="93"/>
    </row>
    <row r="1297">
      <c r="A1297" s="166">
        <v>44853.95966222222</v>
      </c>
      <c r="B1297" s="44" t="s">
        <v>34</v>
      </c>
      <c r="C1297" s="128">
        <v>1003.4440927777745</v>
      </c>
      <c r="D1297" s="128">
        <v>23.0</v>
      </c>
      <c r="E1297" s="128">
        <v>1011.5247022313869</v>
      </c>
      <c r="F1297" s="44" t="s">
        <v>47</v>
      </c>
      <c r="G1297" s="128">
        <v>1012.8907832530496</v>
      </c>
      <c r="H1297" s="128">
        <v>17.0</v>
      </c>
      <c r="I1297" s="128">
        <v>1017.5601900233546</v>
      </c>
      <c r="J1297" s="44" t="s">
        <v>27</v>
      </c>
      <c r="K1297" s="128">
        <v>1054.9960166179228</v>
      </c>
      <c r="L1297" s="128">
        <v>22.0</v>
      </c>
      <c r="M1297" s="128">
        <v>1062.2460003940053</v>
      </c>
      <c r="N1297" s="44"/>
      <c r="O1297" s="128"/>
      <c r="P1297" s="128"/>
      <c r="Q1297" s="128"/>
      <c r="V1297" s="44" t="s">
        <v>107</v>
      </c>
      <c r="W1297" s="128">
        <v>956.1021566702036</v>
      </c>
      <c r="X1297" s="128">
        <v>14.0</v>
      </c>
      <c r="Y1297" s="128">
        <v>949.2196715737749</v>
      </c>
      <c r="Z1297" s="44" t="s">
        <v>112</v>
      </c>
      <c r="AA1297" s="128">
        <v>983.4372973293155</v>
      </c>
      <c r="AB1297" s="128">
        <v>15.0</v>
      </c>
      <c r="AC1297" s="128">
        <v>976.8037104433122</v>
      </c>
      <c r="AD1297" s="44" t="s">
        <v>23</v>
      </c>
      <c r="AE1297" s="128">
        <v>1132.361017565503</v>
      </c>
      <c r="AF1297" s="128">
        <v>16.0</v>
      </c>
      <c r="AG1297" s="128">
        <v>1125.8770895479352</v>
      </c>
      <c r="AH1297" s="44"/>
      <c r="AI1297" s="128"/>
      <c r="AJ1297" s="128"/>
      <c r="AK1297" s="128"/>
      <c r="AP1297" s="128">
        <v>18.0</v>
      </c>
      <c r="AQ1297" s="128">
        <v>10.0</v>
      </c>
      <c r="AS1297" s="44" t="s">
        <v>229</v>
      </c>
      <c r="AT1297" s="44">
        <v>1296.0</v>
      </c>
      <c r="AU1297" s="44"/>
      <c r="AW1297" s="93"/>
      <c r="AY1297" s="93"/>
      <c r="AZ1297" s="93"/>
      <c r="BA1297" s="93"/>
      <c r="BB1297" s="155"/>
      <c r="BC1297" s="93"/>
      <c r="BE1297" s="93"/>
      <c r="BG1297" s="93"/>
      <c r="BH1297" s="93"/>
      <c r="BI1297" s="93"/>
      <c r="BJ1297" s="155"/>
      <c r="BK1297" s="93"/>
    </row>
    <row r="1298">
      <c r="A1298" s="166">
        <v>44854.00164628473</v>
      </c>
      <c r="B1298" s="44" t="s">
        <v>112</v>
      </c>
      <c r="C1298" s="128">
        <v>976.8037104433122</v>
      </c>
      <c r="D1298" s="128">
        <v>23.0</v>
      </c>
      <c r="E1298" s="128">
        <v>975.1031858380966</v>
      </c>
      <c r="F1298" s="44" t="s">
        <v>34</v>
      </c>
      <c r="G1298" s="128">
        <v>1011.5247022313869</v>
      </c>
      <c r="H1298" s="128">
        <v>25.0</v>
      </c>
      <c r="I1298" s="128">
        <v>1010.1082008137492</v>
      </c>
      <c r="J1298" s="44" t="s">
        <v>61</v>
      </c>
      <c r="K1298" s="128">
        <v>1015.7681000778848</v>
      </c>
      <c r="L1298" s="128">
        <v>12.0</v>
      </c>
      <c r="M1298" s="128">
        <v>1011.6320187606088</v>
      </c>
      <c r="N1298" s="44" t="s">
        <v>27</v>
      </c>
      <c r="O1298" s="128">
        <v>1062.2460003940053</v>
      </c>
      <c r="P1298" s="128">
        <v>19.0</v>
      </c>
      <c r="Q1298" s="128">
        <v>1059.4991077341344</v>
      </c>
      <c r="V1298" s="44" t="s">
        <v>125</v>
      </c>
      <c r="W1298" s="128">
        <v>922.6449134657156</v>
      </c>
      <c r="X1298" s="128">
        <v>11.0</v>
      </c>
      <c r="Y1298" s="128">
        <v>923.2514421016115</v>
      </c>
      <c r="Z1298" s="44" t="s">
        <v>92</v>
      </c>
      <c r="AA1298" s="128">
        <v>999.869158174363</v>
      </c>
      <c r="AB1298" s="128">
        <v>19.0</v>
      </c>
      <c r="AC1298" s="128">
        <v>1001.6122934736402</v>
      </c>
      <c r="AD1298" s="44" t="s">
        <v>47</v>
      </c>
      <c r="AE1298" s="128">
        <v>1017.5601900233546</v>
      </c>
      <c r="AF1298" s="128">
        <v>14.0</v>
      </c>
      <c r="AG1298" s="128">
        <v>1018.2018038003671</v>
      </c>
      <c r="AH1298" s="44" t="s">
        <v>23</v>
      </c>
      <c r="AI1298" s="128">
        <v>1125.8770895479352</v>
      </c>
      <c r="AJ1298" s="128">
        <v>45.0</v>
      </c>
      <c r="AK1298" s="128">
        <v>1132.8858118357496</v>
      </c>
      <c r="AP1298" s="128">
        <v>13.0</v>
      </c>
      <c r="AQ1298" s="128">
        <v>15.0</v>
      </c>
      <c r="AS1298" s="44" t="s">
        <v>266</v>
      </c>
      <c r="AT1298" s="44">
        <v>1297.0</v>
      </c>
      <c r="AU1298" s="44"/>
      <c r="AW1298" s="93"/>
      <c r="AY1298" s="93"/>
      <c r="AZ1298" s="93"/>
      <c r="BA1298" s="93"/>
      <c r="BB1298" s="155"/>
      <c r="BC1298" s="93"/>
      <c r="BE1298" s="93"/>
      <c r="BG1298" s="93"/>
      <c r="BH1298" s="93"/>
      <c r="BI1298" s="93"/>
      <c r="BJ1298" s="155"/>
      <c r="BK1298" s="93"/>
    </row>
    <row r="1299">
      <c r="A1299" s="166">
        <v>44855.02635388889</v>
      </c>
      <c r="B1299" s="44" t="s">
        <v>125</v>
      </c>
      <c r="C1299" s="128">
        <v>923.2514421016115</v>
      </c>
      <c r="D1299" s="128">
        <v>11.0</v>
      </c>
      <c r="E1299" s="128">
        <v>925.7026796607873</v>
      </c>
      <c r="F1299" s="44" t="s">
        <v>112</v>
      </c>
      <c r="G1299" s="128">
        <v>975.1031858380966</v>
      </c>
      <c r="H1299" s="128">
        <v>27.0</v>
      </c>
      <c r="I1299" s="128">
        <v>985.868941443637</v>
      </c>
      <c r="J1299" s="44" t="s">
        <v>27</v>
      </c>
      <c r="K1299" s="128">
        <v>1059.4991077341344</v>
      </c>
      <c r="L1299" s="128">
        <v>23.0</v>
      </c>
      <c r="M1299" s="128">
        <v>1067.2821145694181</v>
      </c>
      <c r="N1299" s="44"/>
      <c r="O1299" s="128"/>
      <c r="P1299" s="128"/>
      <c r="Q1299" s="128"/>
      <c r="V1299" s="44" t="s">
        <v>107</v>
      </c>
      <c r="W1299" s="128">
        <v>949.2196715737749</v>
      </c>
      <c r="X1299" s="128">
        <v>13.0</v>
      </c>
      <c r="Y1299" s="128">
        <v>940.9088792534692</v>
      </c>
      <c r="Z1299" s="44" t="s">
        <v>34</v>
      </c>
      <c r="AA1299" s="128">
        <v>1010.1082008137492</v>
      </c>
      <c r="AB1299" s="128">
        <v>20.0</v>
      </c>
      <c r="AC1299" s="128">
        <v>1005.2268019831199</v>
      </c>
      <c r="AD1299" s="44" t="s">
        <v>61</v>
      </c>
      <c r="AE1299" s="128">
        <v>1011.6320187606088</v>
      </c>
      <c r="AF1299" s="128">
        <v>15.0</v>
      </c>
      <c r="AG1299" s="128">
        <v>1003.824209911544</v>
      </c>
      <c r="AH1299" s="44"/>
      <c r="AI1299" s="128"/>
      <c r="AJ1299" s="128"/>
      <c r="AK1299" s="128"/>
      <c r="AP1299" s="128">
        <v>16.0</v>
      </c>
      <c r="AQ1299" s="128">
        <v>12.0</v>
      </c>
      <c r="AT1299" s="44">
        <v>1298.0</v>
      </c>
      <c r="AU1299" s="44"/>
      <c r="AW1299" s="93"/>
      <c r="AY1299" s="93"/>
      <c r="AZ1299" s="93"/>
      <c r="BA1299" s="93"/>
      <c r="BB1299" s="155"/>
      <c r="BC1299" s="93"/>
      <c r="BE1299" s="93"/>
      <c r="BG1299" s="93"/>
      <c r="BH1299" s="93"/>
      <c r="BI1299" s="93"/>
      <c r="BJ1299" s="155"/>
      <c r="BK1299" s="93"/>
    </row>
    <row r="1300">
      <c r="A1300" s="166">
        <v>44856.99336363426</v>
      </c>
      <c r="B1300" s="44" t="s">
        <v>125</v>
      </c>
      <c r="C1300" s="128">
        <v>925.7026796607873</v>
      </c>
      <c r="D1300" s="128">
        <v>20.0</v>
      </c>
      <c r="E1300" s="128">
        <v>940.0835719823318</v>
      </c>
      <c r="F1300" s="44" t="s">
        <v>54</v>
      </c>
      <c r="G1300" s="128">
        <v>1010.3626871911243</v>
      </c>
      <c r="H1300" s="128">
        <v>26.0</v>
      </c>
      <c r="I1300" s="128">
        <v>1028.9189947238165</v>
      </c>
      <c r="J1300" s="44" t="s">
        <v>47</v>
      </c>
      <c r="K1300" s="128">
        <v>1018.2018038003671</v>
      </c>
      <c r="L1300" s="128">
        <v>19.0</v>
      </c>
      <c r="M1300" s="128">
        <v>1028.2646039461306</v>
      </c>
      <c r="N1300" s="44"/>
      <c r="O1300" s="128"/>
      <c r="P1300" s="128"/>
      <c r="Q1300" s="128"/>
      <c r="V1300" s="44" t="s">
        <v>112</v>
      </c>
      <c r="W1300" s="128">
        <v>985.868941443637</v>
      </c>
      <c r="X1300" s="128">
        <v>18.0</v>
      </c>
      <c r="Y1300" s="128">
        <v>972.4569028019391</v>
      </c>
      <c r="Z1300" s="44" t="s">
        <v>117</v>
      </c>
      <c r="AA1300" s="128">
        <v>990.5616714911287</v>
      </c>
      <c r="AB1300" s="128">
        <v>23.0</v>
      </c>
      <c r="AC1300" s="128">
        <v>983.0231329150666</v>
      </c>
      <c r="AD1300" s="44" t="s">
        <v>98</v>
      </c>
      <c r="AE1300" s="128">
        <v>1000.0</v>
      </c>
      <c r="AF1300" s="128">
        <v>11.0</v>
      </c>
      <c r="AG1300" s="128">
        <v>977.9505772177598</v>
      </c>
      <c r="AH1300" s="44"/>
      <c r="AI1300" s="128"/>
      <c r="AJ1300" s="128"/>
      <c r="AK1300" s="128"/>
      <c r="AP1300" s="128">
        <v>18.0</v>
      </c>
      <c r="AQ1300" s="128">
        <v>9.0</v>
      </c>
      <c r="AT1300" s="44">
        <v>1299.0</v>
      </c>
      <c r="AU1300" s="44"/>
      <c r="AW1300" s="93"/>
      <c r="AY1300" s="93"/>
      <c r="AZ1300" s="93"/>
      <c r="BA1300" s="93"/>
      <c r="BB1300" s="155"/>
      <c r="BC1300" s="93"/>
      <c r="BE1300" s="93"/>
      <c r="BG1300" s="93"/>
      <c r="BH1300" s="93"/>
      <c r="BI1300" s="93"/>
      <c r="BJ1300" s="155"/>
      <c r="BK1300" s="93"/>
    </row>
    <row r="1301">
      <c r="A1301" s="166">
        <v>44858.98194344908</v>
      </c>
      <c r="B1301" s="44" t="s">
        <v>125</v>
      </c>
      <c r="C1301" s="128">
        <v>940.0835719823318</v>
      </c>
      <c r="D1301" s="128">
        <v>18.0</v>
      </c>
      <c r="E1301" s="128">
        <v>945.6073972533698</v>
      </c>
      <c r="F1301" s="44" t="s">
        <v>107</v>
      </c>
      <c r="G1301" s="128">
        <v>940.9088792534692</v>
      </c>
      <c r="H1301" s="128">
        <v>19.0</v>
      </c>
      <c r="I1301" s="128">
        <v>946.997915658194</v>
      </c>
      <c r="J1301" s="44" t="s">
        <v>23</v>
      </c>
      <c r="K1301" s="128">
        <v>1132.8858118357496</v>
      </c>
      <c r="L1301" s="128">
        <v>27.0</v>
      </c>
      <c r="M1301" s="128">
        <v>1142.272950159987</v>
      </c>
      <c r="N1301" s="44"/>
      <c r="O1301" s="128"/>
      <c r="P1301" s="128"/>
      <c r="Q1301" s="128"/>
      <c r="V1301" s="44" t="s">
        <v>92</v>
      </c>
      <c r="W1301" s="128">
        <v>1001.6122934736402</v>
      </c>
      <c r="X1301" s="128">
        <v>10.0</v>
      </c>
      <c r="Y1301" s="128">
        <v>991.3649439565392</v>
      </c>
      <c r="Z1301" s="44" t="s">
        <v>34</v>
      </c>
      <c r="AA1301" s="128">
        <v>1005.2268019831199</v>
      </c>
      <c r="AB1301" s="128">
        <v>19.0</v>
      </c>
      <c r="AC1301" s="128">
        <v>1000.204346176606</v>
      </c>
      <c r="AD1301" s="44" t="s">
        <v>47</v>
      </c>
      <c r="AE1301" s="128">
        <v>1028.2646039461306</v>
      </c>
      <c r="AF1301" s="128">
        <v>18.0</v>
      </c>
      <c r="AG1301" s="128">
        <v>1022.5344092697457</v>
      </c>
      <c r="AH1301" s="44"/>
      <c r="AI1301" s="128"/>
      <c r="AJ1301" s="128"/>
      <c r="AK1301" s="128"/>
      <c r="AP1301" s="128">
        <v>18.0</v>
      </c>
      <c r="AQ1301" s="128">
        <v>10.0</v>
      </c>
      <c r="AT1301" s="44">
        <v>1300.0</v>
      </c>
      <c r="AU1301" s="44"/>
      <c r="AW1301" s="93"/>
      <c r="AY1301" s="93"/>
      <c r="AZ1301" s="93"/>
      <c r="BA1301" s="93"/>
      <c r="BB1301" s="155"/>
      <c r="BC1301" s="93"/>
      <c r="BE1301" s="93"/>
      <c r="BG1301" s="93"/>
      <c r="BH1301" s="93"/>
      <c r="BI1301" s="93"/>
      <c r="BJ1301" s="155"/>
      <c r="BK1301" s="93"/>
    </row>
    <row r="1302">
      <c r="A1302" s="166">
        <v>44859.66933331019</v>
      </c>
      <c r="B1302" s="44" t="s">
        <v>125</v>
      </c>
      <c r="C1302" s="128">
        <v>945.6073972533698</v>
      </c>
      <c r="D1302" s="128">
        <v>37.0</v>
      </c>
      <c r="E1302" s="128">
        <v>956.3625554662813</v>
      </c>
      <c r="F1302" s="44" t="s">
        <v>92</v>
      </c>
      <c r="G1302" s="128">
        <v>991.3649439565392</v>
      </c>
      <c r="H1302" s="128">
        <v>19.0</v>
      </c>
      <c r="I1302" s="128">
        <v>992.2769496358991</v>
      </c>
      <c r="J1302" s="44" t="s">
        <v>23</v>
      </c>
      <c r="K1302" s="128">
        <v>1142.272950159987</v>
      </c>
      <c r="L1302" s="128">
        <v>31.0</v>
      </c>
      <c r="M1302" s="128">
        <v>1148.6057862677155</v>
      </c>
      <c r="N1302" s="44"/>
      <c r="O1302" s="128"/>
      <c r="P1302" s="128"/>
      <c r="Q1302" s="128"/>
      <c r="V1302" s="44" t="s">
        <v>107</v>
      </c>
      <c r="W1302" s="128">
        <v>946.997915658194</v>
      </c>
      <c r="X1302" s="128">
        <v>36.0</v>
      </c>
      <c r="Y1302" s="128">
        <v>945.0041446462737</v>
      </c>
      <c r="Z1302" s="44" t="s">
        <v>47</v>
      </c>
      <c r="AA1302" s="128">
        <v>1022.5344092697457</v>
      </c>
      <c r="AB1302" s="128">
        <v>20.0</v>
      </c>
      <c r="AC1302" s="128">
        <v>1011.3849289714987</v>
      </c>
      <c r="AD1302" s="44" t="s">
        <v>27</v>
      </c>
      <c r="AE1302" s="128">
        <v>1067.2821145694181</v>
      </c>
      <c r="AF1302" s="128">
        <v>33.0</v>
      </c>
      <c r="AG1302" s="128">
        <v>1062.4253658795853</v>
      </c>
      <c r="AH1302" s="44"/>
      <c r="AI1302" s="128"/>
      <c r="AJ1302" s="128"/>
      <c r="AK1302" s="128"/>
      <c r="AP1302" s="128">
        <v>24.0</v>
      </c>
      <c r="AQ1302" s="128">
        <v>18.0</v>
      </c>
      <c r="AT1302" s="44">
        <v>1301.0</v>
      </c>
      <c r="AU1302" s="44"/>
      <c r="AW1302" s="93"/>
      <c r="AY1302" s="93"/>
      <c r="AZ1302" s="93"/>
      <c r="BA1302" s="93"/>
      <c r="BB1302" s="155"/>
      <c r="BC1302" s="93"/>
      <c r="BE1302" s="93"/>
      <c r="BG1302" s="93"/>
      <c r="BH1302" s="93"/>
      <c r="BI1302" s="93"/>
      <c r="BJ1302" s="155"/>
      <c r="BK1302" s="93"/>
    </row>
    <row r="1303">
      <c r="A1303" s="166">
        <v>44859.98572452547</v>
      </c>
      <c r="B1303" s="44" t="s">
        <v>38</v>
      </c>
      <c r="C1303" s="128">
        <v>977.2029750597677</v>
      </c>
      <c r="D1303" s="128">
        <v>23.0</v>
      </c>
      <c r="E1303" s="128">
        <v>980.1324765712717</v>
      </c>
      <c r="F1303" s="44" t="s">
        <v>61</v>
      </c>
      <c r="G1303" s="128">
        <v>1003.824209911544</v>
      </c>
      <c r="H1303" s="128">
        <v>17.0</v>
      </c>
      <c r="I1303" s="128">
        <v>1005.3926895314787</v>
      </c>
      <c r="J1303" s="44" t="s">
        <v>47</v>
      </c>
      <c r="K1303" s="128">
        <v>1011.3849289714987</v>
      </c>
      <c r="L1303" s="128">
        <v>19.0</v>
      </c>
      <c r="M1303" s="128">
        <v>1013.3464038442127</v>
      </c>
      <c r="N1303" s="44" t="s">
        <v>27</v>
      </c>
      <c r="O1303" s="128">
        <v>1062.4253658795853</v>
      </c>
      <c r="P1303" s="128">
        <v>27.0</v>
      </c>
      <c r="Q1303" s="128">
        <v>1065.9659098754328</v>
      </c>
      <c r="V1303" s="44" t="s">
        <v>107</v>
      </c>
      <c r="W1303" s="128">
        <v>945.0041446462737</v>
      </c>
      <c r="X1303" s="128">
        <v>12.0</v>
      </c>
      <c r="Y1303" s="128">
        <v>941.2983025913378</v>
      </c>
      <c r="Z1303" s="44" t="s">
        <v>112</v>
      </c>
      <c r="AA1303" s="128">
        <v>972.4569028019391</v>
      </c>
      <c r="AB1303" s="128">
        <v>13.0</v>
      </c>
      <c r="AC1303" s="128">
        <v>968.8072297135577</v>
      </c>
      <c r="AD1303" s="44" t="s">
        <v>34</v>
      </c>
      <c r="AE1303" s="128">
        <v>1000.204346176606</v>
      </c>
      <c r="AF1303" s="128">
        <v>27.0</v>
      </c>
      <c r="AG1303" s="128">
        <v>999.3618841742386</v>
      </c>
      <c r="AH1303" s="44" t="s">
        <v>23</v>
      </c>
      <c r="AI1303" s="128">
        <v>1148.6057862677155</v>
      </c>
      <c r="AJ1303" s="128">
        <v>23.0</v>
      </c>
      <c r="AK1303" s="128">
        <v>1146.8037634134002</v>
      </c>
      <c r="AP1303" s="128">
        <v>15.0</v>
      </c>
      <c r="AQ1303" s="128">
        <v>13.0</v>
      </c>
      <c r="AT1303" s="44">
        <v>1302.0</v>
      </c>
      <c r="AU1303" s="44"/>
      <c r="AW1303" s="93"/>
      <c r="AY1303" s="93"/>
      <c r="AZ1303" s="93"/>
      <c r="BA1303" s="93"/>
      <c r="BB1303" s="155"/>
      <c r="BC1303" s="93"/>
      <c r="BE1303" s="93"/>
      <c r="BG1303" s="93"/>
      <c r="BH1303" s="93"/>
      <c r="BI1303" s="93"/>
      <c r="BJ1303" s="155"/>
      <c r="BK1303" s="93"/>
    </row>
    <row r="1304">
      <c r="A1304" s="166">
        <v>44860.03419436343</v>
      </c>
      <c r="B1304" s="44" t="s">
        <v>107</v>
      </c>
      <c r="C1304" s="128">
        <v>941.2983025913378</v>
      </c>
      <c r="D1304" s="128">
        <v>16.0</v>
      </c>
      <c r="E1304" s="128">
        <v>938.3275367654624</v>
      </c>
      <c r="F1304" s="44" t="s">
        <v>125</v>
      </c>
      <c r="G1304" s="128">
        <v>956.3625554662813</v>
      </c>
      <c r="H1304" s="128">
        <v>17.0</v>
      </c>
      <c r="I1304" s="128">
        <v>953.505849086915</v>
      </c>
      <c r="J1304" s="44" t="s">
        <v>61</v>
      </c>
      <c r="K1304" s="128">
        <v>1005.3926895314787</v>
      </c>
      <c r="L1304" s="128">
        <v>24.0</v>
      </c>
      <c r="M1304" s="128">
        <v>1003.7801698739864</v>
      </c>
      <c r="N1304" s="44" t="s">
        <v>23</v>
      </c>
      <c r="O1304" s="128">
        <v>1146.8037634134002</v>
      </c>
      <c r="P1304" s="128">
        <v>20.0</v>
      </c>
      <c r="Q1304" s="128">
        <v>1144.2437552761344</v>
      </c>
      <c r="V1304" s="44" t="s">
        <v>112</v>
      </c>
      <c r="W1304" s="128">
        <v>968.8072297135577</v>
      </c>
      <c r="X1304" s="128">
        <v>13.0</v>
      </c>
      <c r="Y1304" s="128">
        <v>969.9865421484379</v>
      </c>
      <c r="Z1304" s="44" t="s">
        <v>34</v>
      </c>
      <c r="AA1304" s="128">
        <v>999.3618841742386</v>
      </c>
      <c r="AB1304" s="128">
        <v>26.0</v>
      </c>
      <c r="AC1304" s="128">
        <v>1003.1200040487448</v>
      </c>
      <c r="AD1304" s="44" t="s">
        <v>47</v>
      </c>
      <c r="AE1304" s="128">
        <v>1013.3464038442127</v>
      </c>
      <c r="AF1304" s="128">
        <v>22.0</v>
      </c>
      <c r="AG1304" s="128">
        <v>1016.229608911807</v>
      </c>
      <c r="AH1304" s="44" t="s">
        <v>27</v>
      </c>
      <c r="AI1304" s="128">
        <v>1065.9659098754328</v>
      </c>
      <c r="AJ1304" s="128">
        <v>19.0</v>
      </c>
      <c r="AK1304" s="128">
        <v>1068.1452724984522</v>
      </c>
      <c r="AP1304" s="128">
        <v>13.0</v>
      </c>
      <c r="AQ1304" s="128">
        <v>15.0</v>
      </c>
      <c r="AT1304" s="44">
        <v>1303.0</v>
      </c>
      <c r="AU1304" s="44"/>
      <c r="AW1304" s="93"/>
      <c r="AY1304" s="93"/>
      <c r="AZ1304" s="93"/>
      <c r="BA1304" s="93"/>
      <c r="BB1304" s="155"/>
      <c r="BC1304" s="93"/>
      <c r="BE1304" s="93"/>
      <c r="BG1304" s="93"/>
      <c r="BH1304" s="93"/>
      <c r="BI1304" s="93"/>
      <c r="BJ1304" s="155"/>
      <c r="BK1304" s="93"/>
    </row>
    <row r="1305">
      <c r="A1305" s="166">
        <v>44860.95005505787</v>
      </c>
      <c r="B1305" s="44" t="s">
        <v>92</v>
      </c>
      <c r="C1305" s="128">
        <v>992.2769496358991</v>
      </c>
      <c r="D1305" s="128">
        <v>15.0</v>
      </c>
      <c r="E1305" s="128">
        <v>996.1095568329786</v>
      </c>
      <c r="F1305" s="44" t="s">
        <v>34</v>
      </c>
      <c r="G1305" s="128">
        <v>1003.1200040487448</v>
      </c>
      <c r="H1305" s="128">
        <v>24.0</v>
      </c>
      <c r="I1305" s="128">
        <v>1013.0732660201303</v>
      </c>
      <c r="J1305" s="44" t="s">
        <v>47</v>
      </c>
      <c r="K1305" s="128">
        <v>1016.229608911807</v>
      </c>
      <c r="L1305" s="128">
        <v>26.0</v>
      </c>
      <c r="M1305" s="128">
        <v>1027.4437397433421</v>
      </c>
      <c r="N1305" s="44"/>
      <c r="O1305" s="128"/>
      <c r="P1305" s="128"/>
      <c r="Q1305" s="128"/>
      <c r="V1305" s="44" t="s">
        <v>112</v>
      </c>
      <c r="W1305" s="128">
        <v>969.9865421484379</v>
      </c>
      <c r="X1305" s="128">
        <v>19.0</v>
      </c>
      <c r="Y1305" s="128">
        <v>962.6417417368301</v>
      </c>
      <c r="Z1305" s="44" t="s">
        <v>110</v>
      </c>
      <c r="AA1305" s="128">
        <v>978.6247563321979</v>
      </c>
      <c r="AB1305" s="128">
        <v>14.0</v>
      </c>
      <c r="AC1305" s="128">
        <v>967.6884886796375</v>
      </c>
      <c r="AD1305" s="44" t="s">
        <v>23</v>
      </c>
      <c r="AE1305" s="128">
        <v>1144.2437552761344</v>
      </c>
      <c r="AF1305" s="128">
        <v>21.0</v>
      </c>
      <c r="AG1305" s="128">
        <v>1137.5248233403024</v>
      </c>
      <c r="AH1305" s="44"/>
      <c r="AI1305" s="128"/>
      <c r="AJ1305" s="128"/>
      <c r="AK1305" s="128"/>
      <c r="AP1305" s="128">
        <v>18.0</v>
      </c>
      <c r="AQ1305" s="128">
        <v>10.0</v>
      </c>
      <c r="AS1305" s="44" t="s">
        <v>255</v>
      </c>
      <c r="AT1305" s="44">
        <v>1304.0</v>
      </c>
      <c r="AU1305" s="44"/>
      <c r="AW1305" s="93"/>
      <c r="AY1305" s="93"/>
      <c r="AZ1305" s="93"/>
      <c r="BA1305" s="93"/>
      <c r="BB1305" s="155"/>
      <c r="BC1305" s="93"/>
      <c r="BE1305" s="93"/>
      <c r="BG1305" s="93"/>
      <c r="BH1305" s="93"/>
      <c r="BI1305" s="93"/>
      <c r="BJ1305" s="155"/>
      <c r="BK1305" s="93"/>
    </row>
    <row r="1306">
      <c r="A1306" s="166">
        <v>44860.99519873843</v>
      </c>
      <c r="B1306" s="44" t="s">
        <v>38</v>
      </c>
      <c r="C1306" s="128">
        <v>980.1324765712717</v>
      </c>
      <c r="D1306" s="128">
        <v>11.0</v>
      </c>
      <c r="E1306" s="128">
        <v>975.8875717864368</v>
      </c>
      <c r="F1306" s="44" t="s">
        <v>92</v>
      </c>
      <c r="G1306" s="128">
        <v>996.1095568329786</v>
      </c>
      <c r="H1306" s="128">
        <v>15.0</v>
      </c>
      <c r="I1306" s="128">
        <v>992.6375992845576</v>
      </c>
      <c r="J1306" s="44" t="s">
        <v>34</v>
      </c>
      <c r="K1306" s="128">
        <v>1013.0732660201303</v>
      </c>
      <c r="L1306" s="128">
        <v>23.0</v>
      </c>
      <c r="M1306" s="128">
        <v>1011.2182874293632</v>
      </c>
      <c r="N1306" s="44" t="s">
        <v>47</v>
      </c>
      <c r="O1306" s="128">
        <v>1027.4437397433421</v>
      </c>
      <c r="P1306" s="128">
        <v>30.0</v>
      </c>
      <c r="Q1306" s="128">
        <v>1027.015580667365</v>
      </c>
      <c r="V1306" s="44" t="s">
        <v>125</v>
      </c>
      <c r="W1306" s="128">
        <v>953.505849086915</v>
      </c>
      <c r="X1306" s="128">
        <v>15.0</v>
      </c>
      <c r="Y1306" s="128">
        <v>955.5388705279188</v>
      </c>
      <c r="Z1306" s="44" t="s">
        <v>112</v>
      </c>
      <c r="AA1306" s="128">
        <v>962.6417417368301</v>
      </c>
      <c r="AB1306" s="128">
        <v>14.0</v>
      </c>
      <c r="AC1306" s="128">
        <v>964.4207736467458</v>
      </c>
      <c r="AD1306" s="44" t="s">
        <v>110</v>
      </c>
      <c r="AE1306" s="128">
        <v>967.6884886796375</v>
      </c>
      <c r="AF1306" s="128">
        <v>9.0</v>
      </c>
      <c r="AG1306" s="128">
        <v>968.4024640478092</v>
      </c>
      <c r="AH1306" s="44" t="s">
        <v>23</v>
      </c>
      <c r="AI1306" s="128">
        <v>1137.5248233403024</v>
      </c>
      <c r="AJ1306" s="128">
        <v>33.0</v>
      </c>
      <c r="AK1306" s="128">
        <v>1142.9987946212111</v>
      </c>
      <c r="AP1306" s="128">
        <v>13.0</v>
      </c>
      <c r="AQ1306" s="128">
        <v>15.0</v>
      </c>
      <c r="AS1306" s="44" t="s">
        <v>266</v>
      </c>
      <c r="AT1306" s="44">
        <v>1305.0</v>
      </c>
      <c r="AU1306" s="44"/>
      <c r="AW1306" s="93"/>
      <c r="AY1306" s="93"/>
      <c r="AZ1306" s="93"/>
      <c r="BA1306" s="93"/>
      <c r="BB1306" s="155"/>
      <c r="BC1306" s="93"/>
      <c r="BE1306" s="93"/>
      <c r="BG1306" s="93"/>
      <c r="BH1306" s="93"/>
      <c r="BI1306" s="93"/>
      <c r="BJ1306" s="155"/>
      <c r="BK1306" s="93"/>
    </row>
    <row r="1307">
      <c r="A1307" s="166">
        <v>44861.026368900464</v>
      </c>
      <c r="B1307" s="44" t="s">
        <v>110</v>
      </c>
      <c r="C1307" s="128">
        <v>968.4024640478092</v>
      </c>
      <c r="D1307" s="128">
        <v>20.0</v>
      </c>
      <c r="E1307" s="128">
        <v>964.8629880720663</v>
      </c>
      <c r="F1307" s="44" t="s">
        <v>38</v>
      </c>
      <c r="G1307" s="128">
        <v>975.8875717864368</v>
      </c>
      <c r="H1307" s="128">
        <v>16.0</v>
      </c>
      <c r="I1307" s="128">
        <v>970.8488660572991</v>
      </c>
      <c r="J1307" s="44" t="s">
        <v>92</v>
      </c>
      <c r="K1307" s="128">
        <v>992.6375992845576</v>
      </c>
      <c r="L1307" s="128">
        <v>18.0</v>
      </c>
      <c r="M1307" s="128">
        <v>988.2157809894381</v>
      </c>
      <c r="N1307" s="44"/>
      <c r="O1307" s="128"/>
      <c r="P1307" s="128"/>
      <c r="Q1307" s="128"/>
      <c r="V1307" s="44" t="s">
        <v>125</v>
      </c>
      <c r="W1307" s="128">
        <v>955.5388705279188</v>
      </c>
      <c r="X1307" s="128">
        <v>15.0</v>
      </c>
      <c r="Y1307" s="128">
        <v>958.2847114826851</v>
      </c>
      <c r="Z1307" s="44" t="s">
        <v>112</v>
      </c>
      <c r="AA1307" s="128">
        <v>964.4207736467458</v>
      </c>
      <c r="AB1307" s="128">
        <v>18.0</v>
      </c>
      <c r="AC1307" s="128">
        <v>968.1675935796395</v>
      </c>
      <c r="AD1307" s="44" t="s">
        <v>23</v>
      </c>
      <c r="AE1307" s="128">
        <v>1142.9987946212111</v>
      </c>
      <c r="AF1307" s="128">
        <v>27.0</v>
      </c>
      <c r="AG1307" s="128">
        <v>1149.5061337335512</v>
      </c>
      <c r="AH1307" s="44"/>
      <c r="AI1307" s="128"/>
      <c r="AJ1307" s="128"/>
      <c r="AK1307" s="128"/>
      <c r="AP1307" s="128">
        <v>12.0</v>
      </c>
      <c r="AQ1307" s="128">
        <v>16.0</v>
      </c>
      <c r="AS1307" s="44" t="s">
        <v>360</v>
      </c>
      <c r="AT1307" s="44">
        <v>1306.0</v>
      </c>
      <c r="AU1307" s="44"/>
      <c r="AW1307" s="93"/>
      <c r="AY1307" s="93"/>
      <c r="AZ1307" s="93"/>
      <c r="BA1307" s="93"/>
      <c r="BB1307" s="155"/>
      <c r="BC1307" s="93"/>
      <c r="BE1307" s="93"/>
      <c r="BG1307" s="93"/>
      <c r="BH1307" s="93"/>
      <c r="BI1307" s="93"/>
      <c r="BJ1307" s="155"/>
      <c r="BK1307" s="93"/>
    </row>
    <row r="1308">
      <c r="A1308" s="166">
        <v>44862.97954127315</v>
      </c>
      <c r="B1308" s="44" t="s">
        <v>107</v>
      </c>
      <c r="C1308" s="128">
        <v>938.3275367654624</v>
      </c>
      <c r="D1308" s="128">
        <v>20.0</v>
      </c>
      <c r="E1308" s="128">
        <v>944.753748968739</v>
      </c>
      <c r="F1308" s="44" t="s">
        <v>125</v>
      </c>
      <c r="G1308" s="128">
        <v>958.2847114826851</v>
      </c>
      <c r="H1308" s="128">
        <v>16.0</v>
      </c>
      <c r="I1308" s="128">
        <v>962.1579178086092</v>
      </c>
      <c r="J1308" s="44" t="s">
        <v>27</v>
      </c>
      <c r="K1308" s="128">
        <v>1068.1452724984522</v>
      </c>
      <c r="L1308" s="128">
        <v>28.0</v>
      </c>
      <c r="M1308" s="128">
        <v>1077.8458539692515</v>
      </c>
      <c r="N1308" s="44"/>
      <c r="O1308" s="128"/>
      <c r="P1308" s="128"/>
      <c r="Q1308" s="128"/>
      <c r="V1308" s="44" t="s">
        <v>112</v>
      </c>
      <c r="W1308" s="128">
        <v>968.1675935796395</v>
      </c>
      <c r="X1308" s="128">
        <v>20.0</v>
      </c>
      <c r="Y1308" s="128">
        <v>962.5928019384564</v>
      </c>
      <c r="Z1308" s="44" t="s">
        <v>38</v>
      </c>
      <c r="AA1308" s="128">
        <v>970.8488660572991</v>
      </c>
      <c r="AB1308" s="128">
        <v>18.0</v>
      </c>
      <c r="AC1308" s="128">
        <v>964.1325471968996</v>
      </c>
      <c r="AD1308" s="44" t="s">
        <v>47</v>
      </c>
      <c r="AE1308" s="128">
        <v>1027.015580667365</v>
      </c>
      <c r="AF1308" s="128">
        <v>17.0</v>
      </c>
      <c r="AG1308" s="128">
        <v>1019.3066911689474</v>
      </c>
      <c r="AH1308" s="44"/>
      <c r="AI1308" s="128"/>
      <c r="AJ1308" s="128"/>
      <c r="AK1308" s="128"/>
      <c r="AP1308" s="128">
        <v>16.0</v>
      </c>
      <c r="AQ1308" s="128">
        <v>12.0</v>
      </c>
      <c r="AT1308" s="44">
        <v>1307.0</v>
      </c>
      <c r="AU1308" s="44"/>
      <c r="AW1308" s="93"/>
      <c r="AY1308" s="93"/>
      <c r="AZ1308" s="93"/>
      <c r="BA1308" s="93"/>
      <c r="BB1308" s="155"/>
      <c r="BC1308" s="93"/>
      <c r="BE1308" s="93"/>
      <c r="BG1308" s="93"/>
      <c r="BH1308" s="93"/>
      <c r="BI1308" s="93"/>
      <c r="BJ1308" s="155"/>
      <c r="BK1308" s="93"/>
    </row>
    <row r="1309">
      <c r="A1309" s="166">
        <v>44863.03309456019</v>
      </c>
      <c r="B1309" s="44" t="s">
        <v>107</v>
      </c>
      <c r="C1309" s="128">
        <v>944.753748968739</v>
      </c>
      <c r="D1309" s="128">
        <v>18.0</v>
      </c>
      <c r="E1309" s="128">
        <v>941.2013214421734</v>
      </c>
      <c r="F1309" s="44" t="s">
        <v>125</v>
      </c>
      <c r="G1309" s="128">
        <v>962.1579178086092</v>
      </c>
      <c r="H1309" s="128">
        <v>17.0</v>
      </c>
      <c r="I1309" s="128">
        <v>958.1348284213789</v>
      </c>
      <c r="J1309" s="44" t="s">
        <v>123</v>
      </c>
      <c r="K1309" s="128">
        <v>974.3617594858649</v>
      </c>
      <c r="L1309" s="128">
        <v>7.0</v>
      </c>
      <c r="M1309" s="128">
        <v>966.9227701517824</v>
      </c>
      <c r="N1309" s="44" t="s">
        <v>108</v>
      </c>
      <c r="O1309" s="128">
        <v>995.1117931116911</v>
      </c>
      <c r="P1309" s="128">
        <v>12.0</v>
      </c>
      <c r="Q1309" s="128">
        <v>989.2247245652052</v>
      </c>
      <c r="R1309" s="44" t="s">
        <v>23</v>
      </c>
      <c r="S1309" s="128">
        <v>1149.5061337335512</v>
      </c>
      <c r="T1309" s="128">
        <v>33.0</v>
      </c>
      <c r="U1309" s="128">
        <v>1149.4961337335512</v>
      </c>
      <c r="V1309" s="44" t="s">
        <v>112</v>
      </c>
      <c r="W1309" s="128">
        <v>962.5928019384564</v>
      </c>
      <c r="X1309" s="128">
        <v>22.0</v>
      </c>
      <c r="Y1309" s="128">
        <v>966.8194391699659</v>
      </c>
      <c r="Z1309" s="44" t="s">
        <v>38</v>
      </c>
      <c r="AA1309" s="128">
        <v>964.1325471968996</v>
      </c>
      <c r="AB1309" s="128">
        <v>13.0</v>
      </c>
      <c r="AC1309" s="128">
        <v>965.3454640616787</v>
      </c>
      <c r="AD1309" s="44" t="s">
        <v>610</v>
      </c>
      <c r="AE1309" s="128">
        <v>1000.0</v>
      </c>
      <c r="AF1309" s="128">
        <v>31.0</v>
      </c>
      <c r="AG1309" s="128">
        <v>1006.956174860724</v>
      </c>
      <c r="AH1309" s="44" t="s">
        <v>47</v>
      </c>
      <c r="AI1309" s="128">
        <v>1019.3066911689474</v>
      </c>
      <c r="AJ1309" s="128">
        <v>18.0</v>
      </c>
      <c r="AK1309" s="128">
        <v>1021.8384323434581</v>
      </c>
      <c r="AL1309" s="44" t="s">
        <v>27</v>
      </c>
      <c r="AM1309" s="128">
        <v>1077.8458539692515</v>
      </c>
      <c r="AN1309" s="128">
        <v>26.0</v>
      </c>
      <c r="AO1309" s="128">
        <v>1082.9183838377282</v>
      </c>
      <c r="AP1309" s="128">
        <v>10.0</v>
      </c>
      <c r="AQ1309" s="128">
        <v>18.0</v>
      </c>
      <c r="AS1309" s="44" t="s">
        <v>616</v>
      </c>
      <c r="AT1309" s="44">
        <v>1308.0</v>
      </c>
      <c r="AU1309" s="44"/>
      <c r="AW1309" s="93"/>
      <c r="AY1309" s="93"/>
      <c r="AZ1309" s="93"/>
      <c r="BA1309" s="93"/>
      <c r="BB1309" s="155"/>
      <c r="BC1309" s="93"/>
      <c r="BE1309" s="93"/>
      <c r="BG1309" s="93"/>
      <c r="BH1309" s="93"/>
      <c r="BI1309" s="93"/>
      <c r="BJ1309" s="155"/>
      <c r="BK1309" s="93"/>
    </row>
    <row r="1310">
      <c r="A1310" s="166">
        <v>44863.08202872685</v>
      </c>
      <c r="B1310" s="44" t="s">
        <v>107</v>
      </c>
      <c r="C1310" s="128">
        <v>941.2013214421734</v>
      </c>
      <c r="D1310" s="128">
        <v>35.0</v>
      </c>
      <c r="E1310" s="128">
        <v>958.7695370948002</v>
      </c>
      <c r="F1310" s="44" t="s">
        <v>125</v>
      </c>
      <c r="G1310" s="128">
        <v>958.1348284213789</v>
      </c>
      <c r="H1310" s="128">
        <v>24.0</v>
      </c>
      <c r="I1310" s="128">
        <v>968.0364033160064</v>
      </c>
      <c r="J1310" s="44" t="s">
        <v>38</v>
      </c>
      <c r="K1310" s="128">
        <v>965.3454640616787</v>
      </c>
      <c r="L1310" s="128">
        <v>19.0</v>
      </c>
      <c r="M1310" s="128">
        <v>971.7874817732894</v>
      </c>
      <c r="N1310" s="44" t="s">
        <v>610</v>
      </c>
      <c r="O1310" s="128">
        <v>1006.956174860724</v>
      </c>
      <c r="P1310" s="128">
        <v>8.0</v>
      </c>
      <c r="Q1310" s="128">
        <v>1006.966174860724</v>
      </c>
      <c r="R1310" s="44" t="s">
        <v>27</v>
      </c>
      <c r="S1310" s="128">
        <v>1082.9183838377282</v>
      </c>
      <c r="T1310" s="128">
        <v>22.0</v>
      </c>
      <c r="U1310" s="128">
        <v>1090.4459134164288</v>
      </c>
      <c r="V1310" s="44" t="s">
        <v>112</v>
      </c>
      <c r="W1310" s="128">
        <v>966.8194391699659</v>
      </c>
      <c r="X1310" s="128">
        <v>24.0</v>
      </c>
      <c r="Y1310" s="128">
        <v>966.0752455063628</v>
      </c>
      <c r="Z1310" s="44" t="s">
        <v>123</v>
      </c>
      <c r="AA1310" s="128">
        <v>966.9227701517824</v>
      </c>
      <c r="AB1310" s="128">
        <v>6.0</v>
      </c>
      <c r="AC1310" s="128">
        <v>954.1775253947893</v>
      </c>
      <c r="AD1310" s="44" t="s">
        <v>108</v>
      </c>
      <c r="AE1310" s="128">
        <v>989.2247245652052</v>
      </c>
      <c r="AF1310" s="128">
        <v>10.0</v>
      </c>
      <c r="AG1310" s="128">
        <v>978.9467717460356</v>
      </c>
      <c r="AH1310" s="44" t="s">
        <v>34</v>
      </c>
      <c r="AI1310" s="128">
        <v>1011.2182874293632</v>
      </c>
      <c r="AJ1310" s="128">
        <v>4.0</v>
      </c>
      <c r="AK1310" s="128">
        <v>996.7952571791216</v>
      </c>
      <c r="AL1310" s="44" t="s">
        <v>47</v>
      </c>
      <c r="AM1310" s="128">
        <v>1021.8384323434581</v>
      </c>
      <c r="AN1310" s="128">
        <v>23.0</v>
      </c>
      <c r="AO1310" s="128">
        <v>1020.0288538334654</v>
      </c>
      <c r="AP1310" s="128">
        <v>22.0</v>
      </c>
      <c r="AQ1310" s="128">
        <v>6.0</v>
      </c>
      <c r="AT1310" s="44">
        <v>1309.0</v>
      </c>
      <c r="AU1310" s="44"/>
      <c r="AW1310" s="93"/>
      <c r="AY1310" s="93"/>
      <c r="AZ1310" s="93"/>
      <c r="BA1310" s="93"/>
      <c r="BB1310" s="155"/>
      <c r="BC1310" s="93"/>
      <c r="BE1310" s="93"/>
      <c r="BG1310" s="93"/>
      <c r="BH1310" s="93"/>
      <c r="BI1310" s="93"/>
      <c r="BJ1310" s="155"/>
      <c r="BK1310" s="93"/>
    </row>
    <row r="1311">
      <c r="A1311" s="166">
        <v>44864.039882997684</v>
      </c>
      <c r="B1311" s="44" t="s">
        <v>107</v>
      </c>
      <c r="C1311" s="128">
        <v>958.7695370948002</v>
      </c>
      <c r="D1311" s="128">
        <v>21.0</v>
      </c>
      <c r="E1311" s="128">
        <v>962.885006079772</v>
      </c>
      <c r="F1311" s="44" t="s">
        <v>125</v>
      </c>
      <c r="G1311" s="128">
        <v>968.0364033160064</v>
      </c>
      <c r="H1311" s="128">
        <v>28.0</v>
      </c>
      <c r="I1311" s="128">
        <v>975.8790039612543</v>
      </c>
      <c r="J1311" s="44" t="s">
        <v>23</v>
      </c>
      <c r="K1311" s="128">
        <v>1149.4961337335512</v>
      </c>
      <c r="L1311" s="128">
        <v>30.0</v>
      </c>
      <c r="M1311" s="128">
        <v>1157.5380641033314</v>
      </c>
      <c r="N1311" s="44"/>
      <c r="O1311" s="128"/>
      <c r="P1311" s="128"/>
      <c r="Q1311" s="128"/>
      <c r="V1311" s="44" t="s">
        <v>112</v>
      </c>
      <c r="W1311" s="128">
        <v>966.0752455063628</v>
      </c>
      <c r="X1311" s="128">
        <v>14.0</v>
      </c>
      <c r="Y1311" s="128">
        <v>953.6104077452718</v>
      </c>
      <c r="Z1311" s="44" t="s">
        <v>47</v>
      </c>
      <c r="AA1311" s="128">
        <v>1020.0288538334654</v>
      </c>
      <c r="AB1311" s="128">
        <v>34.0</v>
      </c>
      <c r="AC1311" s="128">
        <v>1018.0532877234651</v>
      </c>
      <c r="AD1311" s="44" t="s">
        <v>27</v>
      </c>
      <c r="AE1311" s="128">
        <v>1090.4459134164288</v>
      </c>
      <c r="AF1311" s="128">
        <v>28.0</v>
      </c>
      <c r="AG1311" s="128">
        <v>1084.88631728752</v>
      </c>
      <c r="AH1311" s="44"/>
      <c r="AI1311" s="128"/>
      <c r="AJ1311" s="128"/>
      <c r="AK1311" s="128"/>
      <c r="AP1311" s="128">
        <v>24.0</v>
      </c>
      <c r="AQ1311" s="128">
        <v>18.0</v>
      </c>
      <c r="AT1311" s="44">
        <v>1310.0</v>
      </c>
      <c r="AU1311" s="44"/>
      <c r="AW1311" s="93"/>
      <c r="AY1311" s="93"/>
      <c r="AZ1311" s="93"/>
      <c r="BA1311" s="93"/>
      <c r="BB1311" s="155"/>
      <c r="BC1311" s="93"/>
      <c r="BE1311" s="93"/>
      <c r="BG1311" s="93"/>
      <c r="BH1311" s="93"/>
      <c r="BI1311" s="93"/>
      <c r="BJ1311" s="155"/>
      <c r="BK1311" s="93"/>
    </row>
    <row r="1312">
      <c r="A1312" s="166">
        <v>44864.07963037037</v>
      </c>
      <c r="B1312" s="44" t="s">
        <v>107</v>
      </c>
      <c r="C1312" s="128">
        <v>962.885006079772</v>
      </c>
      <c r="D1312" s="128">
        <v>17.0</v>
      </c>
      <c r="E1312" s="128">
        <v>957.6016272679864</v>
      </c>
      <c r="F1312" s="44" t="s">
        <v>125</v>
      </c>
      <c r="G1312" s="128">
        <v>975.8790039612543</v>
      </c>
      <c r="H1312" s="128">
        <v>10.0</v>
      </c>
      <c r="I1312" s="128">
        <v>966.9829992446568</v>
      </c>
      <c r="J1312" s="44" t="s">
        <v>23</v>
      </c>
      <c r="K1312" s="128">
        <v>1157.5380641033314</v>
      </c>
      <c r="L1312" s="128">
        <v>21.0</v>
      </c>
      <c r="M1312" s="128">
        <v>1153.7174476317145</v>
      </c>
      <c r="N1312" s="44"/>
      <c r="O1312" s="128"/>
      <c r="P1312" s="128"/>
      <c r="Q1312" s="128"/>
      <c r="V1312" s="44" t="s">
        <v>47</v>
      </c>
      <c r="W1312" s="128">
        <v>1018.0532877234651</v>
      </c>
      <c r="X1312" s="128">
        <v>23.0</v>
      </c>
      <c r="Y1312" s="128">
        <v>1025.4656349092488</v>
      </c>
      <c r="Z1312" s="44" t="s">
        <v>54</v>
      </c>
      <c r="AA1312" s="128">
        <v>1028.9189947238165</v>
      </c>
      <c r="AB1312" s="128">
        <v>22.0</v>
      </c>
      <c r="AC1312" s="128">
        <v>1035.7789987948445</v>
      </c>
      <c r="AD1312" s="44" t="s">
        <v>27</v>
      </c>
      <c r="AE1312" s="128">
        <v>1084.88631728752</v>
      </c>
      <c r="AF1312" s="128">
        <v>16.0</v>
      </c>
      <c r="AG1312" s="128">
        <v>1088.613966030708</v>
      </c>
      <c r="AH1312" s="44"/>
      <c r="AI1312" s="128"/>
      <c r="AJ1312" s="128"/>
      <c r="AK1312" s="128"/>
      <c r="AP1312" s="128">
        <v>10.0</v>
      </c>
      <c r="AQ1312" s="128">
        <v>18.0</v>
      </c>
      <c r="AT1312" s="44">
        <v>1311.0</v>
      </c>
      <c r="AU1312" s="44"/>
      <c r="AW1312" s="93"/>
      <c r="AY1312" s="93"/>
      <c r="AZ1312" s="93"/>
      <c r="BA1312" s="93"/>
      <c r="BB1312" s="155"/>
      <c r="BC1312" s="93"/>
      <c r="BE1312" s="93"/>
      <c r="BG1312" s="93"/>
      <c r="BH1312" s="93"/>
      <c r="BI1312" s="93"/>
      <c r="BJ1312" s="155"/>
      <c r="BK1312" s="93"/>
    </row>
    <row r="1313">
      <c r="A1313" s="166">
        <v>44865.0049119676</v>
      </c>
      <c r="B1313" s="44" t="s">
        <v>107</v>
      </c>
      <c r="C1313" s="128">
        <v>957.6016272679864</v>
      </c>
      <c r="D1313" s="128">
        <v>29.0</v>
      </c>
      <c r="E1313" s="128">
        <v>954.4750189954269</v>
      </c>
      <c r="F1313" s="44" t="s">
        <v>61</v>
      </c>
      <c r="G1313" s="128">
        <v>1003.7801698739864</v>
      </c>
      <c r="H1313" s="128">
        <v>11.0</v>
      </c>
      <c r="I1313" s="128">
        <v>989.0500046121579</v>
      </c>
      <c r="J1313" s="44" t="s">
        <v>23</v>
      </c>
      <c r="K1313" s="128">
        <v>1153.7174476317145</v>
      </c>
      <c r="L1313" s="128">
        <v>29.0</v>
      </c>
      <c r="M1313" s="128">
        <v>1149.5742211661025</v>
      </c>
      <c r="N1313" s="44"/>
      <c r="O1313" s="128"/>
      <c r="P1313" s="128"/>
      <c r="Q1313" s="128"/>
      <c r="V1313" s="44" t="s">
        <v>38</v>
      </c>
      <c r="W1313" s="128">
        <v>971.7874817732894</v>
      </c>
      <c r="X1313" s="128">
        <v>38.0</v>
      </c>
      <c r="Y1313" s="128">
        <v>983.987389296083</v>
      </c>
      <c r="Z1313" s="44" t="s">
        <v>47</v>
      </c>
      <c r="AA1313" s="128">
        <v>1025.4656349092488</v>
      </c>
      <c r="AB1313" s="128">
        <v>30.0</v>
      </c>
      <c r="AC1313" s="128">
        <v>1032.0364934800891</v>
      </c>
      <c r="AD1313" s="44" t="s">
        <v>27</v>
      </c>
      <c r="AE1313" s="128">
        <v>1088.613966030708</v>
      </c>
      <c r="AF1313" s="128">
        <v>25.0</v>
      </c>
      <c r="AG1313" s="128">
        <v>1091.8431999370741</v>
      </c>
      <c r="AH1313" s="44"/>
      <c r="AI1313" s="128"/>
      <c r="AJ1313" s="128"/>
      <c r="AK1313" s="128"/>
      <c r="AP1313" s="128">
        <v>17.0</v>
      </c>
      <c r="AQ1313" s="128">
        <v>25.0</v>
      </c>
      <c r="AT1313" s="44">
        <v>1312.0</v>
      </c>
      <c r="AU1313" s="44"/>
      <c r="AW1313" s="93"/>
      <c r="AY1313" s="93"/>
      <c r="AZ1313" s="93"/>
      <c r="BA1313" s="93"/>
      <c r="BB1313" s="155"/>
      <c r="BC1313" s="93"/>
      <c r="BE1313" s="93"/>
      <c r="BG1313" s="93"/>
      <c r="BH1313" s="93"/>
      <c r="BI1313" s="93"/>
      <c r="BJ1313" s="155"/>
      <c r="BK1313" s="93"/>
    </row>
    <row r="1314">
      <c r="A1314" s="166">
        <v>44865.03181868055</v>
      </c>
      <c r="B1314" s="44" t="s">
        <v>107</v>
      </c>
      <c r="C1314" s="128">
        <v>954.4750189954269</v>
      </c>
      <c r="D1314" s="128">
        <v>15.0</v>
      </c>
      <c r="E1314" s="128">
        <v>958.4092337493071</v>
      </c>
      <c r="F1314" s="44" t="s">
        <v>38</v>
      </c>
      <c r="G1314" s="128">
        <v>983.987389296083</v>
      </c>
      <c r="H1314" s="128">
        <v>18.0</v>
      </c>
      <c r="I1314" s="128">
        <v>989.2241493241452</v>
      </c>
      <c r="J1314" s="44" t="s">
        <v>23</v>
      </c>
      <c r="K1314" s="128">
        <v>1149.5742211661025</v>
      </c>
      <c r="L1314" s="128">
        <v>29.0</v>
      </c>
      <c r="M1314" s="128">
        <v>1160.4032463841602</v>
      </c>
      <c r="N1314" s="44"/>
      <c r="O1314" s="128"/>
      <c r="P1314" s="128"/>
      <c r="Q1314" s="128"/>
      <c r="V1314" s="44" t="s">
        <v>125</v>
      </c>
      <c r="W1314" s="128">
        <v>966.9829992446568</v>
      </c>
      <c r="X1314" s="128">
        <v>14.0</v>
      </c>
      <c r="Y1314" s="128">
        <v>958.6291649482787</v>
      </c>
      <c r="Z1314" s="44" t="s">
        <v>47</v>
      </c>
      <c r="AA1314" s="128">
        <v>1032.0364934800891</v>
      </c>
      <c r="AB1314" s="128">
        <v>27.0</v>
      </c>
      <c r="AC1314" s="128">
        <v>1030.4414673431606</v>
      </c>
      <c r="AD1314" s="44" t="s">
        <v>27</v>
      </c>
      <c r="AE1314" s="128">
        <v>1091.8431999370741</v>
      </c>
      <c r="AF1314" s="128">
        <v>12.0</v>
      </c>
      <c r="AG1314" s="128">
        <v>1081.7920603703806</v>
      </c>
      <c r="AH1314" s="44"/>
      <c r="AI1314" s="128"/>
      <c r="AJ1314" s="128"/>
      <c r="AK1314" s="128"/>
      <c r="AP1314" s="128">
        <v>17.0</v>
      </c>
      <c r="AQ1314" s="128">
        <v>12.0</v>
      </c>
      <c r="AT1314" s="44">
        <v>1313.0</v>
      </c>
      <c r="AU1314" s="44"/>
      <c r="AW1314" s="93"/>
      <c r="AY1314" s="93"/>
      <c r="AZ1314" s="93"/>
      <c r="BA1314" s="93"/>
      <c r="BB1314" s="155"/>
      <c r="BC1314" s="93"/>
      <c r="BE1314" s="93"/>
      <c r="BG1314" s="93"/>
      <c r="BH1314" s="93"/>
      <c r="BI1314" s="93"/>
      <c r="BJ1314" s="155"/>
      <c r="BK1314" s="93"/>
    </row>
    <row r="1315">
      <c r="A1315" s="166">
        <v>44865.64354818287</v>
      </c>
      <c r="B1315" s="44" t="s">
        <v>617</v>
      </c>
      <c r="C1315" s="128">
        <v>1000.0</v>
      </c>
      <c r="D1315" s="128">
        <v>20.0</v>
      </c>
      <c r="E1315" s="128">
        <v>996.7600052690026</v>
      </c>
      <c r="F1315" s="44" t="s">
        <v>618</v>
      </c>
      <c r="G1315" s="128">
        <v>1000.0</v>
      </c>
      <c r="H1315" s="128">
        <v>10.0</v>
      </c>
      <c r="I1315" s="128">
        <v>993.1488941578915</v>
      </c>
      <c r="J1315" s="44" t="s">
        <v>610</v>
      </c>
      <c r="K1315" s="128">
        <v>1006.966174860724</v>
      </c>
      <c r="L1315" s="128">
        <v>21.0</v>
      </c>
      <c r="M1315" s="128">
        <v>1004.0572754338299</v>
      </c>
      <c r="N1315" s="44"/>
      <c r="O1315" s="128"/>
      <c r="P1315" s="128"/>
      <c r="Q1315" s="128"/>
      <c r="V1315" s="44" t="s">
        <v>112</v>
      </c>
      <c r="W1315" s="128">
        <v>953.6104077452718</v>
      </c>
      <c r="X1315" s="128">
        <v>25.0</v>
      </c>
      <c r="Y1315" s="128">
        <v>960.6669607177422</v>
      </c>
      <c r="Z1315" s="44" t="s">
        <v>123</v>
      </c>
      <c r="AA1315" s="128">
        <v>954.1775253947893</v>
      </c>
      <c r="AB1315" s="128">
        <v>9.0</v>
      </c>
      <c r="AC1315" s="128">
        <v>955.4513689372534</v>
      </c>
      <c r="AD1315" s="44" t="s">
        <v>117</v>
      </c>
      <c r="AE1315" s="128">
        <v>983.0231329150666</v>
      </c>
      <c r="AF1315" s="128">
        <v>19.0</v>
      </c>
      <c r="AG1315" s="128">
        <v>987.6927364001322</v>
      </c>
      <c r="AH1315" s="44"/>
      <c r="AI1315" s="128"/>
      <c r="AJ1315" s="128"/>
      <c r="AK1315" s="128"/>
      <c r="AP1315" s="128">
        <v>13.0</v>
      </c>
      <c r="AQ1315" s="128">
        <v>15.0</v>
      </c>
      <c r="AT1315" s="44">
        <v>1314.0</v>
      </c>
      <c r="AU1315" s="44"/>
      <c r="AW1315" s="93"/>
      <c r="AY1315" s="93"/>
      <c r="AZ1315" s="93"/>
      <c r="BA1315" s="93"/>
      <c r="BB1315" s="155"/>
      <c r="BC1315" s="93"/>
      <c r="BE1315" s="93"/>
      <c r="BG1315" s="93"/>
      <c r="BH1315" s="93"/>
      <c r="BI1315" s="93"/>
      <c r="BJ1315" s="155"/>
      <c r="BK1315" s="93"/>
    </row>
    <row r="1316">
      <c r="A1316" s="166">
        <v>44866.9355093287</v>
      </c>
      <c r="B1316" s="44" t="s">
        <v>110</v>
      </c>
      <c r="C1316" s="128">
        <v>964.8629880720663</v>
      </c>
      <c r="D1316" s="128">
        <v>13.0</v>
      </c>
      <c r="E1316" s="128">
        <v>956.5775422789297</v>
      </c>
      <c r="F1316" s="44" t="s">
        <v>92</v>
      </c>
      <c r="G1316" s="128">
        <v>988.2157809894381</v>
      </c>
      <c r="H1316" s="128">
        <v>12.0</v>
      </c>
      <c r="I1316" s="128">
        <v>979.1315708185823</v>
      </c>
      <c r="J1316" s="44" t="s">
        <v>23</v>
      </c>
      <c r="K1316" s="128">
        <v>1160.4032463841602</v>
      </c>
      <c r="L1316" s="128">
        <v>22.0</v>
      </c>
      <c r="M1316" s="128">
        <v>1156.7729023481525</v>
      </c>
      <c r="N1316" s="44"/>
      <c r="O1316" s="128"/>
      <c r="P1316" s="128"/>
      <c r="Q1316" s="128"/>
      <c r="V1316" s="44" t="s">
        <v>38</v>
      </c>
      <c r="W1316" s="128">
        <v>989.2241493241452</v>
      </c>
      <c r="X1316" s="128">
        <v>24.0</v>
      </c>
      <c r="Y1316" s="128">
        <v>997.8516493509495</v>
      </c>
      <c r="Z1316" s="44" t="s">
        <v>47</v>
      </c>
      <c r="AA1316" s="128">
        <v>1030.4414673431606</v>
      </c>
      <c r="AB1316" s="128">
        <v>24.0</v>
      </c>
      <c r="AC1316" s="128">
        <v>1038.7458844395599</v>
      </c>
      <c r="AD1316" s="44" t="s">
        <v>27</v>
      </c>
      <c r="AE1316" s="128">
        <v>1081.7920603703806</v>
      </c>
      <c r="AF1316" s="128">
        <v>17.0</v>
      </c>
      <c r="AG1316" s="128">
        <v>1085.860143247177</v>
      </c>
      <c r="AH1316" s="44"/>
      <c r="AI1316" s="128"/>
      <c r="AJ1316" s="128"/>
      <c r="AK1316" s="128"/>
      <c r="AP1316" s="128">
        <v>11.0</v>
      </c>
      <c r="AQ1316" s="128">
        <v>17.0</v>
      </c>
      <c r="AT1316" s="44">
        <v>1315.0</v>
      </c>
      <c r="AU1316" s="44"/>
      <c r="AW1316" s="93"/>
      <c r="AY1316" s="93"/>
      <c r="AZ1316" s="93"/>
      <c r="BA1316" s="93"/>
      <c r="BB1316" s="155"/>
      <c r="BC1316" s="93"/>
      <c r="BE1316" s="93"/>
      <c r="BG1316" s="93"/>
      <c r="BH1316" s="93"/>
      <c r="BI1316" s="93"/>
      <c r="BJ1316" s="155"/>
      <c r="BK1316" s="93"/>
    </row>
    <row r="1317">
      <c r="A1317" s="166">
        <v>44866.96705472222</v>
      </c>
      <c r="B1317" s="44" t="s">
        <v>110</v>
      </c>
      <c r="C1317" s="128">
        <v>956.5775422789297</v>
      </c>
      <c r="D1317" s="128">
        <v>12.0</v>
      </c>
      <c r="E1317" s="128">
        <v>948.2085257453798</v>
      </c>
      <c r="F1317" s="44" t="s">
        <v>38</v>
      </c>
      <c r="G1317" s="128">
        <v>997.8516493509495</v>
      </c>
      <c r="H1317" s="128">
        <v>17.0</v>
      </c>
      <c r="I1317" s="128">
        <v>991.9049420241951</v>
      </c>
      <c r="J1317" s="44" t="s">
        <v>23</v>
      </c>
      <c r="K1317" s="128">
        <v>1156.7729023481525</v>
      </c>
      <c r="L1317" s="128">
        <v>18.0</v>
      </c>
      <c r="M1317" s="128">
        <v>1151.0886262084568</v>
      </c>
      <c r="N1317" s="44"/>
      <c r="O1317" s="128"/>
      <c r="P1317" s="128"/>
      <c r="Q1317" s="128"/>
      <c r="V1317" s="44" t="s">
        <v>92</v>
      </c>
      <c r="W1317" s="128">
        <v>979.1315708185823</v>
      </c>
      <c r="X1317" s="128">
        <v>16.0</v>
      </c>
      <c r="Y1317" s="128">
        <v>983.7090407605882</v>
      </c>
      <c r="Z1317" s="44" t="s">
        <v>47</v>
      </c>
      <c r="AA1317" s="128">
        <v>1038.7458844395599</v>
      </c>
      <c r="AB1317" s="128">
        <v>22.0</v>
      </c>
      <c r="AC1317" s="128">
        <v>1046.232469833057</v>
      </c>
      <c r="AD1317" s="44" t="s">
        <v>27</v>
      </c>
      <c r="AE1317" s="128">
        <v>1085.860143247177</v>
      </c>
      <c r="AF1317" s="128">
        <v>23.0</v>
      </c>
      <c r="AG1317" s="128">
        <v>1093.7960879116738</v>
      </c>
      <c r="AH1317" s="44"/>
      <c r="AI1317" s="128"/>
      <c r="AJ1317" s="128"/>
      <c r="AK1317" s="128"/>
      <c r="AP1317" s="128">
        <v>10.0</v>
      </c>
      <c r="AQ1317" s="128">
        <v>18.0</v>
      </c>
      <c r="AT1317" s="44">
        <v>1316.0</v>
      </c>
      <c r="AU1317" s="44"/>
      <c r="AW1317" s="93"/>
      <c r="AY1317" s="93"/>
      <c r="AZ1317" s="93"/>
      <c r="BA1317" s="93"/>
      <c r="BB1317" s="155"/>
      <c r="BC1317" s="93"/>
      <c r="BE1317" s="93"/>
      <c r="BG1317" s="93"/>
      <c r="BH1317" s="93"/>
      <c r="BI1317" s="93"/>
      <c r="BJ1317" s="155"/>
      <c r="BK1317" s="93"/>
    </row>
    <row r="1318">
      <c r="A1318" s="166">
        <v>44867.00387215278</v>
      </c>
      <c r="B1318" s="44" t="s">
        <v>110</v>
      </c>
      <c r="C1318" s="128">
        <v>948.2085257453798</v>
      </c>
      <c r="D1318" s="128">
        <v>25.0</v>
      </c>
      <c r="E1318" s="128">
        <v>954.2428944560708</v>
      </c>
      <c r="F1318" s="44" t="s">
        <v>34</v>
      </c>
      <c r="G1318" s="128">
        <v>996.7952571791216</v>
      </c>
      <c r="H1318" s="128">
        <v>22.0</v>
      </c>
      <c r="I1318" s="128">
        <v>1001.0858040465673</v>
      </c>
      <c r="J1318" s="44" t="s">
        <v>47</v>
      </c>
      <c r="K1318" s="128">
        <v>1046.232469833057</v>
      </c>
      <c r="L1318" s="128">
        <v>24.0</v>
      </c>
      <c r="M1318" s="128">
        <v>1051.1085724450197</v>
      </c>
      <c r="N1318" s="44" t="s">
        <v>27</v>
      </c>
      <c r="O1318" s="128">
        <v>1093.7960879116738</v>
      </c>
      <c r="P1318" s="128">
        <v>24.0</v>
      </c>
      <c r="Q1318" s="128">
        <v>1098.5950697215742</v>
      </c>
      <c r="V1318" s="44" t="s">
        <v>125</v>
      </c>
      <c r="W1318" s="128">
        <v>958.6291649482787</v>
      </c>
      <c r="X1318" s="128">
        <v>9.0</v>
      </c>
      <c r="Y1318" s="128">
        <v>950.3266884221598</v>
      </c>
      <c r="Z1318" s="44" t="s">
        <v>92</v>
      </c>
      <c r="AA1318" s="128">
        <v>983.7090407605882</v>
      </c>
      <c r="AB1318" s="128">
        <v>19.0</v>
      </c>
      <c r="AC1318" s="128">
        <v>979.3815656506262</v>
      </c>
      <c r="AD1318" s="44" t="s">
        <v>38</v>
      </c>
      <c r="AE1318" s="128">
        <v>991.9049420241951</v>
      </c>
      <c r="AF1318" s="128">
        <v>11.0</v>
      </c>
      <c r="AG1318" s="128">
        <v>984.1930280364335</v>
      </c>
      <c r="AH1318" s="44" t="s">
        <v>23</v>
      </c>
      <c r="AI1318" s="128">
        <v>1151.0886262084568</v>
      </c>
      <c r="AJ1318" s="128">
        <v>31.0</v>
      </c>
      <c r="AK1318" s="128">
        <v>1151.0786262084569</v>
      </c>
      <c r="AP1318" s="128">
        <v>18.0</v>
      </c>
      <c r="AQ1318" s="128">
        <v>10.0</v>
      </c>
      <c r="AT1318" s="44">
        <v>1317.0</v>
      </c>
      <c r="AU1318" s="44"/>
      <c r="AW1318" s="93"/>
      <c r="AY1318" s="93"/>
      <c r="AZ1318" s="93"/>
      <c r="BA1318" s="93"/>
      <c r="BB1318" s="155"/>
      <c r="BC1318" s="93"/>
      <c r="BE1318" s="93"/>
      <c r="BG1318" s="93"/>
      <c r="BH1318" s="93"/>
      <c r="BI1318" s="93"/>
      <c r="BJ1318" s="155"/>
      <c r="BK1318" s="93"/>
    </row>
    <row r="1319">
      <c r="A1319" s="166">
        <v>44867.045412928244</v>
      </c>
      <c r="B1319" s="44" t="s">
        <v>125</v>
      </c>
      <c r="C1319" s="128">
        <v>950.3266884221598</v>
      </c>
      <c r="D1319" s="128">
        <v>7.0</v>
      </c>
      <c r="E1319" s="128">
        <v>938.1131458895343</v>
      </c>
      <c r="F1319" s="44" t="s">
        <v>38</v>
      </c>
      <c r="G1319" s="128">
        <v>984.1930280364335</v>
      </c>
      <c r="H1319" s="128">
        <v>20.0</v>
      </c>
      <c r="I1319" s="128">
        <v>978.8465456221702</v>
      </c>
      <c r="J1319" s="44" t="s">
        <v>27</v>
      </c>
      <c r="K1319" s="128">
        <v>1098.5950697215742</v>
      </c>
      <c r="L1319" s="128">
        <v>26.0</v>
      </c>
      <c r="M1319" s="128">
        <v>1096.155094668463</v>
      </c>
      <c r="N1319" s="44"/>
      <c r="O1319" s="128"/>
      <c r="P1319" s="128"/>
      <c r="Q1319" s="128"/>
      <c r="V1319" s="44" t="s">
        <v>92</v>
      </c>
      <c r="W1319" s="128">
        <v>979.3815656506262</v>
      </c>
      <c r="X1319" s="128">
        <v>21.0</v>
      </c>
      <c r="Y1319" s="128">
        <v>986.6435488465438</v>
      </c>
      <c r="Z1319" s="44" t="s">
        <v>610</v>
      </c>
      <c r="AA1319" s="128">
        <v>1004.0572754338299</v>
      </c>
      <c r="AB1319" s="128">
        <v>16.0</v>
      </c>
      <c r="AC1319" s="128">
        <v>1008.3223394919137</v>
      </c>
      <c r="AD1319" s="44" t="s">
        <v>47</v>
      </c>
      <c r="AE1319" s="128">
        <v>1051.1085724450197</v>
      </c>
      <c r="AF1319" s="128">
        <v>24.0</v>
      </c>
      <c r="AG1319" s="128">
        <v>1059.5815251910183</v>
      </c>
      <c r="AH1319" s="44"/>
      <c r="AI1319" s="128"/>
      <c r="AJ1319" s="128"/>
      <c r="AK1319" s="128"/>
      <c r="AP1319" s="128">
        <v>12.0</v>
      </c>
      <c r="AQ1319" s="128">
        <v>16.0</v>
      </c>
      <c r="AT1319" s="44">
        <v>1318.0</v>
      </c>
      <c r="AU1319" s="44"/>
      <c r="AW1319" s="93"/>
      <c r="AY1319" s="93"/>
      <c r="AZ1319" s="93"/>
      <c r="BA1319" s="93"/>
      <c r="BB1319" s="155"/>
      <c r="BC1319" s="93"/>
      <c r="BE1319" s="93"/>
      <c r="BG1319" s="93"/>
      <c r="BH1319" s="93"/>
      <c r="BI1319" s="93"/>
      <c r="BJ1319" s="155"/>
      <c r="BK1319" s="93"/>
    </row>
    <row r="1320">
      <c r="A1320" s="166">
        <v>44867.921442962965</v>
      </c>
      <c r="B1320" s="44" t="s">
        <v>110</v>
      </c>
      <c r="C1320" s="128">
        <v>954.2428944560708</v>
      </c>
      <c r="D1320" s="128">
        <v>22.0</v>
      </c>
      <c r="E1320" s="128">
        <v>958.3278643360095</v>
      </c>
      <c r="F1320" s="44" t="s">
        <v>92</v>
      </c>
      <c r="G1320" s="128">
        <v>986.6435488465438</v>
      </c>
      <c r="H1320" s="128">
        <v>15.0</v>
      </c>
      <c r="I1320" s="128">
        <v>988.6032126744047</v>
      </c>
      <c r="J1320" s="44" t="s">
        <v>27</v>
      </c>
      <c r="K1320" s="128">
        <v>1096.155094668463</v>
      </c>
      <c r="L1320" s="128">
        <v>23.0</v>
      </c>
      <c r="M1320" s="128">
        <v>1100.1104609606634</v>
      </c>
      <c r="N1320" s="44"/>
      <c r="O1320" s="128"/>
      <c r="P1320" s="128"/>
      <c r="Q1320" s="128"/>
      <c r="V1320" s="44" t="s">
        <v>112</v>
      </c>
      <c r="W1320" s="128">
        <v>960.6669607177422</v>
      </c>
      <c r="X1320" s="128">
        <v>13.0</v>
      </c>
      <c r="Y1320" s="128">
        <v>956.3748196862604</v>
      </c>
      <c r="Z1320" s="44" t="s">
        <v>34</v>
      </c>
      <c r="AA1320" s="128">
        <v>1001.0858040465673</v>
      </c>
      <c r="AB1320" s="128">
        <v>19.0</v>
      </c>
      <c r="AC1320" s="128">
        <v>998.2905948208893</v>
      </c>
      <c r="AD1320" s="44" t="s">
        <v>47</v>
      </c>
      <c r="AE1320" s="128">
        <v>1059.5815251910183</v>
      </c>
      <c r="AF1320" s="128">
        <v>19.0</v>
      </c>
      <c r="AG1320" s="128">
        <v>1056.6688754481781</v>
      </c>
      <c r="AH1320" s="44"/>
      <c r="AI1320" s="128"/>
      <c r="AJ1320" s="128"/>
      <c r="AK1320" s="128"/>
      <c r="AP1320" s="128">
        <v>15.0</v>
      </c>
      <c r="AQ1320" s="128">
        <v>13.0</v>
      </c>
      <c r="AS1320" s="44" t="s">
        <v>466</v>
      </c>
      <c r="AT1320" s="44">
        <v>1319.0</v>
      </c>
      <c r="AU1320" s="44"/>
      <c r="AW1320" s="93"/>
      <c r="AY1320" s="93"/>
      <c r="AZ1320" s="93"/>
      <c r="BA1320" s="93"/>
      <c r="BB1320" s="155"/>
      <c r="BC1320" s="93"/>
      <c r="BE1320" s="93"/>
      <c r="BG1320" s="93"/>
      <c r="BH1320" s="93"/>
      <c r="BI1320" s="93"/>
      <c r="BJ1320" s="155"/>
      <c r="BK1320" s="93"/>
    </row>
    <row r="1321">
      <c r="A1321" s="166">
        <v>44867.97428912037</v>
      </c>
      <c r="B1321" s="44" t="s">
        <v>112</v>
      </c>
      <c r="C1321" s="128">
        <v>956.3748196862604</v>
      </c>
      <c r="D1321" s="128">
        <v>17.0</v>
      </c>
      <c r="E1321" s="128">
        <v>959.8403275790101</v>
      </c>
      <c r="F1321" s="44" t="s">
        <v>110</v>
      </c>
      <c r="G1321" s="128">
        <v>958.3278643360095</v>
      </c>
      <c r="H1321" s="128">
        <v>28.0</v>
      </c>
      <c r="I1321" s="128">
        <v>966.3568532705168</v>
      </c>
      <c r="J1321" s="44" t="s">
        <v>34</v>
      </c>
      <c r="K1321" s="128">
        <v>998.2905948208893</v>
      </c>
      <c r="L1321" s="128">
        <v>20.0</v>
      </c>
      <c r="M1321" s="128">
        <v>1002.6601304289863</v>
      </c>
      <c r="N1321" s="44" t="s">
        <v>47</v>
      </c>
      <c r="O1321" s="128">
        <v>1056.6688754481781</v>
      </c>
      <c r="P1321" s="128">
        <v>20.0</v>
      </c>
      <c r="Q1321" s="128">
        <v>1060.804843012824</v>
      </c>
      <c r="V1321" s="44" t="s">
        <v>100</v>
      </c>
      <c r="W1321" s="128">
        <v>935.1672624697604</v>
      </c>
      <c r="X1321" s="128">
        <v>19.0</v>
      </c>
      <c r="Y1321" s="128">
        <v>930.7901607153051</v>
      </c>
      <c r="Z1321" s="44" t="s">
        <v>125</v>
      </c>
      <c r="AA1321" s="128">
        <v>938.1131458895343</v>
      </c>
      <c r="AB1321" s="128">
        <v>10.0</v>
      </c>
      <c r="AC1321" s="128">
        <v>929.9548828436106</v>
      </c>
      <c r="AD1321" s="44" t="s">
        <v>92</v>
      </c>
      <c r="AE1321" s="128">
        <v>988.6032126744047</v>
      </c>
      <c r="AF1321" s="128">
        <v>21.0</v>
      </c>
      <c r="AG1321" s="128">
        <v>984.6068638840958</v>
      </c>
      <c r="AH1321" s="44" t="s">
        <v>27</v>
      </c>
      <c r="AI1321" s="128">
        <v>1100.1104609606634</v>
      </c>
      <c r="AJ1321" s="128">
        <v>23.0</v>
      </c>
      <c r="AK1321" s="128">
        <v>1096.6421745513514</v>
      </c>
      <c r="AP1321" s="128">
        <v>16.0</v>
      </c>
      <c r="AQ1321" s="128">
        <v>12.0</v>
      </c>
      <c r="AS1321" s="44" t="s">
        <v>339</v>
      </c>
      <c r="AT1321" s="44">
        <v>1320.0</v>
      </c>
      <c r="AU1321" s="44"/>
      <c r="AW1321" s="93"/>
      <c r="AY1321" s="93"/>
      <c r="AZ1321" s="93"/>
      <c r="BA1321" s="93"/>
      <c r="BB1321" s="155"/>
      <c r="BC1321" s="93"/>
      <c r="BE1321" s="93"/>
      <c r="BG1321" s="93"/>
      <c r="BH1321" s="93"/>
      <c r="BI1321" s="93"/>
      <c r="BJ1321" s="155"/>
      <c r="BK1321" s="93"/>
    </row>
    <row r="1322">
      <c r="A1322" s="166">
        <v>44868.01502305556</v>
      </c>
      <c r="B1322" s="44" t="s">
        <v>125</v>
      </c>
      <c r="C1322" s="128">
        <v>929.9548828436106</v>
      </c>
      <c r="D1322" s="128">
        <v>10.0</v>
      </c>
      <c r="E1322" s="128">
        <v>921.2003033141182</v>
      </c>
      <c r="F1322" s="44" t="s">
        <v>112</v>
      </c>
      <c r="G1322" s="128">
        <v>959.8403275790101</v>
      </c>
      <c r="H1322" s="128">
        <v>22.0</v>
      </c>
      <c r="I1322" s="128">
        <v>956.0144032406102</v>
      </c>
      <c r="J1322" s="44" t="s">
        <v>92</v>
      </c>
      <c r="K1322" s="128">
        <v>984.6068638840958</v>
      </c>
      <c r="L1322" s="128">
        <v>17.0</v>
      </c>
      <c r="M1322" s="128">
        <v>978.3887108225082</v>
      </c>
      <c r="N1322" s="44" t="s">
        <v>27</v>
      </c>
      <c r="O1322" s="128">
        <v>1096.6421745513514</v>
      </c>
      <c r="P1322" s="128">
        <v>27.0</v>
      </c>
      <c r="Q1322" s="128">
        <v>1094.4408314808313</v>
      </c>
      <c r="V1322" s="44" t="s">
        <v>100</v>
      </c>
      <c r="W1322" s="128">
        <v>930.7901607153051</v>
      </c>
      <c r="X1322" s="128">
        <v>20.0</v>
      </c>
      <c r="Y1322" s="128">
        <v>935.6943744997712</v>
      </c>
      <c r="Z1322" s="44" t="s">
        <v>110</v>
      </c>
      <c r="AA1322" s="128">
        <v>966.3568532705168</v>
      </c>
      <c r="AB1322" s="128">
        <v>15.0</v>
      </c>
      <c r="AC1322" s="128">
        <v>968.6463755981546</v>
      </c>
      <c r="AD1322" s="44" t="s">
        <v>34</v>
      </c>
      <c r="AE1322" s="128">
        <v>1002.6601304289863</v>
      </c>
      <c r="AF1322" s="128">
        <v>23.0</v>
      </c>
      <c r="AG1322" s="128">
        <v>1008.1494279697092</v>
      </c>
      <c r="AH1322" s="44" t="s">
        <v>47</v>
      </c>
      <c r="AI1322" s="128">
        <v>1060.804843012824</v>
      </c>
      <c r="AJ1322" s="128">
        <v>30.0</v>
      </c>
      <c r="AK1322" s="128">
        <v>1069.1218093599973</v>
      </c>
      <c r="AP1322" s="128">
        <v>11.0</v>
      </c>
      <c r="AQ1322" s="128">
        <v>17.0</v>
      </c>
      <c r="AS1322" s="44" t="s">
        <v>608</v>
      </c>
      <c r="AT1322" s="44">
        <v>1321.0</v>
      </c>
      <c r="AU1322" s="44"/>
      <c r="AW1322" s="93"/>
      <c r="AY1322" s="93"/>
      <c r="AZ1322" s="93"/>
      <c r="BA1322" s="93"/>
      <c r="BB1322" s="155"/>
      <c r="BC1322" s="93"/>
      <c r="BE1322" s="93"/>
      <c r="BG1322" s="93"/>
      <c r="BH1322" s="93"/>
      <c r="BI1322" s="93"/>
      <c r="BJ1322" s="155"/>
      <c r="BK1322" s="93"/>
    </row>
    <row r="1323">
      <c r="A1323" s="166">
        <v>44868.95957710648</v>
      </c>
      <c r="B1323" s="44" t="s">
        <v>107</v>
      </c>
      <c r="C1323" s="128">
        <v>958.4092337493071</v>
      </c>
      <c r="D1323" s="128">
        <v>16.0</v>
      </c>
      <c r="E1323" s="128">
        <v>958.4192337493071</v>
      </c>
      <c r="F1323" s="44" t="s">
        <v>110</v>
      </c>
      <c r="G1323" s="128">
        <v>968.6463755981546</v>
      </c>
      <c r="H1323" s="128">
        <v>24.0</v>
      </c>
      <c r="I1323" s="128">
        <v>968.6563755981546</v>
      </c>
      <c r="J1323" s="44" t="s">
        <v>27</v>
      </c>
      <c r="K1323" s="128">
        <v>1094.4408314808313</v>
      </c>
      <c r="L1323" s="128">
        <v>16.0</v>
      </c>
      <c r="M1323" s="128">
        <v>1094.4508314808313</v>
      </c>
      <c r="N1323" s="44"/>
      <c r="O1323" s="128"/>
      <c r="P1323" s="128"/>
      <c r="Q1323" s="128"/>
      <c r="V1323" s="44" t="s">
        <v>92</v>
      </c>
      <c r="W1323" s="128">
        <v>978.3887108225082</v>
      </c>
      <c r="X1323" s="128">
        <v>17.0</v>
      </c>
      <c r="Y1323" s="128">
        <v>978.3987108225082</v>
      </c>
      <c r="Z1323" s="44" t="s">
        <v>38</v>
      </c>
      <c r="AA1323" s="128">
        <v>978.8465456221702</v>
      </c>
      <c r="AB1323" s="128">
        <v>24.0</v>
      </c>
      <c r="AC1323" s="128">
        <v>978.8565456221702</v>
      </c>
      <c r="AD1323" s="44" t="s">
        <v>47</v>
      </c>
      <c r="AE1323" s="128">
        <v>1069.1218093599973</v>
      </c>
      <c r="AF1323" s="128">
        <v>19.0</v>
      </c>
      <c r="AG1323" s="128">
        <v>1069.1318093599973</v>
      </c>
      <c r="AH1323" s="44"/>
      <c r="AI1323" s="128"/>
      <c r="AJ1323" s="128"/>
      <c r="AK1323" s="128"/>
      <c r="AP1323" s="128">
        <v>14.0</v>
      </c>
      <c r="AQ1323" s="128">
        <v>14.0</v>
      </c>
      <c r="AS1323" s="44" t="s">
        <v>229</v>
      </c>
      <c r="AT1323" s="44">
        <v>1322.0</v>
      </c>
      <c r="AU1323" s="44"/>
      <c r="AW1323" s="93"/>
      <c r="AY1323" s="93"/>
      <c r="AZ1323" s="93"/>
      <c r="BA1323" s="93"/>
      <c r="BB1323" s="155"/>
      <c r="BC1323" s="93"/>
      <c r="BE1323" s="93"/>
      <c r="BG1323" s="93"/>
      <c r="BH1323" s="93"/>
      <c r="BI1323" s="93"/>
      <c r="BJ1323" s="155"/>
      <c r="BK1323" s="93"/>
    </row>
    <row r="1324">
      <c r="A1324" s="166">
        <v>44869.02933951389</v>
      </c>
      <c r="B1324" s="44" t="s">
        <v>112</v>
      </c>
      <c r="C1324" s="128">
        <v>956.0144032406102</v>
      </c>
      <c r="D1324" s="128">
        <v>32.0</v>
      </c>
      <c r="E1324" s="128">
        <v>954.221423180951</v>
      </c>
      <c r="F1324" s="44" t="s">
        <v>107</v>
      </c>
      <c r="G1324" s="128">
        <v>958.4192337493071</v>
      </c>
      <c r="H1324" s="128">
        <v>23.0</v>
      </c>
      <c r="I1324" s="128">
        <v>954.7344237715611</v>
      </c>
      <c r="J1324" s="44" t="s">
        <v>110</v>
      </c>
      <c r="K1324" s="128">
        <v>968.6563755981546</v>
      </c>
      <c r="L1324" s="128">
        <v>37.0</v>
      </c>
      <c r="M1324" s="128">
        <v>967.8208810674131</v>
      </c>
      <c r="N1324" s="44" t="s">
        <v>27</v>
      </c>
      <c r="O1324" s="128">
        <v>1094.4508314808313</v>
      </c>
      <c r="P1324" s="128">
        <v>25.0</v>
      </c>
      <c r="Q1324" s="128">
        <v>1090.7641160489782</v>
      </c>
      <c r="V1324" s="44" t="s">
        <v>125</v>
      </c>
      <c r="W1324" s="128">
        <v>921.2003033141182</v>
      </c>
      <c r="X1324" s="128">
        <v>17.0</v>
      </c>
      <c r="Y1324" s="128">
        <v>921.7183085400784</v>
      </c>
      <c r="Z1324" s="44" t="s">
        <v>38</v>
      </c>
      <c r="AA1324" s="128">
        <v>978.8565456221702</v>
      </c>
      <c r="AB1324" s="128">
        <v>34.0</v>
      </c>
      <c r="AC1324" s="128">
        <v>982.4970647056933</v>
      </c>
      <c r="AD1324" s="44" t="s">
        <v>34</v>
      </c>
      <c r="AE1324" s="128">
        <v>1008.1494279697092</v>
      </c>
      <c r="AF1324" s="128">
        <v>32.0</v>
      </c>
      <c r="AG1324" s="128">
        <v>1011.2408383990957</v>
      </c>
      <c r="AH1324" s="44" t="s">
        <v>47</v>
      </c>
      <c r="AI1324" s="128">
        <v>1069.1318093599973</v>
      </c>
      <c r="AJ1324" s="128">
        <v>31.0</v>
      </c>
      <c r="AK1324" s="128">
        <v>1071.8818746211275</v>
      </c>
      <c r="AP1324" s="128">
        <v>20.0</v>
      </c>
      <c r="AQ1324" s="128">
        <v>22.0</v>
      </c>
      <c r="AS1324" s="44" t="s">
        <v>619</v>
      </c>
      <c r="AT1324" s="44">
        <v>1323.0</v>
      </c>
      <c r="AU1324" s="44"/>
      <c r="AW1324" s="93"/>
      <c r="AY1324" s="93"/>
      <c r="AZ1324" s="93"/>
      <c r="BA1324" s="93"/>
      <c r="BB1324" s="155"/>
      <c r="BC1324" s="93"/>
      <c r="BE1324" s="93"/>
      <c r="BG1324" s="93"/>
      <c r="BH1324" s="93"/>
      <c r="BI1324" s="93"/>
      <c r="BJ1324" s="155"/>
      <c r="BK1324" s="93"/>
    </row>
    <row r="1325">
      <c r="A1325" s="166">
        <v>44870.97529873843</v>
      </c>
      <c r="B1325" s="44" t="s">
        <v>117</v>
      </c>
      <c r="C1325" s="128">
        <v>987.6927364001322</v>
      </c>
      <c r="D1325" s="128">
        <v>16.0</v>
      </c>
      <c r="E1325" s="128">
        <v>979.2253193329785</v>
      </c>
      <c r="F1325" s="44" t="s">
        <v>23</v>
      </c>
      <c r="G1325" s="128">
        <v>1151.0786262084569</v>
      </c>
      <c r="H1325" s="128">
        <v>14.0</v>
      </c>
      <c r="I1325" s="128">
        <v>1140.5460432756106</v>
      </c>
      <c r="J1325" s="44"/>
      <c r="K1325" s="128"/>
      <c r="L1325" s="128"/>
      <c r="M1325" s="128"/>
      <c r="N1325" s="44"/>
      <c r="O1325" s="128"/>
      <c r="P1325" s="128"/>
      <c r="Q1325" s="128"/>
      <c r="V1325" s="44" t="s">
        <v>47</v>
      </c>
      <c r="W1325" s="128">
        <v>1071.8818746211275</v>
      </c>
      <c r="X1325" s="128">
        <v>22.0</v>
      </c>
      <c r="Y1325" s="128">
        <v>1084.168526469324</v>
      </c>
      <c r="Z1325" s="44" t="s">
        <v>27</v>
      </c>
      <c r="AA1325" s="128">
        <v>1090.7641160489782</v>
      </c>
      <c r="AB1325" s="128">
        <v>15.0</v>
      </c>
      <c r="AC1325" s="128">
        <v>1097.4774642007817</v>
      </c>
      <c r="AD1325" s="44"/>
      <c r="AE1325" s="128"/>
      <c r="AF1325" s="128"/>
      <c r="AG1325" s="128"/>
      <c r="AH1325" s="44"/>
      <c r="AI1325" s="128"/>
      <c r="AJ1325" s="128"/>
      <c r="AK1325" s="128"/>
      <c r="AP1325" s="128">
        <v>11.0</v>
      </c>
      <c r="AQ1325" s="128">
        <v>17.0</v>
      </c>
      <c r="AT1325" s="44">
        <v>1324.0</v>
      </c>
      <c r="AU1325" s="44"/>
      <c r="AW1325" s="93"/>
      <c r="AY1325" s="93"/>
      <c r="AZ1325" s="93"/>
      <c r="BA1325" s="93"/>
      <c r="BB1325" s="155"/>
      <c r="BC1325" s="93"/>
      <c r="BE1325" s="93"/>
      <c r="BG1325" s="93"/>
      <c r="BH1325" s="93"/>
      <c r="BI1325" s="93"/>
      <c r="BJ1325" s="155"/>
      <c r="BK1325" s="93"/>
    </row>
    <row r="1326">
      <c r="A1326" s="166">
        <v>44871.85046122685</v>
      </c>
      <c r="B1326" s="44" t="s">
        <v>125</v>
      </c>
      <c r="C1326" s="128">
        <v>921.7183085400784</v>
      </c>
      <c r="D1326" s="128">
        <v>12.0</v>
      </c>
      <c r="E1326" s="128">
        <v>917.9154029538632</v>
      </c>
      <c r="F1326" s="44" t="s">
        <v>38</v>
      </c>
      <c r="G1326" s="128">
        <v>982.4970647056933</v>
      </c>
      <c r="H1326" s="128">
        <v>24.0</v>
      </c>
      <c r="I1326" s="128">
        <v>980.8982426402989</v>
      </c>
      <c r="J1326" s="44" t="s">
        <v>47</v>
      </c>
      <c r="K1326" s="128">
        <v>1084.168526469324</v>
      </c>
      <c r="L1326" s="128">
        <v>20.0</v>
      </c>
      <c r="M1326" s="128">
        <v>1081.5592907092246</v>
      </c>
      <c r="N1326" s="44" t="s">
        <v>27</v>
      </c>
      <c r="O1326" s="128">
        <v>1097.4774642007817</v>
      </c>
      <c r="P1326" s="128">
        <v>23.0</v>
      </c>
      <c r="Q1326" s="128">
        <v>1095.4884276124906</v>
      </c>
      <c r="V1326" s="44" t="s">
        <v>107</v>
      </c>
      <c r="W1326" s="128">
        <v>954.7344237715611</v>
      </c>
      <c r="X1326" s="128">
        <v>10.0</v>
      </c>
      <c r="Y1326" s="128">
        <v>955.5038408165452</v>
      </c>
      <c r="Z1326" s="44" t="s">
        <v>92</v>
      </c>
      <c r="AA1326" s="128">
        <v>978.3987108225082</v>
      </c>
      <c r="AB1326" s="128">
        <v>14.0</v>
      </c>
      <c r="AC1326" s="128">
        <v>979.9054264085843</v>
      </c>
      <c r="AD1326" s="44" t="s">
        <v>34</v>
      </c>
      <c r="AE1326" s="128">
        <v>1011.2408383990957</v>
      </c>
      <c r="AF1326" s="128">
        <v>19.0</v>
      </c>
      <c r="AG1326" s="128">
        <v>1013.6937170609311</v>
      </c>
      <c r="AH1326" s="44" t="s">
        <v>23</v>
      </c>
      <c r="AI1326" s="128">
        <v>1140.5460432756106</v>
      </c>
      <c r="AJ1326" s="128">
        <v>33.0</v>
      </c>
      <c r="AK1326" s="128">
        <v>1145.817031982715</v>
      </c>
      <c r="AP1326" s="128">
        <v>13.0</v>
      </c>
      <c r="AQ1326" s="128">
        <v>15.0</v>
      </c>
      <c r="AS1326" s="44" t="s">
        <v>229</v>
      </c>
      <c r="AT1326" s="44">
        <v>1325.0</v>
      </c>
      <c r="AU1326" s="44"/>
      <c r="AW1326" s="93"/>
      <c r="AY1326" s="93"/>
      <c r="AZ1326" s="93"/>
      <c r="BA1326" s="93"/>
      <c r="BB1326" s="155"/>
      <c r="BC1326" s="93"/>
      <c r="BE1326" s="93"/>
      <c r="BG1326" s="93"/>
      <c r="BH1326" s="93"/>
      <c r="BI1326" s="93"/>
      <c r="BJ1326" s="155"/>
      <c r="BK1326" s="93"/>
    </row>
    <row r="1327">
      <c r="A1327" s="166">
        <v>44871.917679351856</v>
      </c>
      <c r="B1327" s="44" t="s">
        <v>125</v>
      </c>
      <c r="C1327" s="128">
        <v>917.9154029538632</v>
      </c>
      <c r="D1327" s="128">
        <v>2.0</v>
      </c>
      <c r="E1327" s="128">
        <v>913.0305170218818</v>
      </c>
      <c r="F1327" s="44" t="s">
        <v>112</v>
      </c>
      <c r="G1327" s="128">
        <v>954.221423180951</v>
      </c>
      <c r="H1327" s="128">
        <v>30.0</v>
      </c>
      <c r="I1327" s="128">
        <v>953.8252881202923</v>
      </c>
      <c r="J1327" s="44" t="s">
        <v>34</v>
      </c>
      <c r="K1327" s="128">
        <v>1013.6937170609311</v>
      </c>
      <c r="L1327" s="128">
        <v>19.0</v>
      </c>
      <c r="M1327" s="128">
        <v>1011.2819621078537</v>
      </c>
      <c r="N1327" s="44" t="s">
        <v>47</v>
      </c>
      <c r="O1327" s="128">
        <v>1081.5592907092246</v>
      </c>
      <c r="P1327" s="128">
        <v>21.0</v>
      </c>
      <c r="Q1327" s="128">
        <v>1079.407904688048</v>
      </c>
      <c r="R1327" s="44" t="s">
        <v>27</v>
      </c>
      <c r="S1327" s="128">
        <v>1095.4884276124906</v>
      </c>
      <c r="T1327" s="128">
        <v>33.0</v>
      </c>
      <c r="U1327" s="128">
        <v>1095.3325895793848</v>
      </c>
      <c r="V1327" s="44" t="s">
        <v>107</v>
      </c>
      <c r="W1327" s="128">
        <v>955.5038408165452</v>
      </c>
      <c r="X1327" s="128">
        <v>19.0</v>
      </c>
      <c r="Y1327" s="128">
        <v>957.2557874454502</v>
      </c>
      <c r="Z1327" s="44" t="s">
        <v>92</v>
      </c>
      <c r="AA1327" s="128">
        <v>979.9054264085843</v>
      </c>
      <c r="AB1327" s="128">
        <v>20.0</v>
      </c>
      <c r="AC1327" s="128">
        <v>981.7339559253332</v>
      </c>
      <c r="AD1327" s="44" t="s">
        <v>38</v>
      </c>
      <c r="AE1327" s="128">
        <v>980.8982426402989</v>
      </c>
      <c r="AF1327" s="128">
        <v>24.0</v>
      </c>
      <c r="AG1327" s="128">
        <v>983.3902636888351</v>
      </c>
      <c r="AH1327" s="44" t="s">
        <v>301</v>
      </c>
      <c r="AI1327" s="128">
        <v>1000.788594259813</v>
      </c>
      <c r="AJ1327" s="128">
        <v>12.0</v>
      </c>
      <c r="AK1327" s="128">
        <v>1001.2248254076563</v>
      </c>
      <c r="AL1327" s="44" t="s">
        <v>23</v>
      </c>
      <c r="AM1327" s="128">
        <v>1145.817031982715</v>
      </c>
      <c r="AN1327" s="128">
        <v>31.0</v>
      </c>
      <c r="AO1327" s="128">
        <v>1149.3083036406815</v>
      </c>
      <c r="AP1327" s="128">
        <v>13.0</v>
      </c>
      <c r="AQ1327" s="128">
        <v>15.0</v>
      </c>
      <c r="AS1327" s="44" t="s">
        <v>266</v>
      </c>
      <c r="AT1327" s="44">
        <v>1326.0</v>
      </c>
      <c r="AU1327" s="44"/>
      <c r="AW1327" s="93"/>
      <c r="AY1327" s="93"/>
      <c r="AZ1327" s="93"/>
      <c r="BA1327" s="93"/>
      <c r="BB1327" s="155"/>
      <c r="BC1327" s="93"/>
      <c r="BE1327" s="93"/>
      <c r="BG1327" s="93"/>
      <c r="BH1327" s="93"/>
      <c r="BI1327" s="93"/>
      <c r="BJ1327" s="155"/>
      <c r="BK1327" s="93"/>
    </row>
    <row r="1328">
      <c r="A1328" s="166">
        <v>44871.95162541667</v>
      </c>
      <c r="B1328" s="44" t="s">
        <v>125</v>
      </c>
      <c r="C1328" s="128">
        <v>913.0305170218818</v>
      </c>
      <c r="D1328" s="128">
        <v>2.0</v>
      </c>
      <c r="E1328" s="128">
        <v>891.9335726847535</v>
      </c>
      <c r="F1328" s="44" t="s">
        <v>112</v>
      </c>
      <c r="G1328" s="128">
        <v>953.8252881202923</v>
      </c>
      <c r="H1328" s="128">
        <v>17.0</v>
      </c>
      <c r="I1328" s="128">
        <v>945.3937343323613</v>
      </c>
      <c r="J1328" s="44" t="s">
        <v>47</v>
      </c>
      <c r="K1328" s="128">
        <v>1079.407904688048</v>
      </c>
      <c r="L1328" s="128">
        <v>18.0</v>
      </c>
      <c r="M1328" s="128">
        <v>1070.9010914131625</v>
      </c>
      <c r="N1328" s="44" t="s">
        <v>23</v>
      </c>
      <c r="O1328" s="128">
        <v>1149.3083036406815</v>
      </c>
      <c r="P1328" s="128">
        <v>22.0</v>
      </c>
      <c r="Q1328" s="128">
        <v>1144.3436150406262</v>
      </c>
      <c r="V1328" s="44" t="s">
        <v>92</v>
      </c>
      <c r="W1328" s="128">
        <v>981.7339559253332</v>
      </c>
      <c r="X1328" s="128">
        <v>17.0</v>
      </c>
      <c r="Y1328" s="128">
        <v>988.3371267815439</v>
      </c>
      <c r="Z1328" s="44" t="s">
        <v>38</v>
      </c>
      <c r="AA1328" s="128">
        <v>983.3902636888351</v>
      </c>
      <c r="AB1328" s="128">
        <v>29.0</v>
      </c>
      <c r="AC1328" s="128">
        <v>1000.7150571830869</v>
      </c>
      <c r="AD1328" s="44" t="s">
        <v>34</v>
      </c>
      <c r="AE1328" s="128">
        <v>1011.2819621078537</v>
      </c>
      <c r="AF1328" s="128">
        <v>23.0</v>
      </c>
      <c r="AG1328" s="128">
        <v>1022.8375301754177</v>
      </c>
      <c r="AH1328" s="44" t="s">
        <v>27</v>
      </c>
      <c r="AI1328" s="128">
        <v>1095.3325895793848</v>
      </c>
      <c r="AJ1328" s="128">
        <v>19.0</v>
      </c>
      <c r="AK1328" s="128">
        <v>1102.8490571613586</v>
      </c>
      <c r="AP1328" s="128">
        <v>8.0</v>
      </c>
      <c r="AQ1328" s="128">
        <v>20.0</v>
      </c>
      <c r="AS1328" s="44" t="s">
        <v>229</v>
      </c>
      <c r="AT1328" s="44">
        <v>1327.0</v>
      </c>
      <c r="AU1328" s="44"/>
      <c r="AW1328" s="93"/>
      <c r="AY1328" s="93"/>
      <c r="AZ1328" s="93"/>
      <c r="BA1328" s="93"/>
      <c r="BB1328" s="155"/>
      <c r="BC1328" s="93"/>
      <c r="BE1328" s="93"/>
      <c r="BG1328" s="93"/>
      <c r="BH1328" s="93"/>
      <c r="BI1328" s="93"/>
      <c r="BJ1328" s="155"/>
      <c r="BK1328" s="93"/>
    </row>
    <row r="1329">
      <c r="A1329" s="166">
        <v>44873.59379417824</v>
      </c>
      <c r="B1329" s="44" t="s">
        <v>112</v>
      </c>
      <c r="C1329" s="128">
        <v>945.3937343323613</v>
      </c>
      <c r="D1329" s="128">
        <v>14.0</v>
      </c>
      <c r="E1329" s="128">
        <v>937.3477841515299</v>
      </c>
      <c r="F1329" s="44" t="s">
        <v>123</v>
      </c>
      <c r="G1329" s="128">
        <v>955.4513689372534</v>
      </c>
      <c r="H1329" s="128">
        <v>18.0</v>
      </c>
      <c r="I1329" s="128">
        <v>949.6182135099715</v>
      </c>
      <c r="J1329" s="44" t="s">
        <v>27</v>
      </c>
      <c r="K1329" s="128">
        <v>1102.8490571613586</v>
      </c>
      <c r="L1329" s="128">
        <v>17.0</v>
      </c>
      <c r="M1329" s="128">
        <v>1095.728162769472</v>
      </c>
      <c r="N1329" s="44"/>
      <c r="O1329" s="128"/>
      <c r="P1329" s="128"/>
      <c r="Q1329" s="128"/>
      <c r="V1329" s="44" t="s">
        <v>117</v>
      </c>
      <c r="W1329" s="128">
        <v>979.2253193329785</v>
      </c>
      <c r="X1329" s="128">
        <v>20.0</v>
      </c>
      <c r="Y1329" s="128">
        <v>986.3786180544839</v>
      </c>
      <c r="Z1329" s="44" t="s">
        <v>38</v>
      </c>
      <c r="AA1329" s="128">
        <v>1000.7150571830869</v>
      </c>
      <c r="AB1329" s="128">
        <v>26.0</v>
      </c>
      <c r="AC1329" s="128">
        <v>1011.1673268426712</v>
      </c>
      <c r="AD1329" s="44" t="s">
        <v>610</v>
      </c>
      <c r="AE1329" s="128">
        <v>1008.3223394919137</v>
      </c>
      <c r="AF1329" s="128">
        <v>14.0</v>
      </c>
      <c r="AG1329" s="128">
        <v>1011.716771110824</v>
      </c>
      <c r="AH1329" s="44"/>
      <c r="AI1329" s="128"/>
      <c r="AJ1329" s="128"/>
      <c r="AK1329" s="128"/>
      <c r="AP1329" s="128">
        <v>11.0</v>
      </c>
      <c r="AQ1329" s="128">
        <v>16.0</v>
      </c>
      <c r="AS1329" s="44" t="s">
        <v>229</v>
      </c>
      <c r="AT1329" s="44">
        <v>1328.0</v>
      </c>
      <c r="AU1329" s="44"/>
      <c r="AW1329" s="93"/>
      <c r="AY1329" s="93"/>
      <c r="AZ1329" s="93"/>
      <c r="BA1329" s="93"/>
      <c r="BB1329" s="155"/>
      <c r="BC1329" s="93"/>
      <c r="BE1329" s="93"/>
      <c r="BG1329" s="93"/>
      <c r="BH1329" s="93"/>
      <c r="BI1329" s="93"/>
      <c r="BJ1329" s="155"/>
      <c r="BK1329" s="93"/>
    </row>
    <row r="1330">
      <c r="A1330" s="166">
        <v>44873.979611145834</v>
      </c>
      <c r="B1330" s="44" t="s">
        <v>100</v>
      </c>
      <c r="C1330" s="128">
        <v>935.6943744997712</v>
      </c>
      <c r="D1330" s="128">
        <v>8.0</v>
      </c>
      <c r="E1330" s="128">
        <v>924.4094380753726</v>
      </c>
      <c r="F1330" s="44" t="s">
        <v>112</v>
      </c>
      <c r="G1330" s="128">
        <v>937.3477841515299</v>
      </c>
      <c r="H1330" s="128">
        <v>23.0</v>
      </c>
      <c r="I1330" s="128">
        <v>933.9570481905521</v>
      </c>
      <c r="J1330" s="44" t="s">
        <v>27</v>
      </c>
      <c r="K1330" s="128">
        <v>1095.728162769472</v>
      </c>
      <c r="L1330" s="128">
        <v>23.0</v>
      </c>
      <c r="M1330" s="128">
        <v>1091.4038351548486</v>
      </c>
      <c r="N1330" s="44"/>
      <c r="O1330" s="128"/>
      <c r="P1330" s="128"/>
      <c r="Q1330" s="128"/>
      <c r="V1330" s="44" t="s">
        <v>110</v>
      </c>
      <c r="W1330" s="128">
        <v>967.8208810674131</v>
      </c>
      <c r="X1330" s="128">
        <v>18.0</v>
      </c>
      <c r="Y1330" s="128">
        <v>973.1733933460156</v>
      </c>
      <c r="Z1330" s="44" t="s">
        <v>301</v>
      </c>
      <c r="AA1330" s="128">
        <v>1001.2248254076563</v>
      </c>
      <c r="AB1330" s="128">
        <v>18.0</v>
      </c>
      <c r="AC1330" s="128">
        <v>1006.268624310749</v>
      </c>
      <c r="AD1330" s="44" t="s">
        <v>34</v>
      </c>
      <c r="AE1330" s="128">
        <v>1022.8375301754177</v>
      </c>
      <c r="AF1330" s="128">
        <v>25.0</v>
      </c>
      <c r="AG1330" s="128">
        <v>1031.4412189937225</v>
      </c>
      <c r="AH1330" s="44"/>
      <c r="AI1330" s="128"/>
      <c r="AJ1330" s="128"/>
      <c r="AK1330" s="128"/>
      <c r="AP1330" s="128">
        <v>12.0</v>
      </c>
      <c r="AQ1330" s="128">
        <v>16.0</v>
      </c>
      <c r="AS1330" s="44" t="s">
        <v>244</v>
      </c>
      <c r="AT1330" s="44">
        <v>1329.0</v>
      </c>
      <c r="AU1330" s="44"/>
      <c r="AW1330" s="93"/>
      <c r="AY1330" s="93"/>
      <c r="AZ1330" s="93"/>
      <c r="BA1330" s="93"/>
      <c r="BB1330" s="155"/>
      <c r="BC1330" s="93"/>
      <c r="BE1330" s="93"/>
      <c r="BG1330" s="93"/>
      <c r="BH1330" s="93"/>
      <c r="BI1330" s="93"/>
      <c r="BJ1330" s="155"/>
      <c r="BK1330" s="93"/>
    </row>
    <row r="1331">
      <c r="A1331" s="166">
        <v>44874.91406585649</v>
      </c>
      <c r="B1331" s="44" t="s">
        <v>110</v>
      </c>
      <c r="C1331" s="128">
        <v>973.1733933460156</v>
      </c>
      <c r="D1331" s="128">
        <v>17.0</v>
      </c>
      <c r="E1331" s="128">
        <v>968.8453106742204</v>
      </c>
      <c r="F1331" s="44" t="s">
        <v>88</v>
      </c>
      <c r="G1331" s="128">
        <v>980.786811224193</v>
      </c>
      <c r="H1331" s="128">
        <v>13.0</v>
      </c>
      <c r="I1331" s="128">
        <v>974.8266089946267</v>
      </c>
      <c r="J1331" s="44" t="s">
        <v>92</v>
      </c>
      <c r="K1331" s="128">
        <v>988.3371267815439</v>
      </c>
      <c r="L1331" s="128">
        <v>14.0</v>
      </c>
      <c r="M1331" s="128">
        <v>982.7287530021617</v>
      </c>
      <c r="N1331" s="44" t="s">
        <v>23</v>
      </c>
      <c r="O1331" s="128">
        <v>1144.3436150406262</v>
      </c>
      <c r="P1331" s="128">
        <v>21.0</v>
      </c>
      <c r="Q1331" s="128">
        <v>1141.2402737213697</v>
      </c>
      <c r="V1331" s="44" t="s">
        <v>100</v>
      </c>
      <c r="W1331" s="128">
        <v>924.4094380753726</v>
      </c>
      <c r="X1331" s="128">
        <v>18.0</v>
      </c>
      <c r="Y1331" s="128">
        <v>928.3016613984581</v>
      </c>
      <c r="Z1331" s="44" t="s">
        <v>38</v>
      </c>
      <c r="AA1331" s="128">
        <v>1011.1673268426712</v>
      </c>
      <c r="AB1331" s="128">
        <v>24.0</v>
      </c>
      <c r="AC1331" s="128">
        <v>1016.5948583926211</v>
      </c>
      <c r="AD1331" s="44" t="s">
        <v>47</v>
      </c>
      <c r="AE1331" s="128">
        <v>1070.9010914131625</v>
      </c>
      <c r="AF1331" s="128">
        <v>17.0</v>
      </c>
      <c r="AG1331" s="128">
        <v>1073.3758238796227</v>
      </c>
      <c r="AH1331" s="44" t="s">
        <v>27</v>
      </c>
      <c r="AI1331" s="128">
        <v>1091.4038351548486</v>
      </c>
      <c r="AJ1331" s="128">
        <v>29.0</v>
      </c>
      <c r="AK1331" s="128">
        <v>1098.609347815353</v>
      </c>
      <c r="AP1331" s="128">
        <v>10.0</v>
      </c>
      <c r="AQ1331" s="128">
        <v>18.0</v>
      </c>
      <c r="AT1331" s="44">
        <v>1330.0</v>
      </c>
      <c r="AU1331" s="44"/>
      <c r="AW1331" s="93"/>
      <c r="AY1331" s="93"/>
      <c r="AZ1331" s="93"/>
      <c r="BA1331" s="93"/>
      <c r="BB1331" s="155"/>
      <c r="BC1331" s="93"/>
      <c r="BE1331" s="93"/>
      <c r="BG1331" s="93"/>
      <c r="BH1331" s="93"/>
      <c r="BI1331" s="93"/>
      <c r="BJ1331" s="155"/>
      <c r="BK1331" s="93"/>
    </row>
    <row r="1332">
      <c r="A1332" s="166">
        <v>44874.98258517361</v>
      </c>
      <c r="B1332" s="44" t="s">
        <v>110</v>
      </c>
      <c r="C1332" s="128">
        <v>968.8453106742204</v>
      </c>
      <c r="D1332" s="128">
        <v>34.0</v>
      </c>
      <c r="E1332" s="128">
        <v>968.8353106742204</v>
      </c>
      <c r="F1332" s="44" t="s">
        <v>88</v>
      </c>
      <c r="G1332" s="128">
        <v>974.8266089946267</v>
      </c>
      <c r="H1332" s="128">
        <v>26.0</v>
      </c>
      <c r="I1332" s="128">
        <v>974.8166089946267</v>
      </c>
      <c r="J1332" s="44" t="s">
        <v>38</v>
      </c>
      <c r="K1332" s="128">
        <v>1016.5948583926211</v>
      </c>
      <c r="L1332" s="128">
        <v>27.0</v>
      </c>
      <c r="M1332" s="128">
        <v>1016.5848583926211</v>
      </c>
      <c r="N1332" s="44" t="s">
        <v>23</v>
      </c>
      <c r="O1332" s="128">
        <v>1141.2402737213697</v>
      </c>
      <c r="P1332" s="128">
        <v>68.0</v>
      </c>
      <c r="Q1332" s="128">
        <v>1141.2302737213697</v>
      </c>
      <c r="V1332" s="44" t="s">
        <v>92</v>
      </c>
      <c r="W1332" s="128">
        <v>982.7287530021617</v>
      </c>
      <c r="X1332" s="128">
        <v>43.0</v>
      </c>
      <c r="Y1332" s="128">
        <v>982.7187530021617</v>
      </c>
      <c r="Z1332" s="44" t="s">
        <v>47</v>
      </c>
      <c r="AA1332" s="128">
        <v>1073.3758238796227</v>
      </c>
      <c r="AB1332" s="128">
        <v>46.0</v>
      </c>
      <c r="AC1332" s="128">
        <v>1073.3658238796227</v>
      </c>
      <c r="AD1332" s="44" t="s">
        <v>27</v>
      </c>
      <c r="AE1332" s="128">
        <v>1098.609347815353</v>
      </c>
      <c r="AF1332" s="128">
        <v>38.0</v>
      </c>
      <c r="AG1332" s="128">
        <v>1098.599347815353</v>
      </c>
      <c r="AH1332" s="44" t="s">
        <v>100</v>
      </c>
      <c r="AI1332" s="44">
        <v>928.301661398458</v>
      </c>
      <c r="AJ1332" s="128">
        <v>32.0</v>
      </c>
      <c r="AK1332" s="44">
        <v>928.29</v>
      </c>
      <c r="AP1332" s="128">
        <v>28.0</v>
      </c>
      <c r="AQ1332" s="128">
        <v>28.0</v>
      </c>
      <c r="AT1332" s="44">
        <v>1331.0</v>
      </c>
      <c r="AU1332" s="44"/>
      <c r="AW1332" s="93"/>
      <c r="AY1332" s="93"/>
      <c r="AZ1332" s="93"/>
      <c r="BA1332" s="93"/>
      <c r="BB1332" s="155"/>
      <c r="BC1332" s="93"/>
      <c r="BE1332" s="93"/>
      <c r="BG1332" s="93"/>
      <c r="BH1332" s="93"/>
      <c r="BI1332" s="93"/>
      <c r="BJ1332" s="155"/>
      <c r="BK1332" s="93"/>
    </row>
    <row r="1333">
      <c r="A1333" s="166">
        <v>44875.024240625</v>
      </c>
      <c r="B1333" s="44" t="s">
        <v>110</v>
      </c>
      <c r="C1333" s="128">
        <v>968.8353106742204</v>
      </c>
      <c r="D1333" s="128">
        <v>37.0</v>
      </c>
      <c r="E1333" s="128">
        <v>968.8253106742204</v>
      </c>
      <c r="F1333" s="44" t="s">
        <v>38</v>
      </c>
      <c r="G1333" s="128">
        <v>1016.5848583926211</v>
      </c>
      <c r="H1333" s="128">
        <v>16.0</v>
      </c>
      <c r="I1333" s="128">
        <v>1010.1173527685505</v>
      </c>
      <c r="J1333" s="44" t="s">
        <v>47</v>
      </c>
      <c r="K1333" s="128">
        <v>1073.3658238796227</v>
      </c>
      <c r="L1333" s="128">
        <v>22.0</v>
      </c>
      <c r="M1333" s="128">
        <v>1068.5948326198788</v>
      </c>
      <c r="N1333" s="44"/>
      <c r="O1333" s="128"/>
      <c r="P1333" s="128"/>
      <c r="Q1333" s="128"/>
      <c r="V1333" s="44" t="s">
        <v>125</v>
      </c>
      <c r="W1333" s="128">
        <v>891.9335726847535</v>
      </c>
      <c r="X1333" s="128">
        <v>19.0</v>
      </c>
      <c r="Y1333" s="128">
        <v>894.0142969100259</v>
      </c>
      <c r="Z1333" s="44" t="s">
        <v>34</v>
      </c>
      <c r="AA1333" s="128">
        <v>1031.4412189937225</v>
      </c>
      <c r="AB1333" s="128">
        <v>27.0</v>
      </c>
      <c r="AC1333" s="128">
        <v>1034.5831958697597</v>
      </c>
      <c r="AD1333" s="44" t="s">
        <v>27</v>
      </c>
      <c r="AE1333" s="128">
        <v>1098.599347815353</v>
      </c>
      <c r="AF1333" s="128">
        <v>36.0</v>
      </c>
      <c r="AG1333" s="128">
        <v>1104.3766467140433</v>
      </c>
      <c r="AH1333" s="44"/>
      <c r="AI1333" s="128"/>
      <c r="AJ1333" s="128"/>
      <c r="AK1333" s="128"/>
      <c r="AP1333" s="128">
        <v>20.0</v>
      </c>
      <c r="AQ1333" s="128">
        <v>22.0</v>
      </c>
      <c r="AT1333" s="44">
        <v>1332.0</v>
      </c>
      <c r="AU1333" s="44"/>
      <c r="AW1333" s="93"/>
      <c r="AY1333" s="93"/>
      <c r="AZ1333" s="93"/>
      <c r="BA1333" s="93"/>
      <c r="BB1333" s="155"/>
      <c r="BC1333" s="93"/>
      <c r="BE1333" s="93"/>
      <c r="BG1333" s="93"/>
      <c r="BH1333" s="93"/>
      <c r="BI1333" s="93"/>
      <c r="BJ1333" s="155"/>
      <c r="BK1333" s="93"/>
    </row>
    <row r="1334">
      <c r="A1334" s="166">
        <v>44875.66684618055</v>
      </c>
      <c r="B1334" s="44" t="s">
        <v>112</v>
      </c>
      <c r="C1334" s="128">
        <v>933.9570481905521</v>
      </c>
      <c r="D1334" s="128">
        <v>11.0</v>
      </c>
      <c r="E1334" s="128">
        <v>936.1400013999196</v>
      </c>
      <c r="F1334" s="44" t="s">
        <v>38</v>
      </c>
      <c r="G1334" s="128">
        <v>1010.1173527685505</v>
      </c>
      <c r="H1334" s="128">
        <v>23.0</v>
      </c>
      <c r="I1334" s="128">
        <v>1017.7984792961745</v>
      </c>
      <c r="J1334" s="44" t="s">
        <v>34</v>
      </c>
      <c r="K1334" s="128">
        <v>1034.5831958697597</v>
      </c>
      <c r="L1334" s="128">
        <v>26.0</v>
      </c>
      <c r="M1334" s="128">
        <v>1043.7191161327682</v>
      </c>
      <c r="N1334" s="44"/>
      <c r="O1334" s="128"/>
      <c r="P1334" s="128"/>
      <c r="Q1334" s="128"/>
      <c r="V1334" s="44" t="s">
        <v>123</v>
      </c>
      <c r="W1334" s="128">
        <v>949.6182135099715</v>
      </c>
      <c r="X1334" s="128">
        <v>11.0</v>
      </c>
      <c r="Y1334" s="128">
        <v>941.2852503456302</v>
      </c>
      <c r="Z1334" s="44" t="s">
        <v>617</v>
      </c>
      <c r="AA1334" s="128">
        <v>996.7600052690026</v>
      </c>
      <c r="AB1334" s="128">
        <v>11.0</v>
      </c>
      <c r="AC1334" s="128">
        <v>988.0368047746922</v>
      </c>
      <c r="AD1334" s="44" t="s">
        <v>610</v>
      </c>
      <c r="AE1334" s="128">
        <v>1011.716771110824</v>
      </c>
      <c r="AF1334" s="128">
        <v>24.0</v>
      </c>
      <c r="AG1334" s="128">
        <v>1009.7729347694757</v>
      </c>
      <c r="AH1334" s="44"/>
      <c r="AI1334" s="128"/>
      <c r="AJ1334" s="128"/>
      <c r="AK1334" s="128"/>
      <c r="AP1334" s="128">
        <v>17.0</v>
      </c>
      <c r="AQ1334" s="128">
        <v>11.0</v>
      </c>
      <c r="AS1334" s="44" t="s">
        <v>229</v>
      </c>
      <c r="AT1334" s="44">
        <v>1333.0</v>
      </c>
      <c r="AU1334" s="44"/>
      <c r="AW1334" s="93"/>
      <c r="AY1334" s="93"/>
      <c r="AZ1334" s="93"/>
      <c r="BA1334" s="93"/>
      <c r="BB1334" s="155"/>
      <c r="BC1334" s="93"/>
      <c r="BE1334" s="93"/>
      <c r="BG1334" s="93"/>
      <c r="BH1334" s="93"/>
      <c r="BI1334" s="93"/>
      <c r="BJ1334" s="155"/>
      <c r="BK1334" s="93"/>
    </row>
    <row r="1335">
      <c r="A1335" s="166">
        <v>44875.95867422454</v>
      </c>
      <c r="B1335" s="44" t="s">
        <v>123</v>
      </c>
      <c r="C1335" s="128">
        <v>941.2852503456302</v>
      </c>
      <c r="D1335" s="128">
        <v>14.0</v>
      </c>
      <c r="E1335" s="128">
        <v>937.8574046986993</v>
      </c>
      <c r="F1335" s="44" t="s">
        <v>92</v>
      </c>
      <c r="G1335" s="128">
        <v>982.7187530021617</v>
      </c>
      <c r="H1335" s="128">
        <v>14.0</v>
      </c>
      <c r="I1335" s="128">
        <v>979.088391160398</v>
      </c>
      <c r="J1335" s="44" t="s">
        <v>301</v>
      </c>
      <c r="K1335" s="128">
        <v>1006.268624310749</v>
      </c>
      <c r="L1335" s="128">
        <v>26.0</v>
      </c>
      <c r="M1335" s="128">
        <v>1005.0610998319136</v>
      </c>
      <c r="N1335" s="44" t="s">
        <v>27</v>
      </c>
      <c r="O1335" s="128">
        <v>1104.3766467140433</v>
      </c>
      <c r="P1335" s="128">
        <v>24.0</v>
      </c>
      <c r="Q1335" s="128">
        <v>1102.6423786815735</v>
      </c>
      <c r="V1335" s="44" t="s">
        <v>107</v>
      </c>
      <c r="W1335" s="128">
        <v>957.2557874454502</v>
      </c>
      <c r="X1335" s="128">
        <v>13.0</v>
      </c>
      <c r="Y1335" s="128">
        <v>958.3206853358485</v>
      </c>
      <c r="Z1335" s="44" t="s">
        <v>43</v>
      </c>
      <c r="AA1335" s="128">
        <v>1000.0</v>
      </c>
      <c r="AB1335" s="128">
        <v>24.0</v>
      </c>
      <c r="AC1335" s="128">
        <v>1003.1739285646446</v>
      </c>
      <c r="AD1335" s="44" t="s">
        <v>38</v>
      </c>
      <c r="AE1335" s="128">
        <v>1017.7984792961745</v>
      </c>
      <c r="AF1335" s="128">
        <v>21.0</v>
      </c>
      <c r="AG1335" s="128">
        <v>1020.2984010887582</v>
      </c>
      <c r="AH1335" s="44" t="s">
        <v>47</v>
      </c>
      <c r="AI1335" s="128">
        <v>1068.5948326198788</v>
      </c>
      <c r="AJ1335" s="128">
        <v>25.0</v>
      </c>
      <c r="AK1335" s="128">
        <v>1071.8560843722523</v>
      </c>
      <c r="AP1335" s="128">
        <v>13.0</v>
      </c>
      <c r="AQ1335" s="128">
        <v>15.0</v>
      </c>
      <c r="AT1335" s="44">
        <v>1334.0</v>
      </c>
      <c r="AU1335" s="44"/>
      <c r="AW1335" s="93"/>
      <c r="AY1335" s="93"/>
      <c r="AZ1335" s="93"/>
      <c r="BA1335" s="93"/>
      <c r="BB1335" s="155"/>
      <c r="BC1335" s="93"/>
      <c r="BE1335" s="93"/>
      <c r="BG1335" s="93"/>
      <c r="BH1335" s="93"/>
      <c r="BI1335" s="93"/>
      <c r="BJ1335" s="155"/>
      <c r="BK1335" s="93"/>
    </row>
    <row r="1336">
      <c r="A1336" s="166">
        <v>44876.00520854167</v>
      </c>
      <c r="B1336" s="44" t="s">
        <v>92</v>
      </c>
      <c r="C1336" s="128">
        <v>979.088391160398</v>
      </c>
      <c r="D1336" s="128">
        <v>18.0</v>
      </c>
      <c r="E1336" s="128">
        <v>979.098391160398</v>
      </c>
      <c r="F1336" s="44" t="s">
        <v>301</v>
      </c>
      <c r="G1336" s="128">
        <v>1005.0610998319136</v>
      </c>
      <c r="H1336" s="128">
        <v>15.0</v>
      </c>
      <c r="I1336" s="128">
        <v>1005.0710998319136</v>
      </c>
      <c r="J1336" s="44" t="s">
        <v>34</v>
      </c>
      <c r="K1336" s="128">
        <v>1043.7191161327682</v>
      </c>
      <c r="L1336" s="128">
        <v>21.0</v>
      </c>
      <c r="M1336" s="128">
        <v>1043.7291161327682</v>
      </c>
      <c r="N1336" s="44" t="s">
        <v>23</v>
      </c>
      <c r="O1336" s="128">
        <v>1141.2302737213697</v>
      </c>
      <c r="P1336" s="128">
        <v>24.0</v>
      </c>
      <c r="Q1336" s="128">
        <v>1141.2402737213697</v>
      </c>
      <c r="V1336" s="44" t="s">
        <v>88</v>
      </c>
      <c r="W1336" s="128">
        <v>974.8166089946267</v>
      </c>
      <c r="X1336" s="128">
        <v>19.0</v>
      </c>
      <c r="Y1336" s="128">
        <v>974.8266089946267</v>
      </c>
      <c r="Z1336" s="44" t="s">
        <v>38</v>
      </c>
      <c r="AA1336" s="128">
        <v>1020.2984010887582</v>
      </c>
      <c r="AB1336" s="128">
        <v>19.0</v>
      </c>
      <c r="AC1336" s="128">
        <v>1020.3084010887582</v>
      </c>
      <c r="AD1336" s="44" t="s">
        <v>47</v>
      </c>
      <c r="AE1336" s="128">
        <v>1071.8560843722523</v>
      </c>
      <c r="AF1336" s="128">
        <v>19.0</v>
      </c>
      <c r="AG1336" s="128">
        <v>1071.8660843722523</v>
      </c>
      <c r="AH1336" s="44" t="s">
        <v>27</v>
      </c>
      <c r="AI1336" s="128">
        <v>1102.6423786815735</v>
      </c>
      <c r="AJ1336" s="128">
        <v>23.0</v>
      </c>
      <c r="AK1336" s="128">
        <v>1102.6523786815735</v>
      </c>
      <c r="AP1336" s="128">
        <v>14.0</v>
      </c>
      <c r="AQ1336" s="128">
        <v>14.0</v>
      </c>
      <c r="AS1336" s="44" t="s">
        <v>229</v>
      </c>
      <c r="AT1336" s="44">
        <v>1335.0</v>
      </c>
      <c r="AU1336" s="44"/>
      <c r="AW1336" s="93"/>
      <c r="AY1336" s="93"/>
      <c r="AZ1336" s="93"/>
      <c r="BA1336" s="93"/>
      <c r="BB1336" s="155"/>
      <c r="BC1336" s="93"/>
      <c r="BE1336" s="93"/>
      <c r="BG1336" s="93"/>
      <c r="BH1336" s="93"/>
      <c r="BI1336" s="93"/>
      <c r="BJ1336" s="155"/>
      <c r="BK1336" s="93"/>
    </row>
    <row r="1337">
      <c r="A1337" s="166">
        <v>44876.00766960648</v>
      </c>
      <c r="B1337" s="44" t="s">
        <v>112</v>
      </c>
      <c r="C1337" s="128">
        <v>936.1400013999196</v>
      </c>
      <c r="D1337" s="128">
        <v>27.0</v>
      </c>
      <c r="E1337" s="128">
        <v>939.800289450513</v>
      </c>
      <c r="F1337" s="44" t="s">
        <v>105</v>
      </c>
      <c r="G1337" s="128">
        <v>1000.0</v>
      </c>
      <c r="H1337" s="128">
        <v>21.0</v>
      </c>
      <c r="I1337" s="128">
        <v>1002.0583442064271</v>
      </c>
      <c r="J1337" s="44" t="s">
        <v>43</v>
      </c>
      <c r="K1337" s="128">
        <v>1003.1739285646446</v>
      </c>
      <c r="L1337" s="128">
        <v>25.0</v>
      </c>
      <c r="M1337" s="128">
        <v>1006.0544685669602</v>
      </c>
      <c r="N1337" s="44" t="s">
        <v>610</v>
      </c>
      <c r="O1337" s="128">
        <v>1009.7729347694757</v>
      </c>
      <c r="P1337" s="128">
        <v>18.0</v>
      </c>
      <c r="Q1337" s="128">
        <v>1011.1737625101395</v>
      </c>
      <c r="V1337" s="44" t="s">
        <v>125</v>
      </c>
      <c r="W1337" s="128">
        <v>894.0142969100259</v>
      </c>
      <c r="X1337" s="128">
        <v>18.0</v>
      </c>
      <c r="Y1337" s="128">
        <v>891.7833189451186</v>
      </c>
      <c r="Z1337" s="44" t="s">
        <v>123</v>
      </c>
      <c r="AA1337" s="128">
        <v>937.8574046986993</v>
      </c>
      <c r="AB1337" s="128">
        <v>15.0</v>
      </c>
      <c r="AC1337" s="128">
        <v>934.681794673398</v>
      </c>
      <c r="AD1337" s="44" t="s">
        <v>107</v>
      </c>
      <c r="AE1337" s="128">
        <v>958.3206853358485</v>
      </c>
      <c r="AF1337" s="128">
        <v>23.0</v>
      </c>
      <c r="AG1337" s="128">
        <v>956.6948075618659</v>
      </c>
      <c r="AH1337" s="44" t="s">
        <v>98</v>
      </c>
      <c r="AI1337" s="128">
        <v>977.9505772177598</v>
      </c>
      <c r="AJ1337" s="128">
        <v>17.0</v>
      </c>
      <c r="AK1337" s="128">
        <v>974.983042981951</v>
      </c>
      <c r="AP1337" s="128">
        <v>18.0</v>
      </c>
      <c r="AQ1337" s="128">
        <v>10.0</v>
      </c>
      <c r="AS1337" s="44" t="s">
        <v>295</v>
      </c>
      <c r="AT1337" s="44">
        <v>1336.0</v>
      </c>
      <c r="AU1337" s="44"/>
      <c r="AW1337" s="93"/>
      <c r="AY1337" s="93"/>
      <c r="AZ1337" s="93"/>
      <c r="BA1337" s="93"/>
      <c r="BB1337" s="155"/>
      <c r="BC1337" s="93"/>
      <c r="BE1337" s="93"/>
      <c r="BG1337" s="93"/>
      <c r="BH1337" s="93"/>
      <c r="BI1337" s="93"/>
      <c r="BJ1337" s="155"/>
      <c r="BK1337" s="93"/>
    </row>
    <row r="1338">
      <c r="A1338" s="166">
        <v>44876.062613993054</v>
      </c>
      <c r="B1338" s="44" t="s">
        <v>123</v>
      </c>
      <c r="C1338" s="128">
        <v>934.681794673398</v>
      </c>
      <c r="D1338" s="128">
        <v>9.0</v>
      </c>
      <c r="E1338" s="128">
        <v>934.9659664101636</v>
      </c>
      <c r="F1338" s="44" t="s">
        <v>92</v>
      </c>
      <c r="G1338" s="128">
        <v>979.098391160398</v>
      </c>
      <c r="H1338" s="128">
        <v>17.0</v>
      </c>
      <c r="I1338" s="128">
        <v>982.2850914443319</v>
      </c>
      <c r="J1338" s="44" t="s">
        <v>34</v>
      </c>
      <c r="K1338" s="128">
        <v>1043.7291161327682</v>
      </c>
      <c r="L1338" s="128">
        <v>39.0</v>
      </c>
      <c r="M1338" s="128">
        <v>1056.0516283947775</v>
      </c>
      <c r="N1338" s="44" t="s">
        <v>47</v>
      </c>
      <c r="O1338" s="128">
        <v>1071.8660843722523</v>
      </c>
      <c r="P1338" s="128">
        <v>22.0</v>
      </c>
      <c r="Q1338" s="128">
        <v>1076.7643010073075</v>
      </c>
      <c r="R1338" s="44" t="s">
        <v>27</v>
      </c>
      <c r="S1338" s="128">
        <v>1102.6523786815735</v>
      </c>
      <c r="T1338" s="128">
        <v>23.0</v>
      </c>
      <c r="U1338" s="128">
        <v>1107.9607777638098</v>
      </c>
      <c r="V1338" s="44" t="s">
        <v>617</v>
      </c>
      <c r="W1338" s="128">
        <v>988.0368047746922</v>
      </c>
      <c r="X1338" s="128">
        <v>10.0</v>
      </c>
      <c r="Y1338" s="128">
        <v>979.5399222237868</v>
      </c>
      <c r="Z1338" s="44" t="s">
        <v>95</v>
      </c>
      <c r="AA1338" s="128">
        <v>1000.0</v>
      </c>
      <c r="AB1338" s="128">
        <v>12.0</v>
      </c>
      <c r="AC1338" s="128">
        <v>992.2923786602371</v>
      </c>
      <c r="AD1338" s="44" t="s">
        <v>105</v>
      </c>
      <c r="AE1338" s="128">
        <v>1002.0583442064271</v>
      </c>
      <c r="AF1338" s="128">
        <v>13.0</v>
      </c>
      <c r="AG1338" s="128">
        <v>994.7721251185692</v>
      </c>
      <c r="AH1338" s="44" t="s">
        <v>43</v>
      </c>
      <c r="AI1338" s="128">
        <v>1006.0544685669602</v>
      </c>
      <c r="AJ1338" s="128">
        <v>34.0</v>
      </c>
      <c r="AK1338" s="128">
        <v>1006.0444685669602</v>
      </c>
      <c r="AL1338" s="44" t="s">
        <v>610</v>
      </c>
      <c r="AM1338" s="128">
        <v>1011.1737625101395</v>
      </c>
      <c r="AN1338" s="128">
        <v>20.0</v>
      </c>
      <c r="AO1338" s="128">
        <v>1006.8727399166207</v>
      </c>
      <c r="AP1338" s="128">
        <v>19.0</v>
      </c>
      <c r="AQ1338" s="128">
        <v>9.0</v>
      </c>
      <c r="AS1338" s="44" t="s">
        <v>231</v>
      </c>
      <c r="AT1338" s="44">
        <v>1337.0</v>
      </c>
      <c r="AU1338" s="44"/>
      <c r="AV1338" s="44" t="s">
        <v>125</v>
      </c>
      <c r="AW1338" s="145">
        <v>891.78</v>
      </c>
      <c r="AX1338" s="44">
        <v>19.0</v>
      </c>
      <c r="AY1338" s="145">
        <v>895.5</v>
      </c>
      <c r="AZ1338" s="93"/>
      <c r="BA1338" s="93"/>
      <c r="BB1338" s="155"/>
      <c r="BC1338" s="93"/>
      <c r="BD1338" s="44" t="s">
        <v>112</v>
      </c>
      <c r="BE1338" s="145">
        <v>939.8</v>
      </c>
      <c r="BF1338" s="44">
        <v>12.0</v>
      </c>
      <c r="BG1338" s="145">
        <v>932.4</v>
      </c>
      <c r="BH1338" s="93"/>
      <c r="BI1338" s="93"/>
      <c r="BJ1338" s="155"/>
      <c r="BK1338" s="93"/>
    </row>
    <row r="1339">
      <c r="A1339" s="166">
        <v>44876.111909722225</v>
      </c>
      <c r="B1339" s="44" t="s">
        <v>123</v>
      </c>
      <c r="C1339" s="128">
        <v>934.9659664101636</v>
      </c>
      <c r="D1339" s="128">
        <v>15.0</v>
      </c>
      <c r="E1339" s="128">
        <v>936.1272139649651</v>
      </c>
      <c r="F1339" s="44" t="s">
        <v>88</v>
      </c>
      <c r="G1339" s="128">
        <v>974.8266089946267</v>
      </c>
      <c r="H1339" s="128">
        <v>24.0</v>
      </c>
      <c r="I1339" s="128">
        <v>977.8050645445845</v>
      </c>
      <c r="J1339" s="44" t="s">
        <v>92</v>
      </c>
      <c r="K1339" s="128">
        <v>982.2850914443319</v>
      </c>
      <c r="L1339" s="128">
        <v>24.0</v>
      </c>
      <c r="M1339" s="128">
        <v>985.2226814246728</v>
      </c>
      <c r="N1339" s="44" t="s">
        <v>610</v>
      </c>
      <c r="O1339" s="128">
        <v>1006.8727399166207</v>
      </c>
      <c r="P1339" s="128">
        <v>28.0</v>
      </c>
      <c r="Q1339" s="128">
        <v>1010.6348667462023</v>
      </c>
      <c r="R1339" s="44" t="s">
        <v>47</v>
      </c>
      <c r="S1339" s="128">
        <v>1076.7643010073075</v>
      </c>
      <c r="T1339" s="128">
        <v>26.0</v>
      </c>
      <c r="U1339" s="128">
        <v>1079.9248810926256</v>
      </c>
      <c r="V1339" s="44" t="s">
        <v>125</v>
      </c>
      <c r="W1339" s="128">
        <v>895.5</v>
      </c>
      <c r="X1339" s="128">
        <v>14.0</v>
      </c>
      <c r="Y1339" s="128">
        <v>891.4951491510525</v>
      </c>
      <c r="Z1339" s="44" t="s">
        <v>617</v>
      </c>
      <c r="AA1339" s="128">
        <v>979.5399222237868</v>
      </c>
      <c r="AB1339" s="128">
        <v>23.0</v>
      </c>
      <c r="AC1339" s="128">
        <v>976.9852583917816</v>
      </c>
      <c r="AD1339" s="44" t="s">
        <v>95</v>
      </c>
      <c r="AE1339" s="128">
        <v>992.2923786602371</v>
      </c>
      <c r="AF1339" s="128">
        <v>23.0</v>
      </c>
      <c r="AG1339" s="128">
        <v>989.6779351859179</v>
      </c>
      <c r="AH1339" s="44" t="s">
        <v>105</v>
      </c>
      <c r="AI1339" s="128">
        <v>994.7721251185692</v>
      </c>
      <c r="AJ1339" s="128">
        <v>19.0</v>
      </c>
      <c r="AK1339" s="128">
        <v>991.2138914710622</v>
      </c>
      <c r="AL1339" s="44" t="s">
        <v>43</v>
      </c>
      <c r="AM1339" s="128">
        <v>1006.0444685669602</v>
      </c>
      <c r="AN1339" s="128">
        <v>29.0</v>
      </c>
      <c r="AO1339" s="128">
        <v>1004.7766603697391</v>
      </c>
      <c r="AP1339" s="128">
        <v>16.0</v>
      </c>
      <c r="AQ1339" s="128">
        <v>12.0</v>
      </c>
      <c r="AT1339" s="44">
        <v>1338.0</v>
      </c>
      <c r="AU1339" s="44"/>
      <c r="AW1339" s="93"/>
      <c r="AY1339" s="93"/>
      <c r="AZ1339" s="93"/>
      <c r="BA1339" s="93"/>
      <c r="BB1339" s="155"/>
      <c r="BC1339" s="93"/>
      <c r="BE1339" s="93"/>
      <c r="BG1339" s="93"/>
      <c r="BH1339" s="93"/>
      <c r="BI1339" s="93"/>
      <c r="BJ1339" s="155"/>
      <c r="BK1339" s="93"/>
    </row>
    <row r="1340">
      <c r="A1340" s="166">
        <v>44880.554460740736</v>
      </c>
      <c r="B1340" s="44" t="s">
        <v>620</v>
      </c>
      <c r="C1340" s="128">
        <v>1000.0</v>
      </c>
      <c r="D1340" s="128">
        <v>20.0</v>
      </c>
      <c r="E1340" s="128">
        <v>1001.9668580085673</v>
      </c>
      <c r="F1340" s="44" t="s">
        <v>610</v>
      </c>
      <c r="G1340" s="128">
        <v>1010.6348667462023</v>
      </c>
      <c r="H1340" s="128">
        <v>12.0</v>
      </c>
      <c r="I1340" s="128">
        <v>1011.472492264667</v>
      </c>
      <c r="J1340" s="44" t="s">
        <v>54</v>
      </c>
      <c r="K1340" s="128">
        <v>1035.7789987948445</v>
      </c>
      <c r="L1340" s="128">
        <v>22.0</v>
      </c>
      <c r="M1340" s="128">
        <v>1037.9745152678124</v>
      </c>
      <c r="N1340" s="44"/>
      <c r="O1340" s="128"/>
      <c r="P1340" s="128"/>
      <c r="Q1340" s="128"/>
      <c r="V1340" s="44" t="s">
        <v>112</v>
      </c>
      <c r="W1340" s="128">
        <v>932.4</v>
      </c>
      <c r="X1340" s="128">
        <v>19.0</v>
      </c>
      <c r="Y1340" s="128">
        <v>931.2078396967912</v>
      </c>
      <c r="Z1340" s="44" t="s">
        <v>123</v>
      </c>
      <c r="AA1340" s="128">
        <v>936.1272139649651</v>
      </c>
      <c r="AB1340" s="128">
        <v>5.0</v>
      </c>
      <c r="AC1340" s="128">
        <v>932.9767877717001</v>
      </c>
      <c r="AD1340" s="44" t="s">
        <v>117</v>
      </c>
      <c r="AE1340" s="128">
        <v>986.3786180544839</v>
      </c>
      <c r="AF1340" s="128">
        <v>24.0</v>
      </c>
      <c r="AG1340" s="128">
        <v>985.7212045509577</v>
      </c>
      <c r="AH1340" s="44"/>
      <c r="AI1340" s="128"/>
      <c r="AJ1340" s="128"/>
      <c r="AK1340" s="128"/>
      <c r="AP1340" s="128">
        <v>15.0</v>
      </c>
      <c r="AQ1340" s="128">
        <v>13.0</v>
      </c>
      <c r="AS1340" s="44" t="s">
        <v>229</v>
      </c>
      <c r="AT1340" s="44">
        <v>1339.0</v>
      </c>
      <c r="AU1340" s="44"/>
      <c r="AW1340" s="93"/>
      <c r="AY1340" s="93"/>
      <c r="AZ1340" s="93"/>
      <c r="BA1340" s="93"/>
      <c r="BB1340" s="155"/>
      <c r="BC1340" s="93"/>
      <c r="BE1340" s="93"/>
      <c r="BG1340" s="93"/>
      <c r="BH1340" s="93"/>
      <c r="BI1340" s="93"/>
      <c r="BJ1340" s="155"/>
      <c r="BK1340" s="93"/>
    </row>
    <row r="1341">
      <c r="A1341" s="166">
        <v>44880.722610439814</v>
      </c>
      <c r="B1341" s="44" t="s">
        <v>618</v>
      </c>
      <c r="C1341" s="128">
        <v>993.1488941578915</v>
      </c>
      <c r="D1341" s="128">
        <v>6.0</v>
      </c>
      <c r="E1341" s="128">
        <v>993.7340379557955</v>
      </c>
      <c r="F1341" s="44" t="s">
        <v>620</v>
      </c>
      <c r="G1341" s="128">
        <v>1001.9668580085673</v>
      </c>
      <c r="H1341" s="128">
        <v>25.0</v>
      </c>
      <c r="I1341" s="128">
        <v>1007.799495665297</v>
      </c>
      <c r="J1341" s="44" t="s">
        <v>610</v>
      </c>
      <c r="K1341" s="128">
        <v>1011.472492264667</v>
      </c>
      <c r="L1341" s="128">
        <v>17.0</v>
      </c>
      <c r="M1341" s="128">
        <v>1015.0547108100334</v>
      </c>
      <c r="N1341" s="44"/>
      <c r="O1341" s="128"/>
      <c r="P1341" s="128"/>
      <c r="Q1341" s="128"/>
      <c r="V1341" s="44" t="s">
        <v>617</v>
      </c>
      <c r="W1341" s="128">
        <v>976.9852583917816</v>
      </c>
      <c r="X1341" s="128">
        <v>10.0</v>
      </c>
      <c r="Y1341" s="128">
        <v>972.8782464204008</v>
      </c>
      <c r="Z1341" s="44" t="s">
        <v>117</v>
      </c>
      <c r="AA1341" s="128">
        <v>985.7212045509577</v>
      </c>
      <c r="AB1341" s="128">
        <v>13.0</v>
      </c>
      <c r="AC1341" s="128">
        <v>982.4167810316548</v>
      </c>
      <c r="AD1341" s="44" t="s">
        <v>54</v>
      </c>
      <c r="AE1341" s="128">
        <v>1037.9745152678124</v>
      </c>
      <c r="AF1341" s="128">
        <v>16.0</v>
      </c>
      <c r="AG1341" s="128">
        <v>1035.3859507584962</v>
      </c>
      <c r="AH1341" s="44"/>
      <c r="AI1341" s="128"/>
      <c r="AJ1341" s="128"/>
      <c r="AK1341" s="128"/>
      <c r="AP1341" s="128">
        <v>14.0</v>
      </c>
      <c r="AQ1341" s="128">
        <v>13.0</v>
      </c>
      <c r="AS1341" s="44" t="s">
        <v>244</v>
      </c>
      <c r="AT1341" s="44">
        <v>1340.0</v>
      </c>
      <c r="AU1341" s="44"/>
      <c r="AW1341" s="93"/>
      <c r="AY1341" s="93"/>
      <c r="AZ1341" s="93"/>
      <c r="BA1341" s="93"/>
      <c r="BB1341" s="155"/>
      <c r="BC1341" s="93"/>
      <c r="BE1341" s="93"/>
      <c r="BG1341" s="93"/>
      <c r="BH1341" s="93"/>
      <c r="BI1341" s="93"/>
      <c r="BJ1341" s="155"/>
      <c r="BK1341" s="93"/>
    </row>
    <row r="1342">
      <c r="A1342" s="166">
        <v>44880.91918351852</v>
      </c>
      <c r="B1342" s="44" t="s">
        <v>110</v>
      </c>
      <c r="C1342" s="128">
        <v>968.8253106742204</v>
      </c>
      <c r="D1342" s="128">
        <v>19.0</v>
      </c>
      <c r="E1342" s="128">
        <v>972.8695943755803</v>
      </c>
      <c r="F1342" s="44" t="s">
        <v>88</v>
      </c>
      <c r="G1342" s="128">
        <v>977.8050645445845</v>
      </c>
      <c r="H1342" s="128">
        <v>18.0</v>
      </c>
      <c r="I1342" s="128">
        <v>981.3722403763524</v>
      </c>
      <c r="J1342" s="44" t="s">
        <v>92</v>
      </c>
      <c r="K1342" s="128">
        <v>985.2226814246728</v>
      </c>
      <c r="L1342" s="128">
        <v>18.0</v>
      </c>
      <c r="M1342" s="128">
        <v>988.7291643080669</v>
      </c>
      <c r="N1342" s="44" t="s">
        <v>23</v>
      </c>
      <c r="O1342" s="128">
        <v>1141.2402737213697</v>
      </c>
      <c r="P1342" s="128">
        <v>30.0</v>
      </c>
      <c r="Q1342" s="128">
        <v>1149.122331304848</v>
      </c>
      <c r="V1342" s="44" t="s">
        <v>112</v>
      </c>
      <c r="W1342" s="128">
        <v>931.2078396967912</v>
      </c>
      <c r="X1342" s="128">
        <v>16.0</v>
      </c>
      <c r="Y1342" s="128">
        <v>925.7024438908043</v>
      </c>
      <c r="Z1342" s="44" t="s">
        <v>123</v>
      </c>
      <c r="AA1342" s="128">
        <v>932.9767877717001</v>
      </c>
      <c r="AB1342" s="128">
        <v>17.0</v>
      </c>
      <c r="AC1342" s="128">
        <v>927.8456278830781</v>
      </c>
      <c r="AD1342" s="44" t="s">
        <v>47</v>
      </c>
      <c r="AE1342" s="128">
        <v>1079.9248810926256</v>
      </c>
      <c r="AF1342" s="128">
        <v>20.0</v>
      </c>
      <c r="AG1342" s="128">
        <v>1075.1563622096432</v>
      </c>
      <c r="AH1342" s="44" t="s">
        <v>27</v>
      </c>
      <c r="AI1342" s="128">
        <v>1107.9607777638098</v>
      </c>
      <c r="AJ1342" s="128">
        <v>23.0</v>
      </c>
      <c r="AK1342" s="128">
        <v>1104.365852341401</v>
      </c>
      <c r="AP1342" s="128">
        <v>18.0</v>
      </c>
      <c r="AQ1342" s="128">
        <v>10.0</v>
      </c>
      <c r="AS1342" s="44" t="s">
        <v>229</v>
      </c>
      <c r="AT1342" s="44">
        <v>1341.0</v>
      </c>
      <c r="AU1342" s="44"/>
      <c r="AW1342" s="93"/>
      <c r="AY1342" s="93"/>
      <c r="AZ1342" s="93"/>
      <c r="BA1342" s="93"/>
      <c r="BB1342" s="155"/>
      <c r="BC1342" s="93"/>
      <c r="BE1342" s="93"/>
      <c r="BG1342" s="93"/>
      <c r="BH1342" s="93"/>
      <c r="BI1342" s="93"/>
      <c r="BJ1342" s="155"/>
      <c r="BK1342" s="93"/>
    </row>
    <row r="1343">
      <c r="A1343" s="166">
        <v>44880.9535865625</v>
      </c>
      <c r="B1343" s="44" t="s">
        <v>112</v>
      </c>
      <c r="C1343" s="128">
        <v>925.7024438908043</v>
      </c>
      <c r="D1343" s="128">
        <v>15.0</v>
      </c>
      <c r="E1343" s="128">
        <v>922.4778642839301</v>
      </c>
      <c r="F1343" s="44" t="s">
        <v>110</v>
      </c>
      <c r="G1343" s="128">
        <v>972.8695943755803</v>
      </c>
      <c r="H1343" s="128">
        <v>31.0</v>
      </c>
      <c r="I1343" s="128">
        <v>972.7087329693308</v>
      </c>
      <c r="J1343" s="44" t="s">
        <v>47</v>
      </c>
      <c r="K1343" s="128">
        <v>1075.1563622096432</v>
      </c>
      <c r="L1343" s="128">
        <v>14.0</v>
      </c>
      <c r="M1343" s="128">
        <v>1071.2288610768667</v>
      </c>
      <c r="N1343" s="44" t="s">
        <v>27</v>
      </c>
      <c r="O1343" s="128">
        <v>1104.365852341401</v>
      </c>
      <c r="P1343" s="128">
        <v>20.0</v>
      </c>
      <c r="Q1343" s="128">
        <v>1101.6787944873013</v>
      </c>
      <c r="V1343" s="44" t="s">
        <v>107</v>
      </c>
      <c r="W1343" s="128">
        <v>956.6948075618659</v>
      </c>
      <c r="X1343" s="128">
        <v>28.0</v>
      </c>
      <c r="Y1343" s="128">
        <v>960.7033336590707</v>
      </c>
      <c r="Z1343" s="44" t="s">
        <v>88</v>
      </c>
      <c r="AA1343" s="128">
        <v>981.3722403763524</v>
      </c>
      <c r="AB1343" s="128">
        <v>12.0</v>
      </c>
      <c r="AC1343" s="128">
        <v>981.9236205724445</v>
      </c>
      <c r="AD1343" s="44" t="s">
        <v>92</v>
      </c>
      <c r="AE1343" s="128">
        <v>988.7291643080669</v>
      </c>
      <c r="AF1343" s="128">
        <v>14.0</v>
      </c>
      <c r="AG1343" s="128">
        <v>989.6668527645705</v>
      </c>
      <c r="AH1343" s="44" t="s">
        <v>23</v>
      </c>
      <c r="AI1343" s="128">
        <v>1149.122331304848</v>
      </c>
      <c r="AJ1343" s="128">
        <v>32.0</v>
      </c>
      <c r="AK1343" s="128">
        <v>1153.6247365550473</v>
      </c>
      <c r="AP1343" s="128">
        <v>13.0</v>
      </c>
      <c r="AQ1343" s="128">
        <v>15.0</v>
      </c>
      <c r="AS1343" s="44" t="s">
        <v>266</v>
      </c>
      <c r="AT1343" s="44">
        <v>1342.0</v>
      </c>
      <c r="AU1343" s="44"/>
      <c r="AW1343" s="93"/>
      <c r="AY1343" s="93"/>
      <c r="AZ1343" s="93"/>
      <c r="BA1343" s="93"/>
      <c r="BB1343" s="155"/>
      <c r="BC1343" s="93"/>
      <c r="BE1343" s="93"/>
      <c r="BG1343" s="93"/>
      <c r="BH1343" s="93"/>
      <c r="BI1343" s="93"/>
      <c r="BJ1343" s="155"/>
      <c r="BK1343" s="93"/>
    </row>
    <row r="1344">
      <c r="A1344" s="166">
        <v>44881.00066709491</v>
      </c>
      <c r="B1344" s="44" t="s">
        <v>125</v>
      </c>
      <c r="C1344" s="128">
        <v>891.4951491510525</v>
      </c>
      <c r="D1344" s="128">
        <v>13.0</v>
      </c>
      <c r="E1344" s="128">
        <v>886.7107568050078</v>
      </c>
      <c r="F1344" s="44" t="s">
        <v>105</v>
      </c>
      <c r="G1344" s="128">
        <v>991.2138914710622</v>
      </c>
      <c r="H1344" s="128">
        <v>15.0</v>
      </c>
      <c r="I1344" s="128">
        <v>986.2270717369204</v>
      </c>
      <c r="J1344" s="44" t="s">
        <v>54</v>
      </c>
      <c r="K1344" s="128">
        <v>1035.3859507584962</v>
      </c>
      <c r="L1344" s="128">
        <v>22.0</v>
      </c>
      <c r="M1344" s="128">
        <v>1032.5732563898305</v>
      </c>
      <c r="N1344" s="44" t="s">
        <v>47</v>
      </c>
      <c r="O1344" s="128">
        <v>1071.2288610768667</v>
      </c>
      <c r="P1344" s="128">
        <v>19.0</v>
      </c>
      <c r="Q1344" s="128">
        <v>1067.3621870009956</v>
      </c>
      <c r="R1344" s="44" t="s">
        <v>27</v>
      </c>
      <c r="S1344" s="128">
        <v>1101.6787944873013</v>
      </c>
      <c r="T1344" s="128">
        <v>20.0</v>
      </c>
      <c r="U1344" s="128">
        <v>1098.1293750120244</v>
      </c>
      <c r="V1344" s="44" t="s">
        <v>107</v>
      </c>
      <c r="W1344" s="128">
        <v>960.7033336590707</v>
      </c>
      <c r="X1344" s="128">
        <v>21.0</v>
      </c>
      <c r="Y1344" s="128">
        <v>964.7420818771224</v>
      </c>
      <c r="Z1344" s="44" t="s">
        <v>88</v>
      </c>
      <c r="AA1344" s="128">
        <v>981.9236205724445</v>
      </c>
      <c r="AB1344" s="128">
        <v>22.0</v>
      </c>
      <c r="AC1344" s="128">
        <v>986.129184030684</v>
      </c>
      <c r="AD1344" s="44" t="s">
        <v>92</v>
      </c>
      <c r="AE1344" s="128">
        <v>989.6668527645705</v>
      </c>
      <c r="AF1344" s="128">
        <v>23.0</v>
      </c>
      <c r="AG1344" s="128">
        <v>994.1549821748816</v>
      </c>
      <c r="AH1344" s="44" t="s">
        <v>43</v>
      </c>
      <c r="AI1344" s="128">
        <v>1004.7766603697391</v>
      </c>
      <c r="AJ1344" s="128">
        <v>14.0</v>
      </c>
      <c r="AK1344" s="128">
        <v>1006.1805063271654</v>
      </c>
      <c r="AL1344" s="44" t="s">
        <v>23</v>
      </c>
      <c r="AM1344" s="128">
        <v>1153.6247365550473</v>
      </c>
      <c r="AN1344" s="128">
        <v>28.0</v>
      </c>
      <c r="AO1344" s="128">
        <v>1159.4884495110189</v>
      </c>
      <c r="AP1344" s="128">
        <v>10.0</v>
      </c>
      <c r="AQ1344" s="128">
        <v>18.0</v>
      </c>
      <c r="AT1344" s="44">
        <v>1343.0</v>
      </c>
      <c r="AU1344" s="44"/>
      <c r="AW1344" s="93"/>
      <c r="AY1344" s="93"/>
      <c r="AZ1344" s="93"/>
      <c r="BA1344" s="93"/>
      <c r="BB1344" s="155"/>
      <c r="BC1344" s="93"/>
      <c r="BE1344" s="93"/>
      <c r="BG1344" s="93"/>
      <c r="BH1344" s="93"/>
      <c r="BI1344" s="93"/>
      <c r="BJ1344" s="155"/>
      <c r="BK1344" s="93"/>
    </row>
    <row r="1345">
      <c r="A1345" s="166">
        <v>44881.051249537035</v>
      </c>
      <c r="B1345" s="44" t="s">
        <v>125</v>
      </c>
      <c r="C1345" s="128">
        <v>886.7107568050078</v>
      </c>
      <c r="D1345" s="128">
        <v>13.0</v>
      </c>
      <c r="E1345" s="128">
        <v>890.5919715846138</v>
      </c>
      <c r="F1345" s="44" t="s">
        <v>112</v>
      </c>
      <c r="G1345" s="128">
        <v>922.4778642839301</v>
      </c>
      <c r="H1345" s="128">
        <v>14.0</v>
      </c>
      <c r="I1345" s="128">
        <v>926.1786771517571</v>
      </c>
      <c r="J1345" s="44" t="s">
        <v>34</v>
      </c>
      <c r="K1345" s="128">
        <v>1056.0516283947775</v>
      </c>
      <c r="L1345" s="128">
        <v>31.0</v>
      </c>
      <c r="M1345" s="128">
        <v>1067.03785219669</v>
      </c>
      <c r="N1345" s="44" t="s">
        <v>27</v>
      </c>
      <c r="O1345" s="128">
        <v>1098.1293750120244</v>
      </c>
      <c r="P1345" s="128">
        <v>20.0</v>
      </c>
      <c r="Q1345" s="128">
        <v>1103.561123562679</v>
      </c>
      <c r="V1345" s="44" t="s">
        <v>617</v>
      </c>
      <c r="W1345" s="128">
        <v>972.8782464204008</v>
      </c>
      <c r="X1345" s="128">
        <v>8.0</v>
      </c>
      <c r="Y1345" s="128">
        <v>961.8705023778801</v>
      </c>
      <c r="Z1345" s="44" t="s">
        <v>43</v>
      </c>
      <c r="AA1345" s="128">
        <v>1006.1805063271654</v>
      </c>
      <c r="AB1345" s="128">
        <v>25.0</v>
      </c>
      <c r="AC1345" s="128">
        <v>1003.4095810171947</v>
      </c>
      <c r="AD1345" s="44" t="s">
        <v>610</v>
      </c>
      <c r="AE1345" s="128">
        <v>1015.0547108100334</v>
      </c>
      <c r="AF1345" s="128">
        <v>13.0</v>
      </c>
      <c r="AG1345" s="128">
        <v>1006.2332372733432</v>
      </c>
      <c r="AH1345" s="44" t="s">
        <v>54</v>
      </c>
      <c r="AI1345" s="128">
        <v>1032.5732563898305</v>
      </c>
      <c r="AJ1345" s="128">
        <v>28.0</v>
      </c>
      <c r="AK1345" s="128">
        <v>1031.173399279012</v>
      </c>
      <c r="AP1345" s="128">
        <v>16.0</v>
      </c>
      <c r="AQ1345" s="128">
        <v>12.0</v>
      </c>
      <c r="AT1345" s="44">
        <v>1344.0</v>
      </c>
      <c r="AU1345" s="44"/>
      <c r="AW1345" s="93"/>
      <c r="AY1345" s="93"/>
      <c r="AZ1345" s="93"/>
      <c r="BA1345" s="93"/>
      <c r="BB1345" s="155"/>
      <c r="BC1345" s="93"/>
      <c r="BE1345" s="93"/>
      <c r="BG1345" s="93"/>
      <c r="BH1345" s="93"/>
      <c r="BI1345" s="93"/>
      <c r="BJ1345" s="155"/>
      <c r="BK1345" s="93"/>
    </row>
    <row r="1346">
      <c r="A1346" s="166">
        <v>44881.96110395833</v>
      </c>
      <c r="B1346" s="44" t="s">
        <v>107</v>
      </c>
      <c r="C1346" s="128">
        <v>964.7420818771224</v>
      </c>
      <c r="D1346" s="128">
        <v>11.0</v>
      </c>
      <c r="E1346" s="128">
        <v>948.597282692762</v>
      </c>
      <c r="F1346" s="44" t="s">
        <v>92</v>
      </c>
      <c r="G1346" s="128">
        <v>994.1549821748816</v>
      </c>
      <c r="H1346" s="128">
        <v>10.0</v>
      </c>
      <c r="I1346" s="128">
        <v>976.4787743627943</v>
      </c>
      <c r="J1346" s="44" t="s">
        <v>47</v>
      </c>
      <c r="K1346" s="128">
        <v>1067.3621870009956</v>
      </c>
      <c r="L1346" s="128">
        <v>22.0</v>
      </c>
      <c r="M1346" s="128">
        <v>1062.1831939974434</v>
      </c>
      <c r="N1346" s="44"/>
      <c r="O1346" s="128"/>
      <c r="P1346" s="128"/>
      <c r="Q1346" s="128"/>
      <c r="V1346" s="44" t="s">
        <v>125</v>
      </c>
      <c r="W1346" s="128">
        <v>890.5919715846138</v>
      </c>
      <c r="X1346" s="128">
        <v>17.0</v>
      </c>
      <c r="Y1346" s="128">
        <v>902.4707173513095</v>
      </c>
      <c r="Z1346" s="44" t="s">
        <v>88</v>
      </c>
      <c r="AA1346" s="128">
        <v>986.129184030684</v>
      </c>
      <c r="AB1346" s="128">
        <v>14.0</v>
      </c>
      <c r="AC1346" s="128">
        <v>991.5215917763401</v>
      </c>
      <c r="AD1346" s="44" t="s">
        <v>23</v>
      </c>
      <c r="AE1346" s="128">
        <v>1159.4884495110189</v>
      </c>
      <c r="AF1346" s="128">
        <v>30.0</v>
      </c>
      <c r="AG1346" s="128">
        <v>1181.217295998667</v>
      </c>
      <c r="AH1346" s="44"/>
      <c r="AI1346" s="128"/>
      <c r="AJ1346" s="128"/>
      <c r="AK1346" s="128"/>
      <c r="AP1346" s="128">
        <v>9.0</v>
      </c>
      <c r="AQ1346" s="128">
        <v>19.0</v>
      </c>
      <c r="AS1346" s="44" t="s">
        <v>229</v>
      </c>
      <c r="AT1346" s="44">
        <v>1345.0</v>
      </c>
      <c r="AU1346" s="44"/>
      <c r="AW1346" s="93"/>
      <c r="AY1346" s="93"/>
      <c r="AZ1346" s="93"/>
      <c r="BA1346" s="93"/>
      <c r="BB1346" s="155"/>
      <c r="BC1346" s="93"/>
      <c r="BE1346" s="93"/>
      <c r="BG1346" s="93"/>
      <c r="BH1346" s="93"/>
      <c r="BI1346" s="93"/>
      <c r="BJ1346" s="155"/>
      <c r="BK1346" s="93"/>
    </row>
    <row r="1347">
      <c r="A1347" s="166">
        <v>44882.00914473379</v>
      </c>
      <c r="B1347" s="44" t="s">
        <v>125</v>
      </c>
      <c r="C1347" s="128">
        <v>902.4707173513095</v>
      </c>
      <c r="D1347" s="128">
        <v>18.0</v>
      </c>
      <c r="E1347" s="128">
        <v>905.7314449348922</v>
      </c>
      <c r="F1347" s="44" t="s">
        <v>107</v>
      </c>
      <c r="G1347" s="128">
        <v>948.597282692762</v>
      </c>
      <c r="H1347" s="128">
        <v>22.0</v>
      </c>
      <c r="I1347" s="128">
        <v>952.67767237045</v>
      </c>
      <c r="J1347" s="44" t="s">
        <v>43</v>
      </c>
      <c r="K1347" s="128">
        <v>1003.4095810171947</v>
      </c>
      <c r="L1347" s="128">
        <v>14.0</v>
      </c>
      <c r="M1347" s="128">
        <v>1004.4340237054051</v>
      </c>
      <c r="N1347" s="44" t="s">
        <v>34</v>
      </c>
      <c r="O1347" s="128">
        <v>1067.03785219669</v>
      </c>
      <c r="P1347" s="128">
        <v>32.0</v>
      </c>
      <c r="Q1347" s="128">
        <v>1073.8744620573736</v>
      </c>
      <c r="R1347" s="44" t="s">
        <v>23</v>
      </c>
      <c r="S1347" s="128">
        <v>1181.217295998667</v>
      </c>
      <c r="T1347" s="128">
        <v>26.0</v>
      </c>
      <c r="U1347" s="128">
        <v>1186.015126188502</v>
      </c>
      <c r="V1347" s="44" t="s">
        <v>110</v>
      </c>
      <c r="W1347" s="128">
        <v>972.7087329693308</v>
      </c>
      <c r="X1347" s="128">
        <v>21.0</v>
      </c>
      <c r="Y1347" s="128">
        <v>968.9435447050807</v>
      </c>
      <c r="Z1347" s="44" t="s">
        <v>92</v>
      </c>
      <c r="AA1347" s="128">
        <v>976.4787743627943</v>
      </c>
      <c r="AB1347" s="128">
        <v>22.0</v>
      </c>
      <c r="AC1347" s="128">
        <v>973.0222887199642</v>
      </c>
      <c r="AD1347" s="44" t="s">
        <v>88</v>
      </c>
      <c r="AE1347" s="128">
        <v>991.5215917763401</v>
      </c>
      <c r="AF1347" s="128">
        <v>15.0</v>
      </c>
      <c r="AG1347" s="128">
        <v>985.6437505697363</v>
      </c>
      <c r="AH1347" s="44" t="s">
        <v>47</v>
      </c>
      <c r="AI1347" s="128">
        <v>1062.1831939974434</v>
      </c>
      <c r="AJ1347" s="128">
        <v>20.0</v>
      </c>
      <c r="AK1347" s="128">
        <v>1057.7495718801495</v>
      </c>
      <c r="AL1347" s="44" t="s">
        <v>27</v>
      </c>
      <c r="AM1347" s="128">
        <v>1103.561123562679</v>
      </c>
      <c r="AN1347" s="128">
        <v>26.0</v>
      </c>
      <c r="AO1347" s="128">
        <v>1101.0942607936568</v>
      </c>
      <c r="AP1347" s="128">
        <v>16.0</v>
      </c>
      <c r="AQ1347" s="128">
        <v>12.0</v>
      </c>
      <c r="AS1347" s="44" t="s">
        <v>266</v>
      </c>
      <c r="AT1347" s="44">
        <v>1346.0</v>
      </c>
      <c r="AU1347" s="44"/>
      <c r="AV1347" s="44" t="s">
        <v>112</v>
      </c>
      <c r="AW1347" s="145">
        <v>926.18</v>
      </c>
      <c r="AX1347" s="44">
        <v>19.0</v>
      </c>
      <c r="AY1347" s="145">
        <v>929.88</v>
      </c>
      <c r="AZ1347" s="93"/>
      <c r="BA1347" s="93"/>
      <c r="BB1347" s="155"/>
      <c r="BC1347" s="93"/>
      <c r="BD1347" s="44" t="s">
        <v>119</v>
      </c>
      <c r="BE1347" s="169">
        <f>992.88+7+0.12</f>
        <v>1000</v>
      </c>
      <c r="BF1347" s="44">
        <v>11.0</v>
      </c>
      <c r="BG1347" s="145">
        <v>992.88</v>
      </c>
      <c r="BH1347" s="93"/>
      <c r="BI1347" s="93"/>
      <c r="BJ1347" s="155"/>
      <c r="BK1347" s="93"/>
    </row>
    <row r="1348">
      <c r="A1348" s="166">
        <v>44882.05138204861</v>
      </c>
      <c r="B1348" s="44" t="s">
        <v>125</v>
      </c>
      <c r="C1348" s="128">
        <v>905.7314449348922</v>
      </c>
      <c r="D1348" s="128">
        <v>12.0</v>
      </c>
      <c r="E1348" s="128">
        <v>907.8664449532977</v>
      </c>
      <c r="F1348" s="44" t="s">
        <v>119</v>
      </c>
      <c r="G1348" s="128">
        <v>992.88</v>
      </c>
      <c r="H1348" s="128">
        <v>16.0</v>
      </c>
      <c r="I1348" s="128">
        <v>995.5831529697028</v>
      </c>
      <c r="J1348" s="44" t="s">
        <v>43</v>
      </c>
      <c r="K1348" s="128">
        <v>1004.4340237054051</v>
      </c>
      <c r="L1348" s="128">
        <v>25.0</v>
      </c>
      <c r="M1348" s="128">
        <v>1009.5958707172967</v>
      </c>
      <c r="N1348" s="44"/>
      <c r="O1348" s="128"/>
      <c r="P1348" s="128"/>
      <c r="Q1348" s="128"/>
      <c r="V1348" s="44" t="s">
        <v>112</v>
      </c>
      <c r="W1348" s="128">
        <v>928.875627883078</v>
      </c>
      <c r="X1348" s="128">
        <v>22.0</v>
      </c>
      <c r="Y1348" s="128">
        <v>926.7184219334197</v>
      </c>
      <c r="Z1348" s="44" t="s">
        <v>105</v>
      </c>
      <c r="AA1348" s="128">
        <v>986.2270717369204</v>
      </c>
      <c r="AB1348" s="128">
        <v>18.0</v>
      </c>
      <c r="AC1348" s="128">
        <v>982.6112765506012</v>
      </c>
      <c r="AD1348" s="44" t="s">
        <v>621</v>
      </c>
      <c r="AE1348" s="128">
        <v>1000.0</v>
      </c>
      <c r="AF1348" s="128">
        <v>16.0</v>
      </c>
      <c r="AG1348" s="128">
        <v>995.7730011359774</v>
      </c>
      <c r="AH1348" s="44"/>
      <c r="AI1348" s="128"/>
      <c r="AJ1348" s="128"/>
      <c r="AK1348" s="128"/>
      <c r="AP1348" s="128">
        <v>15.0</v>
      </c>
      <c r="AQ1348" s="128">
        <v>13.0</v>
      </c>
      <c r="AS1348" s="44" t="s">
        <v>337</v>
      </c>
      <c r="AT1348" s="44">
        <v>1347.0</v>
      </c>
      <c r="AU1348" s="44"/>
      <c r="AW1348" s="93"/>
      <c r="AY1348" s="93"/>
      <c r="AZ1348" s="93"/>
      <c r="BA1348" s="93"/>
      <c r="BB1348" s="155"/>
      <c r="BC1348" s="93"/>
      <c r="BE1348" s="93"/>
      <c r="BG1348" s="93"/>
      <c r="BH1348" s="93"/>
      <c r="BI1348" s="93"/>
      <c r="BJ1348" s="155"/>
      <c r="BK1348" s="93"/>
    </row>
    <row r="1349">
      <c r="A1349" s="166">
        <v>44882.69089787037</v>
      </c>
      <c r="B1349" s="44" t="s">
        <v>123</v>
      </c>
      <c r="C1349" s="128">
        <v>927.8456278830781</v>
      </c>
      <c r="D1349" s="128">
        <v>9.0</v>
      </c>
      <c r="E1349" s="128">
        <v>912.9053078300794</v>
      </c>
      <c r="F1349" s="44" t="s">
        <v>117</v>
      </c>
      <c r="G1349" s="128">
        <v>982.4167810316548</v>
      </c>
      <c r="H1349" s="128">
        <v>26.0</v>
      </c>
      <c r="I1349" s="128">
        <v>979.3571010846534</v>
      </c>
      <c r="J1349" s="44"/>
      <c r="K1349" s="128"/>
      <c r="L1349" s="128"/>
      <c r="M1349" s="128"/>
      <c r="N1349" s="44"/>
      <c r="O1349" s="128"/>
      <c r="P1349" s="128"/>
      <c r="Q1349" s="128"/>
      <c r="V1349" s="44" t="s">
        <v>100</v>
      </c>
      <c r="W1349" s="128">
        <v>928.29</v>
      </c>
      <c r="X1349" s="128">
        <v>17.0</v>
      </c>
      <c r="Y1349" s="128">
        <v>936.0813958465438</v>
      </c>
      <c r="Z1349" s="44" t="s">
        <v>38</v>
      </c>
      <c r="AA1349" s="128">
        <v>1020.3084010887582</v>
      </c>
      <c r="AB1349" s="128">
        <v>22.0</v>
      </c>
      <c r="AC1349" s="128">
        <v>1030.5170052422143</v>
      </c>
      <c r="AD1349" s="44"/>
      <c r="AE1349" s="128"/>
      <c r="AF1349" s="128"/>
      <c r="AG1349" s="128"/>
      <c r="AH1349" s="44"/>
      <c r="AI1349" s="128"/>
      <c r="AJ1349" s="128"/>
      <c r="AK1349" s="128"/>
      <c r="AP1349" s="128">
        <v>12.0</v>
      </c>
      <c r="AQ1349" s="128">
        <v>15.0</v>
      </c>
      <c r="AS1349" s="44" t="s">
        <v>229</v>
      </c>
      <c r="AT1349" s="44">
        <v>1348.0</v>
      </c>
      <c r="AU1349" s="44"/>
      <c r="AW1349" s="93"/>
      <c r="AY1349" s="93"/>
      <c r="AZ1349" s="93"/>
      <c r="BA1349" s="93"/>
      <c r="BB1349" s="155"/>
      <c r="BC1349" s="93"/>
      <c r="BE1349" s="93"/>
      <c r="BG1349" s="93"/>
      <c r="BH1349" s="93"/>
      <c r="BI1349" s="93"/>
      <c r="BJ1349" s="155"/>
      <c r="BK1349" s="93"/>
    </row>
    <row r="1350">
      <c r="A1350" s="166">
        <v>44884.734149780095</v>
      </c>
      <c r="B1350" s="44" t="s">
        <v>125</v>
      </c>
      <c r="C1350" s="128">
        <v>907.8664449532977</v>
      </c>
      <c r="D1350" s="128">
        <v>14.0</v>
      </c>
      <c r="E1350" s="128">
        <v>902.3546801385544</v>
      </c>
      <c r="F1350" s="44" t="s">
        <v>123</v>
      </c>
      <c r="G1350" s="128">
        <v>912.9053078300794</v>
      </c>
      <c r="H1350" s="128">
        <v>13.0</v>
      </c>
      <c r="I1350" s="128">
        <v>906.9182063104987</v>
      </c>
      <c r="J1350" s="44" t="s">
        <v>108</v>
      </c>
      <c r="K1350" s="128">
        <v>978.9467717460356</v>
      </c>
      <c r="L1350" s="128">
        <v>6.0</v>
      </c>
      <c r="M1350" s="128">
        <v>969.4485953805238</v>
      </c>
      <c r="N1350" s="44" t="s">
        <v>27</v>
      </c>
      <c r="O1350" s="128">
        <v>1101.0942607936568</v>
      </c>
      <c r="P1350" s="128">
        <v>32.0</v>
      </c>
      <c r="Q1350" s="128">
        <v>1101.0842607936568</v>
      </c>
      <c r="V1350" s="44" t="s">
        <v>112</v>
      </c>
      <c r="W1350" s="128">
        <v>926.7184219334197</v>
      </c>
      <c r="X1350" s="128">
        <v>23.0</v>
      </c>
      <c r="Y1350" s="128">
        <v>933.7035275017114</v>
      </c>
      <c r="Z1350" s="44" t="s">
        <v>110</v>
      </c>
      <c r="AA1350" s="128">
        <v>968.9435447050807</v>
      </c>
      <c r="AB1350" s="128">
        <v>12.0</v>
      </c>
      <c r="AC1350" s="128">
        <v>970.9114447147613</v>
      </c>
      <c r="AD1350" s="44" t="s">
        <v>92</v>
      </c>
      <c r="AE1350" s="128">
        <v>973.0222887199642</v>
      </c>
      <c r="AF1350" s="128">
        <v>17.0</v>
      </c>
      <c r="AG1350" s="128">
        <v>977.0400690695814</v>
      </c>
      <c r="AH1350" s="44" t="s">
        <v>38</v>
      </c>
      <c r="AI1350" s="128">
        <v>1030.5170052422143</v>
      </c>
      <c r="AJ1350" s="128">
        <v>25.0</v>
      </c>
      <c r="AK1350" s="128">
        <v>1037.5462193146248</v>
      </c>
      <c r="AP1350" s="128">
        <v>12.0</v>
      </c>
      <c r="AQ1350" s="128">
        <v>16.0</v>
      </c>
      <c r="AT1350" s="44">
        <v>1349.0</v>
      </c>
      <c r="AU1350" s="44"/>
      <c r="AW1350" s="93"/>
      <c r="AY1350" s="93"/>
      <c r="AZ1350" s="93"/>
      <c r="BA1350" s="93"/>
      <c r="BB1350" s="155"/>
      <c r="BC1350" s="93"/>
      <c r="BE1350" s="93"/>
      <c r="BG1350" s="93"/>
      <c r="BH1350" s="93"/>
      <c r="BI1350" s="93"/>
      <c r="BJ1350" s="155"/>
      <c r="BK1350" s="93"/>
    </row>
    <row r="1351">
      <c r="A1351" s="166">
        <v>44884.76956059028</v>
      </c>
      <c r="B1351" s="44" t="s">
        <v>125</v>
      </c>
      <c r="C1351" s="128">
        <v>902.3546801385544</v>
      </c>
      <c r="D1351" s="128">
        <v>11.0</v>
      </c>
      <c r="E1351" s="128">
        <v>903.4063351025048</v>
      </c>
      <c r="F1351" s="44" t="s">
        <v>112</v>
      </c>
      <c r="G1351" s="128">
        <v>933.7035275017114</v>
      </c>
      <c r="H1351" s="128">
        <v>22.0</v>
      </c>
      <c r="I1351" s="128">
        <v>938.6667988718756</v>
      </c>
      <c r="J1351" s="44" t="s">
        <v>108</v>
      </c>
      <c r="K1351" s="128">
        <v>969.4485953805238</v>
      </c>
      <c r="L1351" s="128">
        <v>12.0</v>
      </c>
      <c r="M1351" s="128">
        <v>970.0631424781783</v>
      </c>
      <c r="N1351" s="44" t="s">
        <v>27</v>
      </c>
      <c r="O1351" s="128">
        <v>1101.0842607936568</v>
      </c>
      <c r="P1351" s="128">
        <v>43.0</v>
      </c>
      <c r="Q1351" s="128">
        <v>1113.4547873618876</v>
      </c>
      <c r="V1351" s="44" t="s">
        <v>123</v>
      </c>
      <c r="W1351" s="128">
        <v>906.9182063104987</v>
      </c>
      <c r="X1351" s="128">
        <v>18.0</v>
      </c>
      <c r="Y1351" s="128">
        <v>903.5502571467715</v>
      </c>
      <c r="Z1351" s="44" t="s">
        <v>110</v>
      </c>
      <c r="AA1351" s="128">
        <v>970.9114447147613</v>
      </c>
      <c r="AB1351" s="128">
        <v>10.0</v>
      </c>
      <c r="AC1351" s="128">
        <v>963.8279214680925</v>
      </c>
      <c r="AD1351" s="44" t="s">
        <v>92</v>
      </c>
      <c r="AE1351" s="128">
        <v>977.0400690695814</v>
      </c>
      <c r="AF1351" s="128">
        <v>17.0</v>
      </c>
      <c r="AG1351" s="128">
        <v>972.689589226329</v>
      </c>
      <c r="AH1351" s="44" t="s">
        <v>38</v>
      </c>
      <c r="AI1351" s="128">
        <v>1037.5462193146248</v>
      </c>
      <c r="AJ1351" s="128">
        <v>18.0</v>
      </c>
      <c r="AK1351" s="128">
        <v>1033.348171568273</v>
      </c>
      <c r="AP1351" s="128">
        <v>18.0</v>
      </c>
      <c r="AQ1351" s="128">
        <v>10.0</v>
      </c>
      <c r="AT1351" s="44">
        <v>1350.0</v>
      </c>
      <c r="AU1351" s="44"/>
      <c r="AW1351" s="93"/>
      <c r="AY1351" s="93"/>
      <c r="AZ1351" s="93"/>
      <c r="BA1351" s="93"/>
      <c r="BB1351" s="155"/>
      <c r="BC1351" s="93"/>
      <c r="BE1351" s="93"/>
      <c r="BG1351" s="93"/>
      <c r="BH1351" s="93"/>
      <c r="BI1351" s="93"/>
      <c r="BJ1351" s="155"/>
      <c r="BK1351" s="93"/>
    </row>
    <row r="1352">
      <c r="A1352" s="166">
        <v>44885.04080988426</v>
      </c>
      <c r="B1352" s="44" t="s">
        <v>125</v>
      </c>
      <c r="C1352" s="128">
        <v>903.4063351025048</v>
      </c>
      <c r="D1352" s="128">
        <v>9.0</v>
      </c>
      <c r="E1352" s="128">
        <v>905.6068443406541</v>
      </c>
      <c r="F1352" s="44" t="s">
        <v>108</v>
      </c>
      <c r="G1352" s="128">
        <v>970.0631424781783</v>
      </c>
      <c r="H1352" s="128">
        <v>22.0</v>
      </c>
      <c r="I1352" s="128">
        <v>976.7331566903551</v>
      </c>
      <c r="J1352" s="44" t="s">
        <v>27</v>
      </c>
      <c r="K1352" s="128">
        <v>1113.4547873618876</v>
      </c>
      <c r="L1352" s="128">
        <v>19.0</v>
      </c>
      <c r="M1352" s="128">
        <v>1118.5842639115615</v>
      </c>
      <c r="N1352" s="44"/>
      <c r="O1352" s="128"/>
      <c r="P1352" s="128"/>
      <c r="Q1352" s="128"/>
      <c r="V1352" s="44" t="s">
        <v>123</v>
      </c>
      <c r="W1352" s="128">
        <v>903.5502571467715</v>
      </c>
      <c r="X1352" s="128">
        <v>22.0</v>
      </c>
      <c r="Y1352" s="128">
        <v>902.582744308719</v>
      </c>
      <c r="Z1352" s="44" t="s">
        <v>112</v>
      </c>
      <c r="AA1352" s="128">
        <v>938.6667988718756</v>
      </c>
      <c r="AB1352" s="128">
        <v>2.0</v>
      </c>
      <c r="AC1352" s="128">
        <v>929.6400494207212</v>
      </c>
      <c r="AD1352" s="44" t="s">
        <v>38</v>
      </c>
      <c r="AE1352" s="128">
        <v>1033.348171568273</v>
      </c>
      <c r="AF1352" s="128">
        <v>16.0</v>
      </c>
      <c r="AG1352" s="128">
        <v>1029.34243385748</v>
      </c>
      <c r="AH1352" s="44"/>
      <c r="AI1352" s="128"/>
      <c r="AJ1352" s="128"/>
      <c r="AK1352" s="128"/>
      <c r="AP1352" s="128">
        <v>17.0</v>
      </c>
      <c r="AQ1352" s="128">
        <v>11.0</v>
      </c>
      <c r="AS1352" s="44" t="s">
        <v>622</v>
      </c>
      <c r="AT1352" s="44">
        <v>1351.0</v>
      </c>
      <c r="AU1352" s="44"/>
      <c r="AW1352" s="93"/>
      <c r="AY1352" s="93"/>
      <c r="AZ1352" s="93"/>
      <c r="BA1352" s="93"/>
      <c r="BB1352" s="155"/>
      <c r="BC1352" s="93"/>
      <c r="BE1352" s="93"/>
      <c r="BG1352" s="93"/>
      <c r="BH1352" s="93"/>
      <c r="BI1352" s="93"/>
      <c r="BJ1352" s="155"/>
      <c r="BK1352" s="93"/>
    </row>
    <row r="1353">
      <c r="A1353" s="166">
        <v>44885.512185162035</v>
      </c>
      <c r="B1353" s="44" t="s">
        <v>112</v>
      </c>
      <c r="C1353" s="128">
        <v>929.6400494207212</v>
      </c>
      <c r="D1353" s="128">
        <v>22.0</v>
      </c>
      <c r="E1353" s="128">
        <v>924.7697961395862</v>
      </c>
      <c r="F1353" s="44" t="s">
        <v>108</v>
      </c>
      <c r="G1353" s="128">
        <v>976.7331566903551</v>
      </c>
      <c r="H1353" s="128">
        <v>12.0</v>
      </c>
      <c r="I1353" s="128">
        <v>959.5353931160934</v>
      </c>
      <c r="J1353" s="44" t="s">
        <v>38</v>
      </c>
      <c r="K1353" s="128">
        <v>1029.34243385748</v>
      </c>
      <c r="L1353" s="128">
        <v>11.0</v>
      </c>
      <c r="M1353" s="128">
        <v>1010.4104507128769</v>
      </c>
      <c r="N1353" s="44"/>
      <c r="O1353" s="128"/>
      <c r="P1353" s="128"/>
      <c r="Q1353" s="128"/>
      <c r="V1353" s="44" t="s">
        <v>123</v>
      </c>
      <c r="W1353" s="128">
        <v>902.582744308719</v>
      </c>
      <c r="X1353" s="128">
        <v>18.0</v>
      </c>
      <c r="Y1353" s="128">
        <v>914.0986172767839</v>
      </c>
      <c r="Z1353" s="44" t="s">
        <v>125</v>
      </c>
      <c r="AA1353" s="128">
        <v>905.6068443406541</v>
      </c>
      <c r="AB1353" s="128">
        <v>19.0</v>
      </c>
      <c r="AC1353" s="128">
        <v>918.1365739847946</v>
      </c>
      <c r="AD1353" s="44" t="s">
        <v>27</v>
      </c>
      <c r="AE1353" s="128">
        <v>1118.5842639115615</v>
      </c>
      <c r="AF1353" s="128">
        <v>26.0</v>
      </c>
      <c r="AG1353" s="128">
        <v>1135.5386612993561</v>
      </c>
      <c r="AH1353" s="44"/>
      <c r="AI1353" s="128"/>
      <c r="AJ1353" s="128"/>
      <c r="AK1353" s="128"/>
      <c r="AP1353" s="128">
        <v>9.0</v>
      </c>
      <c r="AQ1353" s="128">
        <v>19.0</v>
      </c>
      <c r="AT1353" s="44">
        <v>1352.0</v>
      </c>
      <c r="AU1353" s="44"/>
      <c r="AW1353" s="93"/>
      <c r="AY1353" s="93"/>
      <c r="AZ1353" s="93"/>
      <c r="BA1353" s="93"/>
      <c r="BB1353" s="155"/>
      <c r="BC1353" s="93"/>
      <c r="BE1353" s="93"/>
      <c r="BG1353" s="93"/>
      <c r="BH1353" s="93"/>
      <c r="BI1353" s="93"/>
      <c r="BJ1353" s="155"/>
      <c r="BK1353" s="93"/>
    </row>
    <row r="1354">
      <c r="A1354" s="166">
        <v>44885.55361957176</v>
      </c>
      <c r="B1354" s="44" t="s">
        <v>112</v>
      </c>
      <c r="C1354" s="128">
        <v>924.7697961395862</v>
      </c>
      <c r="D1354" s="128">
        <v>21.0</v>
      </c>
      <c r="E1354" s="128">
        <v>920.0012332845853</v>
      </c>
      <c r="F1354" s="44" t="s">
        <v>108</v>
      </c>
      <c r="G1354" s="128">
        <v>959.5353931160934</v>
      </c>
      <c r="H1354" s="128">
        <v>8.0</v>
      </c>
      <c r="I1354" s="128">
        <v>942.6399982520423</v>
      </c>
      <c r="J1354" s="44" t="s">
        <v>38</v>
      </c>
      <c r="K1354" s="128">
        <v>1010.4104507128769</v>
      </c>
      <c r="L1354" s="128">
        <v>16.0</v>
      </c>
      <c r="M1354" s="128">
        <v>1000.0744084319289</v>
      </c>
      <c r="N1354" s="44"/>
      <c r="O1354" s="128"/>
      <c r="P1354" s="128"/>
      <c r="Q1354" s="128"/>
      <c r="V1354" s="44" t="s">
        <v>123</v>
      </c>
      <c r="W1354" s="128">
        <v>914.0986172767839</v>
      </c>
      <c r="X1354" s="128">
        <v>14.0</v>
      </c>
      <c r="Y1354" s="128">
        <v>918.5266273661965</v>
      </c>
      <c r="Z1354" s="44" t="s">
        <v>125</v>
      </c>
      <c r="AA1354" s="128">
        <v>918.1365739847946</v>
      </c>
      <c r="AB1354" s="128">
        <v>14.0</v>
      </c>
      <c r="AC1354" s="128">
        <v>922.4457996348438</v>
      </c>
      <c r="AD1354" s="44" t="s">
        <v>27</v>
      </c>
      <c r="AE1354" s="128">
        <v>1135.5386612993561</v>
      </c>
      <c r="AF1354" s="128">
        <v>38.0</v>
      </c>
      <c r="AG1354" s="128">
        <v>1158.8014255598944</v>
      </c>
      <c r="AH1354" s="44"/>
      <c r="AI1354" s="128"/>
      <c r="AJ1354" s="128"/>
      <c r="AK1354" s="128"/>
      <c r="AP1354" s="128">
        <v>8.0</v>
      </c>
      <c r="AQ1354" s="128">
        <v>20.0</v>
      </c>
      <c r="AT1354" s="44">
        <v>1353.0</v>
      </c>
      <c r="AU1354" s="44"/>
      <c r="AW1354" s="93"/>
      <c r="AY1354" s="93"/>
      <c r="AZ1354" s="93"/>
      <c r="BA1354" s="93"/>
      <c r="BB1354" s="155"/>
      <c r="BC1354" s="93"/>
      <c r="BE1354" s="93"/>
      <c r="BG1354" s="93"/>
      <c r="BH1354" s="93"/>
      <c r="BI1354" s="93"/>
      <c r="BJ1354" s="155"/>
      <c r="BK1354" s="93"/>
    </row>
    <row r="1355">
      <c r="A1355" s="166">
        <v>44885.606209398145</v>
      </c>
      <c r="B1355" s="44" t="s">
        <v>108</v>
      </c>
      <c r="C1355" s="128">
        <v>942.6399982520423</v>
      </c>
      <c r="D1355" s="128">
        <v>15.0</v>
      </c>
      <c r="E1355" s="128">
        <v>937.265652853437</v>
      </c>
      <c r="F1355" s="44" t="s">
        <v>92</v>
      </c>
      <c r="G1355" s="128">
        <v>972.689589226329</v>
      </c>
      <c r="H1355" s="128">
        <v>24.0</v>
      </c>
      <c r="I1355" s="128">
        <v>970.8625385343016</v>
      </c>
      <c r="J1355" s="44" t="s">
        <v>38</v>
      </c>
      <c r="K1355" s="128">
        <v>1000.0744084319289</v>
      </c>
      <c r="L1355" s="128">
        <v>10.0</v>
      </c>
      <c r="M1355" s="128">
        <v>992.2758045225615</v>
      </c>
      <c r="N1355" s="44"/>
      <c r="O1355" s="128"/>
      <c r="P1355" s="128"/>
      <c r="Q1355" s="128"/>
      <c r="V1355" s="44" t="s">
        <v>123</v>
      </c>
      <c r="W1355" s="128">
        <v>918.5266273661965</v>
      </c>
      <c r="X1355" s="128">
        <v>18.0</v>
      </c>
      <c r="Y1355" s="128">
        <v>922.7584256983401</v>
      </c>
      <c r="Z1355" s="44" t="s">
        <v>125</v>
      </c>
      <c r="AA1355" s="128">
        <v>922.4457996348438</v>
      </c>
      <c r="AB1355" s="128">
        <v>12.0</v>
      </c>
      <c r="AC1355" s="128">
        <v>924.1324212234508</v>
      </c>
      <c r="AD1355" s="44" t="s">
        <v>27</v>
      </c>
      <c r="AE1355" s="128">
        <v>1158.8014255598944</v>
      </c>
      <c r="AF1355" s="128">
        <v>32.0</v>
      </c>
      <c r="AG1355" s="128">
        <v>1167.8830056391437</v>
      </c>
      <c r="AH1355" s="44"/>
      <c r="AI1355" s="128"/>
      <c r="AJ1355" s="128"/>
      <c r="AK1355" s="128"/>
      <c r="AP1355" s="128">
        <v>12.0</v>
      </c>
      <c r="AQ1355" s="128">
        <v>16.0</v>
      </c>
      <c r="AT1355" s="44">
        <v>1354.0</v>
      </c>
      <c r="AU1355" s="44"/>
      <c r="AW1355" s="93"/>
      <c r="AY1355" s="93"/>
      <c r="AZ1355" s="93"/>
      <c r="BA1355" s="93"/>
      <c r="BB1355" s="155"/>
      <c r="BC1355" s="93"/>
      <c r="BE1355" s="93"/>
      <c r="BG1355" s="93"/>
      <c r="BH1355" s="93"/>
      <c r="BI1355" s="93"/>
      <c r="BJ1355" s="155"/>
      <c r="BK1355" s="93"/>
    </row>
    <row r="1356">
      <c r="A1356" s="166">
        <v>44886.92284791666</v>
      </c>
      <c r="B1356" s="44" t="s">
        <v>112</v>
      </c>
      <c r="C1356" s="128">
        <v>920.0012332845853</v>
      </c>
      <c r="D1356" s="128">
        <v>18.0</v>
      </c>
      <c r="E1356" s="128">
        <v>914.4985732487428</v>
      </c>
      <c r="F1356" s="44" t="s">
        <v>125</v>
      </c>
      <c r="G1356" s="128">
        <v>924.1324212234508</v>
      </c>
      <c r="H1356" s="128">
        <v>14.0</v>
      </c>
      <c r="I1356" s="128">
        <v>916.2470354793585</v>
      </c>
      <c r="J1356" s="44" t="s">
        <v>47</v>
      </c>
      <c r="K1356" s="128">
        <v>1057.7495718801495</v>
      </c>
      <c r="L1356" s="128">
        <v>16.0</v>
      </c>
      <c r="M1356" s="128">
        <v>1050.1376176600843</v>
      </c>
      <c r="N1356" s="44"/>
      <c r="O1356" s="128"/>
      <c r="P1356" s="128"/>
      <c r="Q1356" s="128"/>
      <c r="V1356" s="44" t="s">
        <v>100</v>
      </c>
      <c r="W1356" s="128">
        <v>936.0813958465438</v>
      </c>
      <c r="X1356" s="128">
        <v>25.0</v>
      </c>
      <c r="Y1356" s="128">
        <v>945.7472178731368</v>
      </c>
      <c r="Z1356" s="44" t="s">
        <v>92</v>
      </c>
      <c r="AA1356" s="128">
        <v>970.8625385343016</v>
      </c>
      <c r="AB1356" s="128">
        <v>24.0</v>
      </c>
      <c r="AC1356" s="128">
        <v>979.5180922549544</v>
      </c>
      <c r="AD1356" s="44" t="s">
        <v>88</v>
      </c>
      <c r="AE1356" s="128">
        <v>985.6437505697363</v>
      </c>
      <c r="AF1356" s="128">
        <v>14.0</v>
      </c>
      <c r="AG1356" s="128">
        <v>988.3223748224907</v>
      </c>
      <c r="AH1356" s="44"/>
      <c r="AI1356" s="128"/>
      <c r="AJ1356" s="128"/>
      <c r="AK1356" s="128"/>
      <c r="AP1356" s="128">
        <v>11.0</v>
      </c>
      <c r="AQ1356" s="128">
        <v>17.0</v>
      </c>
      <c r="AS1356" s="44" t="s">
        <v>232</v>
      </c>
      <c r="AT1356" s="44">
        <v>1355.0</v>
      </c>
      <c r="AU1356" s="44"/>
      <c r="AW1356" s="93"/>
      <c r="AY1356" s="93"/>
      <c r="AZ1356" s="93"/>
      <c r="BA1356" s="93"/>
      <c r="BB1356" s="155"/>
      <c r="BC1356" s="93"/>
      <c r="BE1356" s="93"/>
      <c r="BG1356" s="93"/>
      <c r="BH1356" s="93"/>
      <c r="BI1356" s="93"/>
      <c r="BJ1356" s="155"/>
      <c r="BK1356" s="93"/>
    </row>
    <row r="1357">
      <c r="A1357" s="166">
        <v>44886.95820923611</v>
      </c>
      <c r="B1357" s="44" t="s">
        <v>125</v>
      </c>
      <c r="C1357" s="128">
        <v>916.2470354793585</v>
      </c>
      <c r="D1357" s="128">
        <v>22.0</v>
      </c>
      <c r="E1357" s="128">
        <v>914.5904319902083</v>
      </c>
      <c r="F1357" s="44" t="s">
        <v>88</v>
      </c>
      <c r="G1357" s="128">
        <v>988.3223748224907</v>
      </c>
      <c r="H1357" s="128">
        <v>13.0</v>
      </c>
      <c r="I1357" s="128">
        <v>983.8167928392195</v>
      </c>
      <c r="J1357" s="44" t="s">
        <v>34</v>
      </c>
      <c r="K1357" s="128">
        <v>1073.8744620573736</v>
      </c>
      <c r="L1357" s="128">
        <v>16.0</v>
      </c>
      <c r="M1357" s="128">
        <v>1070.0366475297951</v>
      </c>
      <c r="N1357" s="44"/>
      <c r="O1357" s="128"/>
      <c r="P1357" s="128"/>
      <c r="Q1357" s="128"/>
      <c r="V1357" s="44" t="s">
        <v>100</v>
      </c>
      <c r="W1357" s="128">
        <v>945.7472178731368</v>
      </c>
      <c r="X1357" s="128">
        <v>29.0</v>
      </c>
      <c r="Y1357" s="128">
        <v>952.3905162717779</v>
      </c>
      <c r="Z1357" s="44" t="s">
        <v>92</v>
      </c>
      <c r="AA1357" s="128">
        <v>979.5180922549544</v>
      </c>
      <c r="AB1357" s="128">
        <v>12.0</v>
      </c>
      <c r="AC1357" s="128">
        <v>981.2852865906898</v>
      </c>
      <c r="AD1357" s="44" t="s">
        <v>47</v>
      </c>
      <c r="AE1357" s="128">
        <v>1050.1376176600843</v>
      </c>
      <c r="AF1357" s="128">
        <v>12.0</v>
      </c>
      <c r="AG1357" s="128">
        <v>1051.7271249257078</v>
      </c>
      <c r="AH1357" s="44"/>
      <c r="AI1357" s="128"/>
      <c r="AJ1357" s="128"/>
      <c r="AK1357" s="128"/>
      <c r="AP1357" s="128">
        <v>13.0</v>
      </c>
      <c r="AQ1357" s="128">
        <v>15.0</v>
      </c>
      <c r="AT1357" s="44">
        <v>1356.0</v>
      </c>
      <c r="AU1357" s="44"/>
      <c r="AW1357" s="93"/>
      <c r="AY1357" s="93"/>
      <c r="AZ1357" s="93"/>
      <c r="BA1357" s="93"/>
      <c r="BB1357" s="155"/>
      <c r="BC1357" s="93"/>
      <c r="BE1357" s="93"/>
      <c r="BG1357" s="93"/>
      <c r="BH1357" s="93"/>
      <c r="BI1357" s="93"/>
      <c r="BJ1357" s="155"/>
      <c r="BK1357" s="93"/>
    </row>
    <row r="1358">
      <c r="A1358" s="166">
        <v>44887.00287592593</v>
      </c>
      <c r="B1358" s="44" t="s">
        <v>125</v>
      </c>
      <c r="C1358" s="128">
        <v>914.5904319902083</v>
      </c>
      <c r="D1358" s="128">
        <v>7.0</v>
      </c>
      <c r="E1358" s="128">
        <v>914.6004319902083</v>
      </c>
      <c r="F1358" s="44" t="s">
        <v>43</v>
      </c>
      <c r="G1358" s="128">
        <v>1009.5958707172967</v>
      </c>
      <c r="H1358" s="128">
        <v>18.0</v>
      </c>
      <c r="I1358" s="128">
        <v>1009.6058707172967</v>
      </c>
      <c r="J1358" s="44" t="s">
        <v>34</v>
      </c>
      <c r="K1358" s="128">
        <v>1070.0366475297951</v>
      </c>
      <c r="L1358" s="128">
        <v>15.0</v>
      </c>
      <c r="M1358" s="128">
        <v>1070.046647529795</v>
      </c>
      <c r="N1358" s="44" t="s">
        <v>23</v>
      </c>
      <c r="O1358" s="128">
        <v>1186.015126188502</v>
      </c>
      <c r="P1358" s="128">
        <v>31.0</v>
      </c>
      <c r="Q1358" s="128">
        <v>1186.025126188502</v>
      </c>
      <c r="V1358" s="44" t="s">
        <v>92</v>
      </c>
      <c r="W1358" s="128">
        <v>981.2852865906898</v>
      </c>
      <c r="X1358" s="128">
        <v>15.0</v>
      </c>
      <c r="Y1358" s="128">
        <v>981.2952865906898</v>
      </c>
      <c r="Z1358" s="44" t="s">
        <v>88</v>
      </c>
      <c r="AA1358" s="128">
        <v>983.8167928392195</v>
      </c>
      <c r="AB1358" s="128">
        <v>16.0</v>
      </c>
      <c r="AC1358" s="128">
        <v>983.8267928392195</v>
      </c>
      <c r="AD1358" s="44" t="s">
        <v>47</v>
      </c>
      <c r="AE1358" s="128">
        <v>1051.7271249257078</v>
      </c>
      <c r="AF1358" s="128">
        <v>25.0</v>
      </c>
      <c r="AG1358" s="128">
        <v>1051.7371249257078</v>
      </c>
      <c r="AH1358" s="44" t="s">
        <v>27</v>
      </c>
      <c r="AI1358" s="128">
        <v>1167.8830056391437</v>
      </c>
      <c r="AJ1358" s="128">
        <v>19.0</v>
      </c>
      <c r="AK1358" s="128">
        <v>1167.8930056391437</v>
      </c>
      <c r="AP1358" s="128">
        <v>14.0</v>
      </c>
      <c r="AQ1358" s="128">
        <v>14.0</v>
      </c>
      <c r="AT1358" s="44">
        <v>1357.0</v>
      </c>
      <c r="AU1358" s="44"/>
      <c r="AW1358" s="93"/>
      <c r="AY1358" s="93"/>
      <c r="AZ1358" s="93"/>
      <c r="BA1358" s="93"/>
      <c r="BB1358" s="155"/>
      <c r="BC1358" s="93"/>
      <c r="BE1358" s="93"/>
      <c r="BG1358" s="93"/>
      <c r="BH1358" s="93"/>
      <c r="BI1358" s="93"/>
      <c r="BJ1358" s="155"/>
      <c r="BK1358" s="93"/>
    </row>
    <row r="1359">
      <c r="A1359" s="166">
        <v>44887.955726319444</v>
      </c>
      <c r="B1359" s="44" t="s">
        <v>125</v>
      </c>
      <c r="C1359" s="128">
        <v>914.6004319902083</v>
      </c>
      <c r="D1359" s="128">
        <v>12.0</v>
      </c>
      <c r="E1359" s="128">
        <v>906.0449013755523</v>
      </c>
      <c r="F1359" s="44" t="s">
        <v>61</v>
      </c>
      <c r="G1359" s="128">
        <v>989.0500046121579</v>
      </c>
      <c r="H1359" s="128">
        <v>22.0</v>
      </c>
      <c r="I1359" s="128">
        <v>985.0659817709067</v>
      </c>
      <c r="J1359" s="44" t="s">
        <v>23</v>
      </c>
      <c r="K1359" s="128">
        <v>1186.025126188502</v>
      </c>
      <c r="L1359" s="128">
        <v>18.0</v>
      </c>
      <c r="M1359" s="128">
        <v>1179.5646796444094</v>
      </c>
      <c r="N1359" s="44"/>
      <c r="O1359" s="128"/>
      <c r="P1359" s="128"/>
      <c r="Q1359" s="128"/>
      <c r="V1359" s="44" t="s">
        <v>110</v>
      </c>
      <c r="W1359" s="128">
        <v>963.8279214680925</v>
      </c>
      <c r="X1359" s="128">
        <v>24.0</v>
      </c>
      <c r="Y1359" s="128">
        <v>972.5403829021462</v>
      </c>
      <c r="Z1359" s="44" t="s">
        <v>88</v>
      </c>
      <c r="AA1359" s="128">
        <v>983.8267928392195</v>
      </c>
      <c r="AB1359" s="128">
        <v>14.0</v>
      </c>
      <c r="AC1359" s="128">
        <v>987.0861848063709</v>
      </c>
      <c r="AD1359" s="44" t="s">
        <v>27</v>
      </c>
      <c r="AE1359" s="128">
        <v>1167.8930056391437</v>
      </c>
      <c r="AF1359" s="128">
        <v>22.0</v>
      </c>
      <c r="AG1359" s="128">
        <v>1174.9211522379387</v>
      </c>
      <c r="AH1359" s="44"/>
      <c r="AI1359" s="128"/>
      <c r="AJ1359" s="128"/>
      <c r="AK1359" s="128"/>
      <c r="AP1359" s="128">
        <v>11.0</v>
      </c>
      <c r="AQ1359" s="128">
        <v>17.0</v>
      </c>
      <c r="AT1359" s="44">
        <v>1358.0</v>
      </c>
      <c r="AU1359" s="44"/>
      <c r="AW1359" s="93"/>
      <c r="AY1359" s="93"/>
      <c r="AZ1359" s="93"/>
      <c r="BA1359" s="93"/>
      <c r="BB1359" s="155"/>
      <c r="BC1359" s="93"/>
      <c r="BE1359" s="93"/>
      <c r="BG1359" s="93"/>
      <c r="BH1359" s="93"/>
      <c r="BI1359" s="93"/>
      <c r="BJ1359" s="155"/>
      <c r="BK1359" s="93"/>
    </row>
    <row r="1360">
      <c r="A1360" s="166">
        <v>44887.99486385417</v>
      </c>
      <c r="B1360" s="44" t="s">
        <v>125</v>
      </c>
      <c r="C1360" s="128">
        <v>906.0449013755523</v>
      </c>
      <c r="D1360" s="128">
        <v>16.0</v>
      </c>
      <c r="E1360" s="128">
        <v>908.3026135654173</v>
      </c>
      <c r="F1360" s="44" t="s">
        <v>88</v>
      </c>
      <c r="G1360" s="128">
        <v>987.0861848063709</v>
      </c>
      <c r="H1360" s="128">
        <v>15.0</v>
      </c>
      <c r="I1360" s="128">
        <v>988.7939711378409</v>
      </c>
      <c r="J1360" s="44" t="s">
        <v>34</v>
      </c>
      <c r="K1360" s="128">
        <v>1070.046647529795</v>
      </c>
      <c r="L1360" s="128">
        <v>20.0</v>
      </c>
      <c r="M1360" s="128">
        <v>1072.6586669688268</v>
      </c>
      <c r="N1360" s="44" t="s">
        <v>23</v>
      </c>
      <c r="O1360" s="128">
        <v>1179.5646796444094</v>
      </c>
      <c r="P1360" s="128">
        <v>24.0</v>
      </c>
      <c r="Q1360" s="128">
        <v>1182.9871616840426</v>
      </c>
      <c r="V1360" s="44" t="s">
        <v>110</v>
      </c>
      <c r="W1360" s="128">
        <v>972.5403829021462</v>
      </c>
      <c r="X1360" s="128">
        <v>16.0</v>
      </c>
      <c r="Y1360" s="128">
        <v>969.6545009540796</v>
      </c>
      <c r="Z1360" s="44" t="s">
        <v>61</v>
      </c>
      <c r="AA1360" s="128">
        <v>985.0659817709067</v>
      </c>
      <c r="AB1360" s="128">
        <v>19.0</v>
      </c>
      <c r="AC1360" s="128">
        <v>982.7675523200006</v>
      </c>
      <c r="AD1360" s="44" t="s">
        <v>43</v>
      </c>
      <c r="AE1360" s="128">
        <v>1009.6058707172967</v>
      </c>
      <c r="AF1360" s="128">
        <v>14.0</v>
      </c>
      <c r="AG1360" s="128">
        <v>1006.2064364482064</v>
      </c>
      <c r="AH1360" s="44" t="s">
        <v>27</v>
      </c>
      <c r="AI1360" s="128">
        <v>1174.9211522379387</v>
      </c>
      <c r="AJ1360" s="128">
        <v>24.0</v>
      </c>
      <c r="AK1360" s="128">
        <v>1173.5048979060016</v>
      </c>
      <c r="AP1360" s="128">
        <v>15.0</v>
      </c>
      <c r="AQ1360" s="128">
        <v>13.0</v>
      </c>
      <c r="AT1360" s="44">
        <v>1359.0</v>
      </c>
      <c r="AU1360" s="44"/>
      <c r="AW1360" s="93"/>
      <c r="AY1360" s="93"/>
      <c r="AZ1360" s="93"/>
      <c r="BA1360" s="93"/>
      <c r="BB1360" s="155"/>
      <c r="BC1360" s="93"/>
      <c r="BE1360" s="93"/>
      <c r="BG1360" s="93"/>
      <c r="BH1360" s="93"/>
      <c r="BI1360" s="93"/>
      <c r="BJ1360" s="155"/>
      <c r="BK1360" s="93"/>
    </row>
    <row r="1361">
      <c r="A1361" s="166">
        <v>44888.974041712965</v>
      </c>
      <c r="B1361" s="44" t="s">
        <v>92</v>
      </c>
      <c r="C1361" s="128">
        <v>981.2952865906898</v>
      </c>
      <c r="D1361" s="128">
        <v>22.0</v>
      </c>
      <c r="E1361" s="128">
        <v>977.5639893489409</v>
      </c>
      <c r="F1361" s="44" t="s">
        <v>88</v>
      </c>
      <c r="G1361" s="128">
        <v>988.7939711378409</v>
      </c>
      <c r="H1361" s="128">
        <v>9.0</v>
      </c>
      <c r="I1361" s="128">
        <v>977.7889095875291</v>
      </c>
      <c r="J1361" s="44" t="s">
        <v>23</v>
      </c>
      <c r="K1361" s="128">
        <v>1182.9871616840426</v>
      </c>
      <c r="L1361" s="128">
        <v>20.0</v>
      </c>
      <c r="M1361" s="128">
        <v>1177.7235204761032</v>
      </c>
      <c r="N1361" s="44"/>
      <c r="O1361" s="128"/>
      <c r="P1361" s="128"/>
      <c r="Q1361" s="128"/>
      <c r="V1361" s="44" t="s">
        <v>112</v>
      </c>
      <c r="W1361" s="128">
        <v>914.498573248743</v>
      </c>
      <c r="X1361" s="128">
        <v>10.0</v>
      </c>
      <c r="Y1361" s="128">
        <v>916.4445186859198</v>
      </c>
      <c r="Z1361" s="44" t="s">
        <v>34</v>
      </c>
      <c r="AA1361" s="128">
        <v>1072.6586669688268</v>
      </c>
      <c r="AB1361" s="128">
        <v>26.0</v>
      </c>
      <c r="AC1361" s="128">
        <v>1082.2715303544828</v>
      </c>
      <c r="AD1361" s="44" t="s">
        <v>27</v>
      </c>
      <c r="AE1361" s="128">
        <v>1173.5048979060016</v>
      </c>
      <c r="AF1361" s="128">
        <v>24.0</v>
      </c>
      <c r="AG1361" s="128">
        <v>1181.9460890831688</v>
      </c>
      <c r="AH1361" s="44"/>
      <c r="AI1361" s="128"/>
      <c r="AJ1361" s="128"/>
      <c r="AK1361" s="128"/>
      <c r="AP1361" s="128">
        <v>12.0</v>
      </c>
      <c r="AQ1361" s="128">
        <v>16.0</v>
      </c>
      <c r="AS1361" s="44" t="s">
        <v>229</v>
      </c>
      <c r="AT1361" s="44">
        <v>1360.0</v>
      </c>
      <c r="AU1361" s="44"/>
      <c r="AW1361" s="93"/>
      <c r="AY1361" s="93"/>
      <c r="AZ1361" s="93"/>
      <c r="BA1361" s="93"/>
      <c r="BB1361" s="155"/>
      <c r="BC1361" s="93"/>
      <c r="BE1361" s="93"/>
      <c r="BG1361" s="93"/>
      <c r="BH1361" s="93"/>
      <c r="BI1361" s="93"/>
      <c r="BJ1361" s="155"/>
      <c r="BK1361" s="93"/>
    </row>
    <row r="1362">
      <c r="A1362" s="166">
        <v>44889.006148541666</v>
      </c>
      <c r="B1362" s="44" t="s">
        <v>112</v>
      </c>
      <c r="C1362" s="128">
        <v>916.4445186859198</v>
      </c>
      <c r="D1362" s="128">
        <v>25.0</v>
      </c>
      <c r="E1362" s="128">
        <v>924.3182934092623</v>
      </c>
      <c r="F1362" s="44" t="s">
        <v>92</v>
      </c>
      <c r="G1362" s="128">
        <v>977.5639893489409</v>
      </c>
      <c r="H1362" s="128">
        <v>16.0</v>
      </c>
      <c r="I1362" s="128">
        <v>980.6953936743984</v>
      </c>
      <c r="J1362" s="44" t="s">
        <v>54</v>
      </c>
      <c r="K1362" s="128">
        <v>1031.173399279012</v>
      </c>
      <c r="L1362" s="128">
        <v>22.0</v>
      </c>
      <c r="M1362" s="128">
        <v>1036.7533189913136</v>
      </c>
      <c r="N1362" s="44" t="s">
        <v>27</v>
      </c>
      <c r="O1362" s="128">
        <v>1181.9460890831688</v>
      </c>
      <c r="P1362" s="128">
        <v>22.0</v>
      </c>
      <c r="Q1362" s="128">
        <v>1187.3609903220674</v>
      </c>
      <c r="V1362" s="44" t="s">
        <v>125</v>
      </c>
      <c r="W1362" s="128">
        <v>908.3026135654173</v>
      </c>
      <c r="X1362" s="128">
        <v>9.0</v>
      </c>
      <c r="Y1362" s="128">
        <v>899.7474893639815</v>
      </c>
      <c r="Z1362" s="44" t="s">
        <v>88</v>
      </c>
      <c r="AA1362" s="128">
        <v>977.7889095875291</v>
      </c>
      <c r="AB1362" s="128">
        <v>17.0</v>
      </c>
      <c r="AC1362" s="128">
        <v>972.3217528211476</v>
      </c>
      <c r="AD1362" s="44" t="s">
        <v>34</v>
      </c>
      <c r="AE1362" s="128">
        <v>1082.2715303544828</v>
      </c>
      <c r="AF1362" s="128">
        <v>20.0</v>
      </c>
      <c r="AG1362" s="128">
        <v>1077.840810575067</v>
      </c>
      <c r="AH1362" s="44" t="s">
        <v>23</v>
      </c>
      <c r="AI1362" s="128">
        <v>1177.7235204761032</v>
      </c>
      <c r="AJ1362" s="128">
        <v>22.0</v>
      </c>
      <c r="AK1362" s="128">
        <v>1174.1765212233365</v>
      </c>
      <c r="AP1362" s="128">
        <v>16.0</v>
      </c>
      <c r="AQ1362" s="128">
        <v>12.0</v>
      </c>
      <c r="AS1362" s="44" t="s">
        <v>295</v>
      </c>
      <c r="AT1362" s="44">
        <v>1361.0</v>
      </c>
      <c r="AU1362" s="44"/>
      <c r="AW1362" s="93"/>
      <c r="AY1362" s="93"/>
      <c r="AZ1362" s="93"/>
      <c r="BA1362" s="93"/>
      <c r="BB1362" s="155"/>
      <c r="BC1362" s="93"/>
      <c r="BE1362" s="93"/>
      <c r="BG1362" s="93"/>
      <c r="BH1362" s="93"/>
      <c r="BI1362" s="93"/>
      <c r="BJ1362" s="155"/>
      <c r="BK1362" s="93"/>
    </row>
    <row r="1363">
      <c r="A1363" s="166">
        <v>44889.93523326389</v>
      </c>
      <c r="B1363" s="44" t="s">
        <v>107</v>
      </c>
      <c r="C1363" s="128">
        <v>952.67767237045</v>
      </c>
      <c r="D1363" s="128">
        <v>22.0</v>
      </c>
      <c r="E1363" s="128">
        <v>949.0785031700311</v>
      </c>
      <c r="F1363" s="44" t="s">
        <v>92</v>
      </c>
      <c r="G1363" s="128">
        <v>980.6953936743984</v>
      </c>
      <c r="H1363" s="128">
        <v>11.0</v>
      </c>
      <c r="I1363" s="128">
        <v>971.0684662448004</v>
      </c>
      <c r="J1363" s="44" t="s">
        <v>34</v>
      </c>
      <c r="K1363" s="128">
        <v>1077.840810575067</v>
      </c>
      <c r="L1363" s="128">
        <v>19.0</v>
      </c>
      <c r="M1363" s="128">
        <v>1072.066907205084</v>
      </c>
      <c r="N1363" s="44"/>
      <c r="O1363" s="128"/>
      <c r="P1363" s="128"/>
      <c r="Q1363" s="128"/>
      <c r="V1363" s="44" t="s">
        <v>88</v>
      </c>
      <c r="W1363" s="128">
        <v>972.3217528211476</v>
      </c>
      <c r="X1363" s="128">
        <v>10.0</v>
      </c>
      <c r="Y1363" s="128">
        <v>973.0867417143941</v>
      </c>
      <c r="Z1363" s="44" t="s">
        <v>43</v>
      </c>
      <c r="AA1363" s="128">
        <v>1006.2064364482064</v>
      </c>
      <c r="AB1363" s="128">
        <v>29.0</v>
      </c>
      <c r="AC1363" s="128">
        <v>1016.7440578581545</v>
      </c>
      <c r="AD1363" s="44" t="s">
        <v>47</v>
      </c>
      <c r="AE1363" s="128">
        <v>1051.7371249257078</v>
      </c>
      <c r="AF1363" s="128">
        <v>24.0</v>
      </c>
      <c r="AG1363" s="128">
        <v>1059.4345146225132</v>
      </c>
      <c r="AH1363" s="44"/>
      <c r="AI1363" s="128"/>
      <c r="AJ1363" s="128"/>
      <c r="AK1363" s="128"/>
      <c r="AP1363" s="128">
        <v>11.0</v>
      </c>
      <c r="AQ1363" s="128">
        <v>17.0</v>
      </c>
      <c r="AS1363" s="44" t="s">
        <v>229</v>
      </c>
      <c r="AT1363" s="44">
        <v>1362.0</v>
      </c>
      <c r="AU1363" s="44"/>
      <c r="AW1363" s="93"/>
      <c r="AY1363" s="93"/>
      <c r="AZ1363" s="93"/>
      <c r="BA1363" s="93"/>
      <c r="BB1363" s="155"/>
      <c r="BC1363" s="93"/>
      <c r="BE1363" s="93"/>
      <c r="BG1363" s="93"/>
      <c r="BH1363" s="93"/>
      <c r="BI1363" s="93"/>
      <c r="BJ1363" s="155"/>
      <c r="BK1363" s="93"/>
    </row>
    <row r="1364">
      <c r="A1364" s="166">
        <v>44889.983024166664</v>
      </c>
      <c r="B1364" s="44" t="s">
        <v>107</v>
      </c>
      <c r="C1364" s="128">
        <v>949.0785031700311</v>
      </c>
      <c r="D1364" s="128">
        <v>20.0</v>
      </c>
      <c r="E1364" s="128">
        <v>953.4554579727487</v>
      </c>
      <c r="F1364" s="44" t="s">
        <v>88</v>
      </c>
      <c r="G1364" s="128">
        <v>973.0867417143941</v>
      </c>
      <c r="H1364" s="128">
        <v>22.0</v>
      </c>
      <c r="I1364" s="128">
        <v>978.0956012304395</v>
      </c>
      <c r="J1364" s="44" t="s">
        <v>43</v>
      </c>
      <c r="K1364" s="128">
        <v>1016.7440578581545</v>
      </c>
      <c r="L1364" s="128">
        <v>19.0</v>
      </c>
      <c r="M1364" s="128">
        <v>1020.2444804659206</v>
      </c>
      <c r="N1364" s="44" t="s">
        <v>47</v>
      </c>
      <c r="O1364" s="128">
        <v>1059.4345146225132</v>
      </c>
      <c r="P1364" s="128">
        <v>28.0</v>
      </c>
      <c r="Q1364" s="128">
        <v>1066.548277695984</v>
      </c>
      <c r="V1364" s="44" t="s">
        <v>112</v>
      </c>
      <c r="W1364" s="128">
        <v>924.3182934092623</v>
      </c>
      <c r="X1364" s="128">
        <v>18.0</v>
      </c>
      <c r="Y1364" s="128">
        <v>919.2542002452549</v>
      </c>
      <c r="Z1364" s="44" t="s">
        <v>92</v>
      </c>
      <c r="AA1364" s="128">
        <v>971.0684662448004</v>
      </c>
      <c r="AB1364" s="128">
        <v>23.0</v>
      </c>
      <c r="AC1364" s="128">
        <v>967.7058294615083</v>
      </c>
      <c r="AD1364" s="44" t="s">
        <v>54</v>
      </c>
      <c r="AE1364" s="128">
        <v>1036.7533189913136</v>
      </c>
      <c r="AF1364" s="128">
        <v>15.0</v>
      </c>
      <c r="AG1364" s="128">
        <v>1029.7530379791785</v>
      </c>
      <c r="AH1364" s="44" t="s">
        <v>34</v>
      </c>
      <c r="AI1364" s="128">
        <v>1072.066907205084</v>
      </c>
      <c r="AJ1364" s="128">
        <v>21.0</v>
      </c>
      <c r="AK1364" s="128">
        <v>1067.4939181645186</v>
      </c>
      <c r="AP1364" s="128">
        <v>17.0</v>
      </c>
      <c r="AQ1364" s="128">
        <v>11.0</v>
      </c>
      <c r="AS1364" s="44" t="s">
        <v>266</v>
      </c>
      <c r="AT1364" s="44">
        <v>1363.0</v>
      </c>
      <c r="AU1364" s="44"/>
      <c r="AW1364" s="93"/>
      <c r="AY1364" s="93"/>
      <c r="AZ1364" s="93"/>
      <c r="BA1364" s="93"/>
      <c r="BB1364" s="155"/>
      <c r="BC1364" s="93"/>
      <c r="BE1364" s="93"/>
      <c r="BG1364" s="93"/>
      <c r="BH1364" s="93"/>
      <c r="BI1364" s="93"/>
      <c r="BJ1364" s="155"/>
      <c r="BK1364" s="93"/>
    </row>
    <row r="1365">
      <c r="A1365" s="166">
        <v>44890.01896412037</v>
      </c>
      <c r="B1365" s="44" t="s">
        <v>107</v>
      </c>
      <c r="C1365" s="128">
        <v>953.4554579727487</v>
      </c>
      <c r="D1365" s="128">
        <v>23.0</v>
      </c>
      <c r="E1365" s="128">
        <v>956.8239071697321</v>
      </c>
      <c r="F1365" s="44" t="s">
        <v>88</v>
      </c>
      <c r="G1365" s="128">
        <v>978.0956012304395</v>
      </c>
      <c r="H1365" s="128">
        <v>16.0</v>
      </c>
      <c r="I1365" s="128">
        <v>979.5950286767908</v>
      </c>
      <c r="J1365" s="44" t="s">
        <v>43</v>
      </c>
      <c r="K1365" s="128">
        <v>1020.2444804659206</v>
      </c>
      <c r="L1365" s="128">
        <v>27.0</v>
      </c>
      <c r="M1365" s="128">
        <v>1024.3516277232995</v>
      </c>
      <c r="N1365" s="44" t="s">
        <v>34</v>
      </c>
      <c r="O1365" s="128">
        <v>1067.4939181645186</v>
      </c>
      <c r="P1365" s="128">
        <v>23.0</v>
      </c>
      <c r="Q1365" s="128">
        <v>1070.518894263805</v>
      </c>
      <c r="V1365" s="44" t="s">
        <v>125</v>
      </c>
      <c r="W1365" s="128">
        <v>899.7474893639815</v>
      </c>
      <c r="X1365" s="128">
        <v>12.0</v>
      </c>
      <c r="Y1365" s="128">
        <v>895.6442489001174</v>
      </c>
      <c r="Z1365" s="44" t="s">
        <v>112</v>
      </c>
      <c r="AA1365" s="128">
        <v>919.2542002452549</v>
      </c>
      <c r="AB1365" s="128">
        <v>23.0</v>
      </c>
      <c r="AC1365" s="128">
        <v>917.783993171283</v>
      </c>
      <c r="AD1365" s="44" t="s">
        <v>105</v>
      </c>
      <c r="AE1365" s="128">
        <v>982.6112765506012</v>
      </c>
      <c r="AF1365" s="128">
        <v>11.0</v>
      </c>
      <c r="AG1365" s="128">
        <v>977.8564859003624</v>
      </c>
      <c r="AH1365" s="44" t="s">
        <v>47</v>
      </c>
      <c r="AI1365" s="128">
        <v>1066.548277695984</v>
      </c>
      <c r="AJ1365" s="128">
        <v>24.0</v>
      </c>
      <c r="AK1365" s="128">
        <v>1064.8765158840588</v>
      </c>
      <c r="AP1365" s="128">
        <v>17.0</v>
      </c>
      <c r="AQ1365" s="128">
        <v>11.0</v>
      </c>
      <c r="AS1365" s="44" t="s">
        <v>370</v>
      </c>
      <c r="AT1365" s="44">
        <v>1364.0</v>
      </c>
      <c r="AU1365" s="44"/>
      <c r="AW1365" s="93"/>
      <c r="AY1365" s="93"/>
      <c r="AZ1365" s="93"/>
      <c r="BA1365" s="93"/>
      <c r="BB1365" s="155"/>
      <c r="BC1365" s="93"/>
      <c r="BE1365" s="93"/>
      <c r="BG1365" s="93"/>
      <c r="BH1365" s="93"/>
      <c r="BI1365" s="93"/>
      <c r="BJ1365" s="155"/>
      <c r="BK1365" s="93"/>
    </row>
    <row r="1366">
      <c r="A1366" s="166">
        <v>44890.93326737269</v>
      </c>
      <c r="B1366" s="44" t="s">
        <v>112</v>
      </c>
      <c r="C1366" s="128">
        <v>917.783993171283</v>
      </c>
      <c r="D1366" s="128">
        <v>11.0</v>
      </c>
      <c r="E1366" s="128">
        <v>910.2364667168673</v>
      </c>
      <c r="F1366" s="44" t="s">
        <v>121</v>
      </c>
      <c r="G1366" s="128">
        <v>992.1094995094687</v>
      </c>
      <c r="H1366" s="128">
        <v>10.0</v>
      </c>
      <c r="I1366" s="128">
        <v>983.480908156565</v>
      </c>
      <c r="J1366" s="44" t="s">
        <v>38</v>
      </c>
      <c r="K1366" s="128">
        <v>992.2758045225615</v>
      </c>
      <c r="L1366" s="128">
        <v>21.0</v>
      </c>
      <c r="M1366" s="128">
        <v>989.451922329881</v>
      </c>
      <c r="N1366" s="44"/>
      <c r="O1366" s="128"/>
      <c r="P1366" s="128"/>
      <c r="Q1366" s="128"/>
      <c r="V1366" s="44" t="s">
        <v>92</v>
      </c>
      <c r="W1366" s="128">
        <v>967.7058294615083</v>
      </c>
      <c r="X1366" s="128">
        <v>24.0</v>
      </c>
      <c r="Y1366" s="128">
        <v>976.0446904172387</v>
      </c>
      <c r="Z1366" s="44" t="s">
        <v>117</v>
      </c>
      <c r="AA1366" s="128">
        <v>979.3571010846534</v>
      </c>
      <c r="AB1366" s="128">
        <v>23.0</v>
      </c>
      <c r="AC1366" s="128">
        <v>987.0636735121732</v>
      </c>
      <c r="AD1366" s="44" t="s">
        <v>88</v>
      </c>
      <c r="AE1366" s="128">
        <v>979.5950286767908</v>
      </c>
      <c r="AF1366" s="128">
        <v>14.0</v>
      </c>
      <c r="AG1366" s="128">
        <v>982.5495952935406</v>
      </c>
      <c r="AH1366" s="44"/>
      <c r="AI1366" s="128"/>
      <c r="AJ1366" s="128"/>
      <c r="AK1366" s="128"/>
      <c r="AP1366" s="128">
        <v>10.0</v>
      </c>
      <c r="AQ1366" s="128">
        <v>18.0</v>
      </c>
      <c r="AS1366" s="44" t="s">
        <v>519</v>
      </c>
      <c r="AT1366" s="44">
        <v>1365.0</v>
      </c>
      <c r="AU1366" s="44"/>
      <c r="AW1366" s="93"/>
      <c r="AY1366" s="93"/>
      <c r="AZ1366" s="93"/>
      <c r="BA1366" s="93"/>
      <c r="BB1366" s="155"/>
      <c r="BC1366" s="93"/>
      <c r="BE1366" s="93"/>
      <c r="BG1366" s="93"/>
      <c r="BH1366" s="93"/>
      <c r="BI1366" s="93"/>
      <c r="BJ1366" s="155"/>
      <c r="BK1366" s="93"/>
    </row>
    <row r="1367">
      <c r="A1367" s="166">
        <v>44890.995803287035</v>
      </c>
      <c r="B1367" s="44" t="s">
        <v>98</v>
      </c>
      <c r="C1367" s="128">
        <v>974.983042981951</v>
      </c>
      <c r="D1367" s="128">
        <v>20.0</v>
      </c>
      <c r="E1367" s="128">
        <v>977.9206054247131</v>
      </c>
      <c r="F1367" s="44" t="s">
        <v>92</v>
      </c>
      <c r="G1367" s="128">
        <v>976.0446904172387</v>
      </c>
      <c r="H1367" s="128">
        <v>21.0</v>
      </c>
      <c r="I1367" s="128">
        <v>979.2480097965442</v>
      </c>
      <c r="J1367" s="44" t="s">
        <v>88</v>
      </c>
      <c r="K1367" s="128">
        <v>982.5495952935406</v>
      </c>
      <c r="L1367" s="128">
        <v>11.0</v>
      </c>
      <c r="M1367" s="128">
        <v>983.0147016581296</v>
      </c>
      <c r="N1367" s="44" t="s">
        <v>38</v>
      </c>
      <c r="O1367" s="128">
        <v>989.451922329881</v>
      </c>
      <c r="P1367" s="128">
        <v>33.0</v>
      </c>
      <c r="Q1367" s="128">
        <v>995.8459341432243</v>
      </c>
      <c r="V1367" s="44" t="s">
        <v>125</v>
      </c>
      <c r="W1367" s="128">
        <v>895.6442489001174</v>
      </c>
      <c r="X1367" s="128">
        <v>13.0</v>
      </c>
      <c r="Y1367" s="128">
        <v>891.4916237518196</v>
      </c>
      <c r="Z1367" s="44" t="s">
        <v>623</v>
      </c>
      <c r="AA1367" s="128">
        <v>952.3905162717779</v>
      </c>
      <c r="AB1367" s="128">
        <v>15.0</v>
      </c>
      <c r="AC1367" s="128">
        <v>948.4234994847433</v>
      </c>
      <c r="AD1367" s="44" t="s">
        <v>105</v>
      </c>
      <c r="AE1367" s="128">
        <v>977.8564859003624</v>
      </c>
      <c r="AF1367" s="128">
        <v>21.0</v>
      </c>
      <c r="AG1367" s="128">
        <v>975.3993022393919</v>
      </c>
      <c r="AH1367" s="44" t="s">
        <v>27</v>
      </c>
      <c r="AI1367" s="128">
        <v>1187.3609903220674</v>
      </c>
      <c r="AJ1367" s="128">
        <v>22.0</v>
      </c>
      <c r="AK1367" s="128">
        <v>1184.9378159183705</v>
      </c>
      <c r="AP1367" s="128">
        <v>15.0</v>
      </c>
      <c r="AQ1367" s="128">
        <v>13.0</v>
      </c>
      <c r="AS1367" s="44" t="s">
        <v>244</v>
      </c>
      <c r="AT1367" s="44">
        <v>1366.0</v>
      </c>
      <c r="AU1367" s="44"/>
      <c r="AW1367" s="93"/>
      <c r="AY1367" s="93"/>
      <c r="AZ1367" s="93"/>
      <c r="BA1367" s="93"/>
      <c r="BB1367" s="155"/>
      <c r="BC1367" s="93"/>
      <c r="BE1367" s="93"/>
      <c r="BG1367" s="93"/>
      <c r="BH1367" s="93"/>
      <c r="BI1367" s="93"/>
      <c r="BJ1367" s="155"/>
      <c r="BK1367" s="93"/>
    </row>
    <row r="1368">
      <c r="A1368" s="166">
        <v>44891.033248946755</v>
      </c>
      <c r="B1368" s="44" t="s">
        <v>125</v>
      </c>
      <c r="C1368" s="128">
        <v>891.4916237518196</v>
      </c>
      <c r="D1368" s="128">
        <v>14.0</v>
      </c>
      <c r="E1368" s="128">
        <v>887.7737252869881</v>
      </c>
      <c r="F1368" s="44" t="s">
        <v>88</v>
      </c>
      <c r="G1368" s="128">
        <v>983.0147016581296</v>
      </c>
      <c r="H1368" s="128">
        <v>14.0</v>
      </c>
      <c r="I1368" s="128">
        <v>978.784481474518</v>
      </c>
      <c r="J1368" s="44" t="s">
        <v>38</v>
      </c>
      <c r="K1368" s="128">
        <v>995.8459341432243</v>
      </c>
      <c r="L1368" s="128">
        <v>22.0</v>
      </c>
      <c r="M1368" s="128">
        <v>993.7940527916675</v>
      </c>
      <c r="N1368" s="44"/>
      <c r="O1368" s="128"/>
      <c r="P1368" s="128"/>
      <c r="Q1368" s="128"/>
      <c r="V1368" s="44" t="s">
        <v>112</v>
      </c>
      <c r="W1368" s="128">
        <v>910.2364667168673</v>
      </c>
      <c r="X1368" s="128">
        <v>23.0</v>
      </c>
      <c r="Y1368" s="128">
        <v>914.6884182716069</v>
      </c>
      <c r="Z1368" s="44" t="s">
        <v>105</v>
      </c>
      <c r="AA1368" s="128">
        <v>975.3993022393919</v>
      </c>
      <c r="AB1368" s="128">
        <v>23.0</v>
      </c>
      <c r="AC1368" s="128">
        <v>979.4323440867736</v>
      </c>
      <c r="AD1368" s="44" t="s">
        <v>92</v>
      </c>
      <c r="AE1368" s="128">
        <v>979.2480097965442</v>
      </c>
      <c r="AF1368" s="128">
        <v>14.0</v>
      </c>
      <c r="AG1368" s="128">
        <v>980.7630163944231</v>
      </c>
      <c r="AH1368" s="44"/>
      <c r="AI1368" s="128"/>
      <c r="AJ1368" s="128"/>
      <c r="AK1368" s="128"/>
      <c r="AP1368" s="128">
        <v>13.0</v>
      </c>
      <c r="AQ1368" s="128">
        <v>15.0</v>
      </c>
      <c r="AS1368" s="44" t="s">
        <v>339</v>
      </c>
      <c r="AT1368" s="44">
        <v>1367.0</v>
      </c>
      <c r="AU1368" s="44"/>
      <c r="AW1368" s="93"/>
      <c r="AY1368" s="93"/>
      <c r="AZ1368" s="93"/>
      <c r="BA1368" s="93"/>
      <c r="BB1368" s="155"/>
      <c r="BC1368" s="93"/>
      <c r="BE1368" s="93"/>
      <c r="BG1368" s="93"/>
      <c r="BH1368" s="93"/>
      <c r="BI1368" s="93"/>
      <c r="BJ1368" s="155"/>
      <c r="BK1368" s="93"/>
    </row>
    <row r="1369">
      <c r="A1369" s="166">
        <v>44891.96256201389</v>
      </c>
      <c r="B1369" s="44" t="s">
        <v>123</v>
      </c>
      <c r="C1369" s="128">
        <v>922.7584256983401</v>
      </c>
      <c r="D1369" s="128">
        <v>19.0</v>
      </c>
      <c r="E1369" s="128">
        <v>925.2572665360814</v>
      </c>
      <c r="F1369" s="44" t="s">
        <v>107</v>
      </c>
      <c r="G1369" s="128">
        <v>956.8239071697321</v>
      </c>
      <c r="H1369" s="128">
        <v>23.0</v>
      </c>
      <c r="I1369" s="128">
        <v>959.9904655131689</v>
      </c>
      <c r="J1369" s="44" t="s">
        <v>47</v>
      </c>
      <c r="K1369" s="128">
        <v>1064.8765158840588</v>
      </c>
      <c r="L1369" s="128">
        <v>20.0</v>
      </c>
      <c r="M1369" s="128">
        <v>1067.1621992513967</v>
      </c>
      <c r="N1369" s="44" t="s">
        <v>23</v>
      </c>
      <c r="O1369" s="128">
        <v>1174.1765212233365</v>
      </c>
      <c r="P1369" s="128">
        <v>19.0</v>
      </c>
      <c r="Q1369" s="128">
        <v>1176.2254386748207</v>
      </c>
      <c r="V1369" s="44" t="s">
        <v>98</v>
      </c>
      <c r="W1369" s="128">
        <v>977.9206054247131</v>
      </c>
      <c r="X1369" s="128">
        <v>11.0</v>
      </c>
      <c r="Y1369" s="128">
        <v>973.603369711166</v>
      </c>
      <c r="Z1369" s="44" t="s">
        <v>88</v>
      </c>
      <c r="AA1369" s="128">
        <v>978.784481474518</v>
      </c>
      <c r="AB1369" s="128">
        <v>18.0</v>
      </c>
      <c r="AC1369" s="128">
        <v>975.9226924535634</v>
      </c>
      <c r="AD1369" s="44" t="s">
        <v>117</v>
      </c>
      <c r="AE1369" s="128">
        <v>987.0636735121732</v>
      </c>
      <c r="AF1369" s="128">
        <v>18.0</v>
      </c>
      <c r="AG1369" s="128">
        <v>984.1755714144252</v>
      </c>
      <c r="AH1369" s="44" t="s">
        <v>27</v>
      </c>
      <c r="AI1369" s="128">
        <v>1184.9378159183705</v>
      </c>
      <c r="AJ1369" s="128">
        <v>33.0</v>
      </c>
      <c r="AK1369" s="128">
        <v>1184.9278159183705</v>
      </c>
      <c r="AP1369" s="128">
        <v>15.0</v>
      </c>
      <c r="AQ1369" s="128">
        <v>13.0</v>
      </c>
      <c r="AS1369" s="44" t="s">
        <v>229</v>
      </c>
      <c r="AT1369" s="44">
        <v>1368.0</v>
      </c>
      <c r="AU1369" s="44"/>
      <c r="AW1369" s="93"/>
      <c r="AY1369" s="93"/>
      <c r="AZ1369" s="93"/>
      <c r="BA1369" s="93"/>
      <c r="BB1369" s="155"/>
      <c r="BC1369" s="93"/>
      <c r="BE1369" s="93"/>
      <c r="BG1369" s="93"/>
      <c r="BH1369" s="93"/>
      <c r="BI1369" s="93"/>
      <c r="BJ1369" s="155"/>
      <c r="BK1369" s="93"/>
    </row>
    <row r="1370">
      <c r="A1370" s="166">
        <v>44892.03643774305</v>
      </c>
      <c r="B1370" s="44" t="s">
        <v>123</v>
      </c>
      <c r="C1370" s="128">
        <v>925.2572665360814</v>
      </c>
      <c r="D1370" s="128">
        <v>17.0</v>
      </c>
      <c r="E1370" s="128">
        <v>919.6618699858392</v>
      </c>
      <c r="F1370" s="44" t="s">
        <v>107</v>
      </c>
      <c r="G1370" s="128">
        <v>959.9904655131689</v>
      </c>
      <c r="H1370" s="128">
        <v>11.0</v>
      </c>
      <c r="I1370" s="128">
        <v>951.16554583905</v>
      </c>
      <c r="J1370" s="44" t="s">
        <v>88</v>
      </c>
      <c r="K1370" s="128">
        <v>975.9226924535634</v>
      </c>
      <c r="L1370" s="128">
        <v>12.0</v>
      </c>
      <c r="M1370" s="128">
        <v>967.4600127208182</v>
      </c>
      <c r="N1370" s="44" t="s">
        <v>47</v>
      </c>
      <c r="O1370" s="128">
        <v>1067.1621992513967</v>
      </c>
      <c r="P1370" s="128">
        <v>15.0</v>
      </c>
      <c r="Q1370" s="128">
        <v>1059.7808393956097</v>
      </c>
      <c r="R1370" s="44" t="s">
        <v>23</v>
      </c>
      <c r="S1370" s="128">
        <v>1176.2254386748207</v>
      </c>
      <c r="T1370" s="128">
        <v>33.0</v>
      </c>
      <c r="U1370" s="128">
        <v>1176.2154386748207</v>
      </c>
      <c r="V1370" s="44" t="s">
        <v>125</v>
      </c>
      <c r="W1370" s="128">
        <v>887.7737252869881</v>
      </c>
      <c r="X1370" s="128">
        <v>13.0</v>
      </c>
      <c r="Y1370" s="128">
        <v>891.3650095898078</v>
      </c>
      <c r="Z1370" s="44" t="s">
        <v>112</v>
      </c>
      <c r="AA1370" s="128">
        <v>914.6884182716069</v>
      </c>
      <c r="AB1370" s="128">
        <v>20.0</v>
      </c>
      <c r="AC1370" s="128">
        <v>921.2868007692293</v>
      </c>
      <c r="AD1370" s="44" t="s">
        <v>98</v>
      </c>
      <c r="AE1370" s="128">
        <v>973.603369711166</v>
      </c>
      <c r="AF1370" s="128">
        <v>14.0</v>
      </c>
      <c r="AG1370" s="128">
        <v>976.6816762187541</v>
      </c>
      <c r="AH1370" s="44" t="s">
        <v>117</v>
      </c>
      <c r="AI1370" s="128">
        <v>984.1755714144252</v>
      </c>
      <c r="AJ1370" s="128">
        <v>24.0</v>
      </c>
      <c r="AK1370" s="128">
        <v>992.0065143044666</v>
      </c>
      <c r="AL1370" s="44" t="s">
        <v>27</v>
      </c>
      <c r="AM1370" s="128">
        <v>1184.9278159183705</v>
      </c>
      <c r="AN1370" s="128">
        <v>25.0</v>
      </c>
      <c r="AO1370" s="128">
        <v>1192.828899720299</v>
      </c>
      <c r="AP1370" s="128">
        <v>12.0</v>
      </c>
      <c r="AQ1370" s="128">
        <v>16.0</v>
      </c>
      <c r="AS1370" s="44" t="s">
        <v>266</v>
      </c>
      <c r="AT1370" s="44">
        <v>1369.0</v>
      </c>
      <c r="AU1370" s="44"/>
      <c r="AW1370" s="93"/>
      <c r="AY1370" s="93"/>
      <c r="AZ1370" s="93"/>
      <c r="BA1370" s="93"/>
      <c r="BB1370" s="155"/>
      <c r="BC1370" s="93"/>
      <c r="BE1370" s="93"/>
      <c r="BG1370" s="93"/>
      <c r="BH1370" s="93"/>
      <c r="BI1370" s="93"/>
      <c r="BJ1370" s="155"/>
      <c r="BK1370" s="93"/>
    </row>
    <row r="1371">
      <c r="A1371" s="166">
        <v>44892.07214311343</v>
      </c>
      <c r="B1371" s="44" t="s">
        <v>88</v>
      </c>
      <c r="C1371" s="128">
        <v>967.4600127208182</v>
      </c>
      <c r="D1371" s="128">
        <v>22.0</v>
      </c>
      <c r="E1371" s="128">
        <v>974.5675029247758</v>
      </c>
      <c r="F1371" s="44" t="s">
        <v>117</v>
      </c>
      <c r="G1371" s="128">
        <v>992.0065143044666</v>
      </c>
      <c r="H1371" s="128">
        <v>15.0</v>
      </c>
      <c r="I1371" s="128">
        <v>995.2108015390243</v>
      </c>
      <c r="J1371" s="44" t="s">
        <v>47</v>
      </c>
      <c r="K1371" s="128">
        <v>1059.7808393956097</v>
      </c>
      <c r="L1371" s="128">
        <v>26.0</v>
      </c>
      <c r="M1371" s="128">
        <v>1068.4690619570945</v>
      </c>
      <c r="N1371" s="44"/>
      <c r="O1371" s="128"/>
      <c r="P1371" s="128"/>
      <c r="Q1371" s="128"/>
      <c r="V1371" s="44" t="s">
        <v>125</v>
      </c>
      <c r="W1371" s="128">
        <v>891.3650095898078</v>
      </c>
      <c r="X1371" s="128">
        <v>13.0</v>
      </c>
      <c r="Y1371" s="128">
        <v>883.6735880866092</v>
      </c>
      <c r="Z1371" s="44" t="s">
        <v>112</v>
      </c>
      <c r="AA1371" s="128">
        <v>921.2868007692293</v>
      </c>
      <c r="AB1371" s="128">
        <v>15.0</v>
      </c>
      <c r="AC1371" s="128">
        <v>914.2712524856591</v>
      </c>
      <c r="AD1371" s="44" t="s">
        <v>27</v>
      </c>
      <c r="AE1371" s="128">
        <v>1192.828899720299</v>
      </c>
      <c r="AF1371" s="128">
        <v>22.0</v>
      </c>
      <c r="AG1371" s="128">
        <v>1188.5358695070677</v>
      </c>
      <c r="AH1371" s="44"/>
      <c r="AI1371" s="128"/>
      <c r="AJ1371" s="128"/>
      <c r="AK1371" s="128"/>
      <c r="AP1371" s="128">
        <v>16.0</v>
      </c>
      <c r="AQ1371" s="128">
        <v>12.0</v>
      </c>
      <c r="AS1371" s="44" t="s">
        <v>556</v>
      </c>
      <c r="AT1371" s="44">
        <v>1370.0</v>
      </c>
      <c r="AU1371" s="44"/>
      <c r="AW1371" s="93"/>
      <c r="AY1371" s="93"/>
      <c r="AZ1371" s="93"/>
      <c r="BA1371" s="93"/>
      <c r="BB1371" s="155"/>
      <c r="BC1371" s="93"/>
      <c r="BE1371" s="93"/>
      <c r="BG1371" s="93"/>
      <c r="BH1371" s="93"/>
      <c r="BI1371" s="93"/>
      <c r="BJ1371" s="155"/>
      <c r="BK1371" s="93"/>
    </row>
    <row r="1372">
      <c r="A1372" s="166">
        <v>44892.954900868055</v>
      </c>
      <c r="B1372" s="44" t="s">
        <v>88</v>
      </c>
      <c r="C1372" s="128">
        <v>974.5675029247758</v>
      </c>
      <c r="D1372" s="128">
        <v>18.0</v>
      </c>
      <c r="E1372" s="128">
        <v>969.5372591997361</v>
      </c>
      <c r="F1372" s="44" t="s">
        <v>98</v>
      </c>
      <c r="G1372" s="128">
        <v>976.6816762187541</v>
      </c>
      <c r="H1372" s="128">
        <v>16.0</v>
      </c>
      <c r="I1372" s="128">
        <v>970.7631471503696</v>
      </c>
      <c r="J1372" s="44" t="s">
        <v>92</v>
      </c>
      <c r="K1372" s="128">
        <v>980.7630163944231</v>
      </c>
      <c r="L1372" s="128">
        <v>12.0</v>
      </c>
      <c r="M1372" s="128">
        <v>973.0696607754716</v>
      </c>
      <c r="N1372" s="44" t="s">
        <v>27</v>
      </c>
      <c r="O1372" s="128">
        <v>1188.5358695070677</v>
      </c>
      <c r="P1372" s="128">
        <v>25.0</v>
      </c>
      <c r="Q1372" s="128">
        <v>1186.1779979194432</v>
      </c>
      <c r="V1372" s="44" t="s">
        <v>112</v>
      </c>
      <c r="W1372" s="128">
        <v>914.2712524856591</v>
      </c>
      <c r="X1372" s="128">
        <v>24.0</v>
      </c>
      <c r="Y1372" s="128">
        <v>921.5563944682382</v>
      </c>
      <c r="Z1372" s="44" t="s">
        <v>107</v>
      </c>
      <c r="AA1372" s="128">
        <v>951.16554583905</v>
      </c>
      <c r="AB1372" s="128">
        <v>17.0</v>
      </c>
      <c r="AC1372" s="128">
        <v>954.9905643671588</v>
      </c>
      <c r="AD1372" s="44" t="s">
        <v>47</v>
      </c>
      <c r="AE1372" s="128">
        <v>1068.4690619570945</v>
      </c>
      <c r="AF1372" s="128">
        <v>17.0</v>
      </c>
      <c r="AG1372" s="128">
        <v>1071.6925243058447</v>
      </c>
      <c r="AH1372" s="44" t="s">
        <v>23</v>
      </c>
      <c r="AI1372" s="128">
        <v>1176.2154386748207</v>
      </c>
      <c r="AJ1372" s="128">
        <v>25.0</v>
      </c>
      <c r="AK1372" s="128">
        <v>1182.8818158153827</v>
      </c>
      <c r="AP1372" s="128">
        <v>11.0</v>
      </c>
      <c r="AQ1372" s="128">
        <v>17.0</v>
      </c>
      <c r="AS1372" s="44" t="s">
        <v>229</v>
      </c>
      <c r="AT1372" s="44">
        <v>1371.0</v>
      </c>
      <c r="AU1372" s="44"/>
      <c r="AW1372" s="93"/>
      <c r="AY1372" s="93"/>
      <c r="AZ1372" s="93"/>
      <c r="BA1372" s="93"/>
      <c r="BB1372" s="155"/>
      <c r="BC1372" s="93"/>
      <c r="BE1372" s="93"/>
      <c r="BG1372" s="93"/>
      <c r="BH1372" s="93"/>
      <c r="BI1372" s="93"/>
      <c r="BJ1372" s="155"/>
      <c r="BK1372" s="93"/>
    </row>
    <row r="1373">
      <c r="A1373" s="166">
        <v>44893.00482486111</v>
      </c>
      <c r="B1373" s="44" t="s">
        <v>125</v>
      </c>
      <c r="C1373" s="128">
        <v>883.6735880866092</v>
      </c>
      <c r="D1373" s="128">
        <v>11.0</v>
      </c>
      <c r="E1373" s="128">
        <v>884.5963599841818</v>
      </c>
      <c r="F1373" s="44" t="s">
        <v>88</v>
      </c>
      <c r="G1373" s="128">
        <v>969.5372591997361</v>
      </c>
      <c r="H1373" s="128">
        <v>17.0</v>
      </c>
      <c r="I1373" s="128">
        <v>971.6745105133303</v>
      </c>
      <c r="J1373" s="44" t="s">
        <v>92</v>
      </c>
      <c r="K1373" s="128">
        <v>973.0696607754716</v>
      </c>
      <c r="L1373" s="128">
        <v>22.0</v>
      </c>
      <c r="M1373" s="128">
        <v>976.8511067372945</v>
      </c>
      <c r="N1373" s="44" t="s">
        <v>34</v>
      </c>
      <c r="O1373" s="128">
        <v>1070.518894263805</v>
      </c>
      <c r="P1373" s="128">
        <v>28.0</v>
      </c>
      <c r="Q1373" s="128">
        <v>1075.9546495268924</v>
      </c>
      <c r="R1373" s="44" t="s">
        <v>23</v>
      </c>
      <c r="S1373" s="128">
        <v>1182.8818158153827</v>
      </c>
      <c r="T1373" s="128">
        <v>35.0</v>
      </c>
      <c r="U1373" s="128">
        <v>1190.6045913793055</v>
      </c>
      <c r="V1373" s="44" t="s">
        <v>112</v>
      </c>
      <c r="W1373" s="128">
        <v>921.5563944682382</v>
      </c>
      <c r="X1373" s="128">
        <v>22.0</v>
      </c>
      <c r="Y1373" s="128">
        <v>918.6986362211909</v>
      </c>
      <c r="Z1373" s="44" t="s">
        <v>108</v>
      </c>
      <c r="AA1373" s="128">
        <v>937.265652853437</v>
      </c>
      <c r="AB1373" s="128">
        <v>11.0</v>
      </c>
      <c r="AC1373" s="128">
        <v>930.6186225141411</v>
      </c>
      <c r="AD1373" s="44" t="s">
        <v>107</v>
      </c>
      <c r="AE1373" s="128">
        <v>954.9905643671588</v>
      </c>
      <c r="AF1373" s="128">
        <v>18.0</v>
      </c>
      <c r="AG1373" s="128">
        <v>950.5546817257368</v>
      </c>
      <c r="AH1373" s="44" t="s">
        <v>47</v>
      </c>
      <c r="AI1373" s="128">
        <v>1071.6925243058447</v>
      </c>
      <c r="AJ1373" s="128">
        <v>15.0</v>
      </c>
      <c r="AK1373" s="128">
        <v>1065.8489357558906</v>
      </c>
      <c r="AL1373" s="44" t="s">
        <v>27</v>
      </c>
      <c r="AM1373" s="128">
        <v>1186.1779979194432</v>
      </c>
      <c r="AN1373" s="128">
        <v>32.0</v>
      </c>
      <c r="AO1373" s="128">
        <v>1185.9622576971626</v>
      </c>
      <c r="AP1373" s="128">
        <v>17.0</v>
      </c>
      <c r="AQ1373" s="128">
        <v>11.0</v>
      </c>
      <c r="AS1373" s="44" t="s">
        <v>266</v>
      </c>
      <c r="AT1373" s="44">
        <v>1372.0</v>
      </c>
      <c r="AU1373" s="44"/>
      <c r="AW1373" s="93"/>
      <c r="AY1373" s="93"/>
      <c r="AZ1373" s="93"/>
      <c r="BA1373" s="93"/>
      <c r="BB1373" s="155"/>
      <c r="BC1373" s="93"/>
      <c r="BE1373" s="93"/>
      <c r="BG1373" s="93"/>
      <c r="BH1373" s="93"/>
      <c r="BI1373" s="93"/>
      <c r="BJ1373" s="155"/>
      <c r="BK1373" s="93"/>
    </row>
    <row r="1374">
      <c r="A1374" s="166">
        <v>44893.98379885417</v>
      </c>
      <c r="B1374" s="44" t="s">
        <v>112</v>
      </c>
      <c r="C1374" s="128">
        <v>918.6986362211909</v>
      </c>
      <c r="D1374" s="128">
        <v>18.0</v>
      </c>
      <c r="E1374" s="128">
        <v>925.161394203672</v>
      </c>
      <c r="F1374" s="44" t="s">
        <v>92</v>
      </c>
      <c r="G1374" s="128">
        <v>976.8511067372945</v>
      </c>
      <c r="H1374" s="128">
        <v>19.0</v>
      </c>
      <c r="I1374" s="128">
        <v>983.2054139663852</v>
      </c>
      <c r="J1374" s="44" t="s">
        <v>34</v>
      </c>
      <c r="K1374" s="128">
        <v>1075.9546495268924</v>
      </c>
      <c r="L1374" s="128">
        <v>23.0</v>
      </c>
      <c r="M1374" s="128">
        <v>1084.1375843153205</v>
      </c>
      <c r="N1374" s="44"/>
      <c r="O1374" s="128"/>
      <c r="P1374" s="128"/>
      <c r="Q1374" s="128"/>
      <c r="V1374" s="44" t="s">
        <v>107</v>
      </c>
      <c r="W1374" s="128">
        <v>950.5546817257368</v>
      </c>
      <c r="X1374" s="128">
        <v>21.0</v>
      </c>
      <c r="Y1374" s="128">
        <v>946.1631687684373</v>
      </c>
      <c r="Z1374" s="44" t="s">
        <v>88</v>
      </c>
      <c r="AA1374" s="128">
        <v>971.6745105133303</v>
      </c>
      <c r="AB1374" s="128">
        <v>8.0</v>
      </c>
      <c r="AC1374" s="128">
        <v>959.510746858922</v>
      </c>
      <c r="AD1374" s="44" t="s">
        <v>47</v>
      </c>
      <c r="AE1374" s="128">
        <v>1065.8489357558906</v>
      </c>
      <c r="AF1374" s="128">
        <v>22.0</v>
      </c>
      <c r="AG1374" s="128">
        <v>1061.4042123675983</v>
      </c>
      <c r="AH1374" s="44"/>
      <c r="AI1374" s="128"/>
      <c r="AJ1374" s="128"/>
      <c r="AK1374" s="128"/>
      <c r="AP1374" s="128">
        <v>16.0</v>
      </c>
      <c r="AQ1374" s="128">
        <v>12.0</v>
      </c>
      <c r="AT1374" s="44">
        <v>1373.0</v>
      </c>
      <c r="AU1374" s="44"/>
      <c r="AW1374" s="93"/>
      <c r="AY1374" s="93"/>
      <c r="AZ1374" s="93"/>
      <c r="BA1374" s="93"/>
      <c r="BB1374" s="155"/>
      <c r="BC1374" s="93"/>
      <c r="BE1374" s="93"/>
      <c r="BG1374" s="93"/>
      <c r="BH1374" s="93"/>
      <c r="BI1374" s="93"/>
      <c r="BJ1374" s="155"/>
      <c r="BK1374" s="93"/>
    </row>
    <row r="1375">
      <c r="A1375" s="166">
        <v>44894.018684282404</v>
      </c>
      <c r="B1375" s="44" t="s">
        <v>112</v>
      </c>
      <c r="C1375" s="128">
        <v>925.161394203672</v>
      </c>
      <c r="D1375" s="128">
        <v>21.0</v>
      </c>
      <c r="E1375" s="128">
        <v>930.272350359604</v>
      </c>
      <c r="F1375" s="44" t="s">
        <v>107</v>
      </c>
      <c r="G1375" s="128">
        <v>946.1631687684373</v>
      </c>
      <c r="H1375" s="128">
        <v>20.0</v>
      </c>
      <c r="I1375" s="128">
        <v>950.68547725864</v>
      </c>
      <c r="J1375" s="44" t="s">
        <v>92</v>
      </c>
      <c r="K1375" s="128">
        <v>983.2054139663852</v>
      </c>
      <c r="L1375" s="128">
        <v>21.0</v>
      </c>
      <c r="M1375" s="128">
        <v>987.8549628675222</v>
      </c>
      <c r="N1375" s="44" t="s">
        <v>34</v>
      </c>
      <c r="O1375" s="128">
        <v>1084.1375843153205</v>
      </c>
      <c r="P1375" s="128">
        <v>22.0</v>
      </c>
      <c r="Q1375" s="128">
        <v>1088.8547707680489</v>
      </c>
      <c r="V1375" s="44" t="s">
        <v>125</v>
      </c>
      <c r="W1375" s="128">
        <v>884.5963599841818</v>
      </c>
      <c r="X1375" s="128">
        <v>10.0</v>
      </c>
      <c r="Y1375" s="128">
        <v>877.2515973469851</v>
      </c>
      <c r="Z1375" s="44" t="s">
        <v>88</v>
      </c>
      <c r="AA1375" s="128">
        <v>959.510746858922</v>
      </c>
      <c r="AB1375" s="128">
        <v>17.0</v>
      </c>
      <c r="AC1375" s="128">
        <v>954.2792950582402</v>
      </c>
      <c r="AD1375" s="44" t="s">
        <v>43</v>
      </c>
      <c r="AE1375" s="128">
        <v>1024.3516277232995</v>
      </c>
      <c r="AF1375" s="128">
        <v>18.0</v>
      </c>
      <c r="AG1375" s="128">
        <v>1019.2037326495101</v>
      </c>
      <c r="AH1375" s="44" t="s">
        <v>47</v>
      </c>
      <c r="AI1375" s="128">
        <v>1061.4042123675983</v>
      </c>
      <c r="AJ1375" s="128">
        <v>28.0</v>
      </c>
      <c r="AK1375" s="128">
        <v>1060.1283218792664</v>
      </c>
      <c r="AP1375" s="128">
        <v>16.0</v>
      </c>
      <c r="AQ1375" s="128">
        <v>12.0</v>
      </c>
      <c r="AT1375" s="44">
        <v>1374.0</v>
      </c>
      <c r="AU1375" s="44"/>
      <c r="AW1375" s="93"/>
      <c r="AY1375" s="93"/>
      <c r="AZ1375" s="93"/>
      <c r="BA1375" s="93"/>
      <c r="BB1375" s="155"/>
      <c r="BC1375" s="93"/>
      <c r="BE1375" s="93"/>
      <c r="BG1375" s="93"/>
      <c r="BH1375" s="93"/>
      <c r="BI1375" s="93"/>
      <c r="BJ1375" s="155"/>
      <c r="BK1375" s="93"/>
    </row>
    <row r="1376">
      <c r="A1376" s="166">
        <v>44894.94708491898</v>
      </c>
      <c r="B1376" s="44" t="s">
        <v>123</v>
      </c>
      <c r="C1376" s="128">
        <v>919.6618699858392</v>
      </c>
      <c r="D1376" s="128">
        <v>17.0</v>
      </c>
      <c r="E1376" s="128">
        <v>916.4145231544499</v>
      </c>
      <c r="F1376" s="44" t="s">
        <v>112</v>
      </c>
      <c r="G1376" s="128">
        <v>930.272350359604</v>
      </c>
      <c r="H1376" s="128">
        <v>18.0</v>
      </c>
      <c r="I1376" s="128">
        <v>927.24133089075</v>
      </c>
      <c r="J1376" s="44" t="s">
        <v>47</v>
      </c>
      <c r="K1376" s="128">
        <v>1060.1283218792664</v>
      </c>
      <c r="L1376" s="128">
        <v>17.0</v>
      </c>
      <c r="M1376" s="128">
        <v>1056.40668817951</v>
      </c>
      <c r="N1376" s="44"/>
      <c r="O1376" s="128"/>
      <c r="P1376" s="128"/>
      <c r="Q1376" s="128"/>
      <c r="V1376" s="44" t="s">
        <v>107</v>
      </c>
      <c r="W1376" s="128">
        <v>950.68547725864</v>
      </c>
      <c r="X1376" s="128">
        <v>25.0</v>
      </c>
      <c r="Y1376" s="128">
        <v>955.197274515343</v>
      </c>
      <c r="Z1376" s="44" t="s">
        <v>88</v>
      </c>
      <c r="AA1376" s="128">
        <v>954.2792950582402</v>
      </c>
      <c r="AB1376" s="128">
        <v>20.0</v>
      </c>
      <c r="AC1376" s="128">
        <v>957.3818253793592</v>
      </c>
      <c r="AD1376" s="44" t="s">
        <v>92</v>
      </c>
      <c r="AE1376" s="128">
        <v>987.8549628675222</v>
      </c>
      <c r="AF1376" s="128">
        <v>18.0</v>
      </c>
      <c r="AG1376" s="128">
        <v>990.2406352897004</v>
      </c>
      <c r="AH1376" s="44"/>
      <c r="AI1376" s="128"/>
      <c r="AJ1376" s="128"/>
      <c r="AK1376" s="128"/>
      <c r="AP1376" s="128">
        <v>13.0</v>
      </c>
      <c r="AQ1376" s="128">
        <v>15.0</v>
      </c>
      <c r="AT1376" s="44">
        <v>1375.0</v>
      </c>
      <c r="AU1376" s="44"/>
      <c r="AW1376" s="93"/>
      <c r="AY1376" s="93"/>
      <c r="AZ1376" s="93"/>
      <c r="BA1376" s="93"/>
      <c r="BB1376" s="155"/>
      <c r="BC1376" s="93"/>
      <c r="BE1376" s="93"/>
      <c r="BG1376" s="93"/>
      <c r="BH1376" s="93"/>
      <c r="BI1376" s="93"/>
      <c r="BJ1376" s="155"/>
      <c r="BK1376" s="93"/>
    </row>
    <row r="1377">
      <c r="A1377" s="166">
        <v>44894.9891674074</v>
      </c>
      <c r="B1377" s="44" t="s">
        <v>125</v>
      </c>
      <c r="C1377" s="128">
        <v>877.2515973469851</v>
      </c>
      <c r="D1377" s="128">
        <v>10.0</v>
      </c>
      <c r="E1377" s="128">
        <v>878.3479180755934</v>
      </c>
      <c r="F1377" s="44" t="s">
        <v>123</v>
      </c>
      <c r="G1377" s="128">
        <v>916.4145231544499</v>
      </c>
      <c r="H1377" s="128">
        <v>9.0</v>
      </c>
      <c r="I1377" s="128">
        <v>917.0858276746733</v>
      </c>
      <c r="J1377" s="44" t="s">
        <v>88</v>
      </c>
      <c r="K1377" s="128">
        <v>957.3818253793592</v>
      </c>
      <c r="L1377" s="128">
        <v>24.0</v>
      </c>
      <c r="M1377" s="128">
        <v>961.0011202325766</v>
      </c>
      <c r="N1377" s="44" t="s">
        <v>23</v>
      </c>
      <c r="O1377" s="128">
        <v>1190.6045913793055</v>
      </c>
      <c r="P1377" s="128">
        <v>30.0</v>
      </c>
      <c r="Q1377" s="128">
        <v>1195.2176712772564</v>
      </c>
      <c r="V1377" s="44" t="s">
        <v>112</v>
      </c>
      <c r="W1377" s="128">
        <v>927.24133089075</v>
      </c>
      <c r="X1377" s="128">
        <v>20.0</v>
      </c>
      <c r="Y1377" s="128">
        <v>925.2729086795367</v>
      </c>
      <c r="Z1377" s="44" t="s">
        <v>107</v>
      </c>
      <c r="AA1377" s="128">
        <v>955.197274515343</v>
      </c>
      <c r="AB1377" s="128">
        <v>13.0</v>
      </c>
      <c r="AC1377" s="128">
        <v>951.6572613041137</v>
      </c>
      <c r="AD1377" s="44" t="s">
        <v>92</v>
      </c>
      <c r="AE1377" s="128">
        <v>990.2406352897004</v>
      </c>
      <c r="AF1377" s="128">
        <v>19.0</v>
      </c>
      <c r="AG1377" s="128">
        <v>987.8424364389485</v>
      </c>
      <c r="AH1377" s="44" t="s">
        <v>47</v>
      </c>
      <c r="AI1377" s="128">
        <v>1056.40668817951</v>
      </c>
      <c r="AJ1377" s="128">
        <v>21.0</v>
      </c>
      <c r="AK1377" s="128">
        <v>1054.3133224527044</v>
      </c>
      <c r="AP1377" s="128">
        <v>14.0</v>
      </c>
      <c r="AQ1377" s="128">
        <v>13.0</v>
      </c>
      <c r="AT1377" s="44">
        <v>1376.0</v>
      </c>
      <c r="AU1377" s="44"/>
      <c r="AW1377" s="93"/>
      <c r="AY1377" s="93"/>
      <c r="AZ1377" s="93"/>
      <c r="BA1377" s="93"/>
      <c r="BB1377" s="155"/>
      <c r="BC1377" s="93"/>
      <c r="BE1377" s="93"/>
      <c r="BG1377" s="93"/>
      <c r="BH1377" s="93"/>
      <c r="BI1377" s="93"/>
      <c r="BJ1377" s="155"/>
      <c r="BK1377" s="93"/>
    </row>
    <row r="1378">
      <c r="A1378" s="166">
        <v>44895.03956508102</v>
      </c>
      <c r="B1378" s="44" t="s">
        <v>105</v>
      </c>
      <c r="C1378" s="128">
        <v>979.4323440867736</v>
      </c>
      <c r="D1378" s="128">
        <v>17.0</v>
      </c>
      <c r="E1378" s="128">
        <v>971.0534827128592</v>
      </c>
      <c r="F1378" s="44" t="s">
        <v>119</v>
      </c>
      <c r="G1378" s="128">
        <v>995.5831529697028</v>
      </c>
      <c r="H1378" s="128">
        <v>15.0</v>
      </c>
      <c r="I1378" s="128">
        <v>985.9100505342869</v>
      </c>
      <c r="J1378" s="44" t="s">
        <v>621</v>
      </c>
      <c r="K1378" s="128">
        <v>995.7730011359774</v>
      </c>
      <c r="L1378" s="128">
        <v>16.0</v>
      </c>
      <c r="M1378" s="128">
        <v>986.6818688661538</v>
      </c>
      <c r="N1378" s="44" t="s">
        <v>85</v>
      </c>
      <c r="O1378" s="128">
        <v>1000.0</v>
      </c>
      <c r="P1378" s="128">
        <v>23.0</v>
      </c>
      <c r="Q1378" s="128">
        <v>994.9626525054788</v>
      </c>
      <c r="R1378" s="44" t="s">
        <v>43</v>
      </c>
      <c r="S1378" s="128">
        <v>1019.2037326495101</v>
      </c>
      <c r="T1378" s="128">
        <v>27.0</v>
      </c>
      <c r="U1378" s="128">
        <v>1016.3841762231854</v>
      </c>
      <c r="V1378" s="44" t="s">
        <v>125</v>
      </c>
      <c r="W1378" s="128">
        <v>878.3479180755934</v>
      </c>
      <c r="X1378" s="128">
        <v>13.0</v>
      </c>
      <c r="Y1378" s="128">
        <v>881.6625724154279</v>
      </c>
      <c r="Z1378" s="44" t="s">
        <v>123</v>
      </c>
      <c r="AA1378" s="128">
        <v>917.0858276746733</v>
      </c>
      <c r="AB1378" s="128">
        <v>15.0</v>
      </c>
      <c r="AC1378" s="128">
        <v>920.8659097178576</v>
      </c>
      <c r="AD1378" s="44" t="s">
        <v>112</v>
      </c>
      <c r="AE1378" s="128">
        <v>925.2729086795367</v>
      </c>
      <c r="AF1378" s="128">
        <v>31.0</v>
      </c>
      <c r="AG1378" s="128">
        <v>938.256830829398</v>
      </c>
      <c r="AH1378" s="44" t="s">
        <v>107</v>
      </c>
      <c r="AI1378" s="128">
        <v>951.6572613041137</v>
      </c>
      <c r="AJ1378" s="128">
        <v>21.0</v>
      </c>
      <c r="AK1378" s="128">
        <v>958.4376307687808</v>
      </c>
      <c r="AL1378" s="44" t="s">
        <v>92</v>
      </c>
      <c r="AM1378" s="128">
        <v>987.8424364389485</v>
      </c>
      <c r="AN1378" s="128">
        <v>24.0</v>
      </c>
      <c r="AO1378" s="128">
        <v>995.9834084414015</v>
      </c>
      <c r="AP1378" s="128">
        <v>12.0</v>
      </c>
      <c r="AQ1378" s="128">
        <v>16.0</v>
      </c>
      <c r="AT1378" s="44">
        <v>1377.0</v>
      </c>
      <c r="AU1378" s="44"/>
      <c r="AW1378" s="93"/>
      <c r="AY1378" s="93"/>
      <c r="AZ1378" s="93"/>
      <c r="BA1378" s="93"/>
      <c r="BB1378" s="155"/>
      <c r="BC1378" s="93"/>
      <c r="BE1378" s="93"/>
      <c r="BG1378" s="93"/>
      <c r="BH1378" s="93"/>
      <c r="BI1378" s="93"/>
      <c r="BJ1378" s="155"/>
      <c r="BK1378" s="93"/>
    </row>
    <row r="1379">
      <c r="A1379" s="166">
        <v>44895.99789351852</v>
      </c>
      <c r="B1379" s="44" t="s">
        <v>110</v>
      </c>
      <c r="C1379" s="128">
        <v>969.6545009540796</v>
      </c>
      <c r="D1379" s="128">
        <v>9.0</v>
      </c>
      <c r="E1379" s="128">
        <v>960.3663672880555</v>
      </c>
      <c r="F1379" s="44" t="s">
        <v>61</v>
      </c>
      <c r="G1379" s="128">
        <v>982.7675523200006</v>
      </c>
      <c r="H1379" s="128">
        <v>10.0</v>
      </c>
      <c r="I1379" s="128">
        <v>973.9556000807933</v>
      </c>
      <c r="J1379" s="44" t="s">
        <v>34</v>
      </c>
      <c r="K1379" s="128">
        <v>1088.8547707680489</v>
      </c>
      <c r="L1379" s="128">
        <v>23.0</v>
      </c>
      <c r="M1379" s="128">
        <v>1086.9548566732803</v>
      </c>
      <c r="N1379" s="44"/>
      <c r="O1379" s="128"/>
      <c r="P1379" s="128"/>
      <c r="Q1379" s="128"/>
      <c r="V1379" s="44" t="s">
        <v>125</v>
      </c>
      <c r="W1379" s="128">
        <v>881.6625724154279</v>
      </c>
      <c r="X1379" s="128">
        <v>20.0</v>
      </c>
      <c r="Y1379" s="128">
        <v>889.4766340218115</v>
      </c>
      <c r="Z1379" s="44" t="s">
        <v>88</v>
      </c>
      <c r="AA1379" s="128">
        <v>961.0011202325766</v>
      </c>
      <c r="AB1379" s="128">
        <v>17.0</v>
      </c>
      <c r="AC1379" s="128">
        <v>966.052594746386</v>
      </c>
      <c r="AD1379" s="44" t="s">
        <v>23</v>
      </c>
      <c r="AE1379" s="128">
        <v>1195.2176712772564</v>
      </c>
      <c r="AF1379" s="128">
        <v>22.0</v>
      </c>
      <c r="AG1379" s="128">
        <v>1202.3521351570632</v>
      </c>
      <c r="AH1379" s="44"/>
      <c r="AI1379" s="128"/>
      <c r="AJ1379" s="128"/>
      <c r="AK1379" s="128"/>
      <c r="AP1379" s="128">
        <v>11.0</v>
      </c>
      <c r="AQ1379" s="128">
        <v>17.0</v>
      </c>
      <c r="AS1379" s="44" t="s">
        <v>229</v>
      </c>
      <c r="AT1379" s="44">
        <v>1378.0</v>
      </c>
      <c r="AU1379" s="44"/>
      <c r="AW1379" s="93"/>
      <c r="AY1379" s="93"/>
      <c r="AZ1379" s="93"/>
      <c r="BA1379" s="93"/>
      <c r="BB1379" s="155"/>
      <c r="BC1379" s="93"/>
      <c r="BE1379" s="93"/>
      <c r="BG1379" s="93"/>
      <c r="BH1379" s="93"/>
      <c r="BI1379" s="93"/>
      <c r="BJ1379" s="155"/>
      <c r="BK1379" s="93"/>
    </row>
    <row r="1380">
      <c r="A1380" s="166">
        <v>44896.962236782405</v>
      </c>
      <c r="B1380" s="44" t="s">
        <v>125</v>
      </c>
      <c r="C1380" s="128">
        <v>889.4766340218115</v>
      </c>
      <c r="D1380" s="128">
        <v>6.0</v>
      </c>
      <c r="E1380" s="128">
        <v>885.293944770324</v>
      </c>
      <c r="F1380" s="44" t="s">
        <v>88</v>
      </c>
      <c r="G1380" s="128">
        <v>966.052594746386</v>
      </c>
      <c r="H1380" s="128">
        <v>23.0</v>
      </c>
      <c r="I1380" s="128">
        <v>964.7584523001718</v>
      </c>
      <c r="J1380" s="44" t="s">
        <v>34</v>
      </c>
      <c r="K1380" s="128">
        <v>1086.9548566732803</v>
      </c>
      <c r="L1380" s="128">
        <v>18.0</v>
      </c>
      <c r="M1380" s="128">
        <v>1084.5437528915133</v>
      </c>
      <c r="N1380" s="44" t="s">
        <v>23</v>
      </c>
      <c r="O1380" s="128">
        <v>1202.3521351570632</v>
      </c>
      <c r="P1380" s="128">
        <v>25.0</v>
      </c>
      <c r="Q1380" s="128">
        <v>1201.240070636532</v>
      </c>
      <c r="V1380" s="44" t="s">
        <v>112</v>
      </c>
      <c r="W1380" s="128">
        <v>938.256830829398</v>
      </c>
      <c r="X1380" s="128">
        <v>13.0</v>
      </c>
      <c r="Y1380" s="128">
        <v>939.2511526283271</v>
      </c>
      <c r="Z1380" s="44" t="s">
        <v>92</v>
      </c>
      <c r="AA1380" s="128">
        <v>995.9834084414015</v>
      </c>
      <c r="AB1380" s="128">
        <v>21.0</v>
      </c>
      <c r="AC1380" s="128">
        <v>998.2907951987678</v>
      </c>
      <c r="AD1380" s="44" t="s">
        <v>47</v>
      </c>
      <c r="AE1380" s="128">
        <v>1054.3133224527044</v>
      </c>
      <c r="AF1380" s="128">
        <v>20.0</v>
      </c>
      <c r="AG1380" s="128">
        <v>1056.337821890564</v>
      </c>
      <c r="AH1380" s="44" t="s">
        <v>27</v>
      </c>
      <c r="AI1380" s="128">
        <v>1185.9622576971626</v>
      </c>
      <c r="AJ1380" s="128">
        <v>29.0</v>
      </c>
      <c r="AK1380" s="128">
        <v>1189.6360497030075</v>
      </c>
      <c r="AP1380" s="128">
        <v>13.0</v>
      </c>
      <c r="AQ1380" s="128">
        <v>15.0</v>
      </c>
      <c r="AT1380" s="44">
        <v>1379.0</v>
      </c>
      <c r="AU1380" s="44"/>
      <c r="AW1380" s="93"/>
      <c r="AY1380" s="93"/>
      <c r="AZ1380" s="93"/>
      <c r="BA1380" s="93"/>
      <c r="BB1380" s="155"/>
      <c r="BC1380" s="93"/>
      <c r="BE1380" s="93"/>
      <c r="BG1380" s="93"/>
      <c r="BH1380" s="93"/>
      <c r="BI1380" s="93"/>
      <c r="BJ1380" s="155"/>
      <c r="BK1380" s="93"/>
    </row>
    <row r="1381">
      <c r="A1381" s="166">
        <v>44897.00114006945</v>
      </c>
      <c r="B1381" s="44" t="s">
        <v>125</v>
      </c>
      <c r="C1381" s="128">
        <v>885.293944770324</v>
      </c>
      <c r="D1381" s="128">
        <v>11.0</v>
      </c>
      <c r="E1381" s="128">
        <v>887.9942108854079</v>
      </c>
      <c r="F1381" s="44" t="s">
        <v>88</v>
      </c>
      <c r="G1381" s="128">
        <v>964.7584523001718</v>
      </c>
      <c r="H1381" s="128">
        <v>12.0</v>
      </c>
      <c r="I1381" s="128">
        <v>967.0782285153525</v>
      </c>
      <c r="J1381" s="44" t="s">
        <v>34</v>
      </c>
      <c r="K1381" s="128">
        <v>1084.5437528915133</v>
      </c>
      <c r="L1381" s="128">
        <v>32.0</v>
      </c>
      <c r="M1381" s="128">
        <v>1095.9496100313563</v>
      </c>
      <c r="N1381" s="44" t="s">
        <v>23</v>
      </c>
      <c r="O1381" s="128">
        <v>1201.240070636532</v>
      </c>
      <c r="P1381" s="128">
        <v>22.0</v>
      </c>
      <c r="Q1381" s="128">
        <v>1207.8141711664246</v>
      </c>
      <c r="V1381" s="44" t="s">
        <v>112</v>
      </c>
      <c r="W1381" s="128">
        <v>939.2511526283271</v>
      </c>
      <c r="X1381" s="128">
        <v>11.0</v>
      </c>
      <c r="Y1381" s="128">
        <v>931.3764462770677</v>
      </c>
      <c r="Z1381" s="44" t="s">
        <v>92</v>
      </c>
      <c r="AA1381" s="128">
        <v>998.2907951987678</v>
      </c>
      <c r="AB1381" s="128">
        <v>15.0</v>
      </c>
      <c r="AC1381" s="128">
        <v>991.9580955378735</v>
      </c>
      <c r="AD1381" s="44" t="s">
        <v>47</v>
      </c>
      <c r="AE1381" s="128">
        <v>1056.337821890564</v>
      </c>
      <c r="AF1381" s="128">
        <v>18.0</v>
      </c>
      <c r="AG1381" s="128">
        <v>1051.2592755567848</v>
      </c>
      <c r="AH1381" s="44" t="s">
        <v>27</v>
      </c>
      <c r="AI1381" s="128">
        <v>1189.6360497030075</v>
      </c>
      <c r="AJ1381" s="128">
        <v>21.0</v>
      </c>
      <c r="AK1381" s="128">
        <v>1185.9220020489404</v>
      </c>
      <c r="AP1381" s="128">
        <v>17.0</v>
      </c>
      <c r="AQ1381" s="128">
        <v>11.0</v>
      </c>
      <c r="AT1381" s="44">
        <v>1380.0</v>
      </c>
      <c r="AU1381" s="44"/>
      <c r="AW1381" s="93"/>
      <c r="AY1381" s="93"/>
      <c r="AZ1381" s="93"/>
      <c r="BA1381" s="93"/>
      <c r="BB1381" s="155"/>
      <c r="BC1381" s="93"/>
      <c r="BE1381" s="93"/>
      <c r="BG1381" s="93"/>
      <c r="BH1381" s="93"/>
      <c r="BI1381" s="93"/>
      <c r="BJ1381" s="155"/>
      <c r="BK1381" s="93"/>
    </row>
    <row r="1382">
      <c r="A1382" s="166">
        <v>44897.962351423615</v>
      </c>
      <c r="B1382" s="44" t="s">
        <v>107</v>
      </c>
      <c r="C1382" s="128">
        <v>958.4376307687808</v>
      </c>
      <c r="D1382" s="128">
        <v>13.0</v>
      </c>
      <c r="E1382" s="128">
        <v>961.8360123728963</v>
      </c>
      <c r="F1382" s="44" t="s">
        <v>88</v>
      </c>
      <c r="G1382" s="128">
        <v>967.0782285153525</v>
      </c>
      <c r="H1382" s="128">
        <v>18.0</v>
      </c>
      <c r="I1382" s="128">
        <v>973.1752990295523</v>
      </c>
      <c r="J1382" s="44" t="s">
        <v>23</v>
      </c>
      <c r="K1382" s="128">
        <v>1207.8141711664246</v>
      </c>
      <c r="L1382" s="128">
        <v>27.0</v>
      </c>
      <c r="M1382" s="128">
        <v>1218.3187190481092</v>
      </c>
      <c r="N1382" s="44"/>
      <c r="O1382" s="128"/>
      <c r="P1382" s="128"/>
      <c r="Q1382" s="128"/>
      <c r="V1382" s="44" t="s">
        <v>125</v>
      </c>
      <c r="W1382" s="128">
        <v>887.9942108854079</v>
      </c>
      <c r="X1382" s="128">
        <v>11.0</v>
      </c>
      <c r="Y1382" s="128">
        <v>879.041610044014</v>
      </c>
      <c r="Z1382" s="44" t="s">
        <v>47</v>
      </c>
      <c r="AA1382" s="128">
        <v>1051.2592755567848</v>
      </c>
      <c r="AB1382" s="128">
        <v>14.0</v>
      </c>
      <c r="AC1382" s="128">
        <v>1042.731148242089</v>
      </c>
      <c r="AD1382" s="44" t="s">
        <v>27</v>
      </c>
      <c r="AE1382" s="128">
        <v>1185.9220020489404</v>
      </c>
      <c r="AF1382" s="128">
        <v>25.0</v>
      </c>
      <c r="AG1382" s="128">
        <v>1183.4027302050301</v>
      </c>
      <c r="AH1382" s="44"/>
      <c r="AI1382" s="128"/>
      <c r="AJ1382" s="128"/>
      <c r="AK1382" s="128"/>
      <c r="AP1382" s="128">
        <v>17.0</v>
      </c>
      <c r="AQ1382" s="128">
        <v>11.0</v>
      </c>
      <c r="AT1382" s="44">
        <v>1381.0</v>
      </c>
      <c r="AU1382" s="44"/>
      <c r="AW1382" s="93"/>
      <c r="AY1382" s="93"/>
      <c r="AZ1382" s="93"/>
      <c r="BA1382" s="93"/>
      <c r="BB1382" s="155"/>
      <c r="BC1382" s="93"/>
      <c r="BE1382" s="93"/>
      <c r="BG1382" s="93"/>
      <c r="BH1382" s="93"/>
      <c r="BI1382" s="93"/>
      <c r="BJ1382" s="155"/>
      <c r="BK1382" s="93"/>
    </row>
    <row r="1383">
      <c r="A1383" s="166">
        <v>44898.00803445602</v>
      </c>
      <c r="B1383" s="44" t="s">
        <v>107</v>
      </c>
      <c r="C1383" s="128">
        <v>961.8360123728963</v>
      </c>
      <c r="D1383" s="128">
        <v>31.0</v>
      </c>
      <c r="E1383" s="128">
        <v>967.3104414676636</v>
      </c>
      <c r="F1383" s="44" t="s">
        <v>88</v>
      </c>
      <c r="G1383" s="128">
        <v>973.1752990295523</v>
      </c>
      <c r="H1383" s="128">
        <v>20.0</v>
      </c>
      <c r="I1383" s="128">
        <v>975.2171142093243</v>
      </c>
      <c r="J1383" s="44" t="s">
        <v>27</v>
      </c>
      <c r="K1383" s="128">
        <v>1183.4027302050301</v>
      </c>
      <c r="L1383" s="128">
        <v>26.0</v>
      </c>
      <c r="M1383" s="128">
        <v>1186.8864859304908</v>
      </c>
      <c r="N1383" s="44"/>
      <c r="O1383" s="128"/>
      <c r="P1383" s="128"/>
      <c r="Q1383" s="128"/>
      <c r="V1383" s="44" t="s">
        <v>125</v>
      </c>
      <c r="W1383" s="128">
        <v>879.041610044014</v>
      </c>
      <c r="X1383" s="128">
        <v>14.0</v>
      </c>
      <c r="Y1383" s="128">
        <v>872.7796766344993</v>
      </c>
      <c r="Z1383" s="44" t="s">
        <v>47</v>
      </c>
      <c r="AA1383" s="128">
        <v>1042.731148242089</v>
      </c>
      <c r="AB1383" s="128">
        <v>31.0</v>
      </c>
      <c r="AC1383" s="128">
        <v>1040.5676051868045</v>
      </c>
      <c r="AD1383" s="44" t="s">
        <v>23</v>
      </c>
      <c r="AE1383" s="128">
        <v>1218.3187190481092</v>
      </c>
      <c r="AF1383" s="128">
        <v>30.0</v>
      </c>
      <c r="AG1383" s="128">
        <v>1215.7441955129082</v>
      </c>
      <c r="AH1383" s="44"/>
      <c r="AI1383" s="128"/>
      <c r="AJ1383" s="128"/>
      <c r="AK1383" s="128"/>
      <c r="AP1383" s="128">
        <v>23.0</v>
      </c>
      <c r="AQ1383" s="128">
        <v>19.0</v>
      </c>
      <c r="AT1383" s="44">
        <v>1382.0</v>
      </c>
      <c r="AU1383" s="44"/>
      <c r="AW1383" s="93"/>
      <c r="AY1383" s="93"/>
      <c r="AZ1383" s="93"/>
      <c r="BA1383" s="93"/>
      <c r="BB1383" s="155"/>
      <c r="BC1383" s="93"/>
      <c r="BE1383" s="93"/>
      <c r="BG1383" s="93"/>
      <c r="BH1383" s="93"/>
      <c r="BI1383" s="93"/>
      <c r="BJ1383" s="155"/>
      <c r="BK1383" s="93"/>
    </row>
    <row r="1384">
      <c r="A1384" s="166">
        <v>44898.0540632176</v>
      </c>
      <c r="B1384" s="44" t="s">
        <v>107</v>
      </c>
      <c r="C1384" s="128">
        <v>967.3104414676636</v>
      </c>
      <c r="D1384" s="128">
        <v>10.0</v>
      </c>
      <c r="E1384" s="128">
        <v>951.0264070691228</v>
      </c>
      <c r="F1384" s="44" t="s">
        <v>61</v>
      </c>
      <c r="G1384" s="128">
        <v>973.9556000807933</v>
      </c>
      <c r="H1384" s="128">
        <v>22.0</v>
      </c>
      <c r="I1384" s="128">
        <v>967.8442414244201</v>
      </c>
      <c r="J1384" s="44" t="s">
        <v>47</v>
      </c>
      <c r="K1384" s="128">
        <v>1040.5676051868045</v>
      </c>
      <c r="L1384" s="128">
        <v>16.0</v>
      </c>
      <c r="M1384" s="128">
        <v>1028.807591187796</v>
      </c>
      <c r="N1384" s="44" t="s">
        <v>27</v>
      </c>
      <c r="O1384" s="128">
        <v>1186.8864859304908</v>
      </c>
      <c r="P1384" s="128">
        <v>22.0</v>
      </c>
      <c r="Q1384" s="128">
        <v>1180.0418929844132</v>
      </c>
      <c r="V1384" s="44" t="s">
        <v>125</v>
      </c>
      <c r="W1384" s="128">
        <v>872.7796766344993</v>
      </c>
      <c r="X1384" s="128">
        <v>20.0</v>
      </c>
      <c r="Y1384" s="128">
        <v>883.9936612297377</v>
      </c>
      <c r="Z1384" s="44" t="s">
        <v>88</v>
      </c>
      <c r="AA1384" s="128">
        <v>975.2171142093243</v>
      </c>
      <c r="AB1384" s="128">
        <v>17.0</v>
      </c>
      <c r="AC1384" s="128">
        <v>981.7374028711371</v>
      </c>
      <c r="AD1384" s="44" t="s">
        <v>34</v>
      </c>
      <c r="AE1384" s="128">
        <v>1095.9496100313563</v>
      </c>
      <c r="AF1384" s="128">
        <v>14.0</v>
      </c>
      <c r="AG1384" s="128">
        <v>1099.0701329809547</v>
      </c>
      <c r="AH1384" s="44" t="s">
        <v>23</v>
      </c>
      <c r="AI1384" s="128">
        <v>1215.7441955129082</v>
      </c>
      <c r="AJ1384" s="128">
        <v>34.0</v>
      </c>
      <c r="AK1384" s="128">
        <v>1235.8893993062586</v>
      </c>
      <c r="AP1384" s="128">
        <v>9.0</v>
      </c>
      <c r="AQ1384" s="128">
        <v>19.0</v>
      </c>
      <c r="AT1384" s="44">
        <v>1383.0</v>
      </c>
      <c r="AU1384" s="44"/>
      <c r="AW1384" s="93"/>
      <c r="AY1384" s="93"/>
      <c r="AZ1384" s="93"/>
      <c r="BA1384" s="93"/>
      <c r="BB1384" s="155"/>
      <c r="BC1384" s="93"/>
      <c r="BE1384" s="93"/>
      <c r="BG1384" s="93"/>
      <c r="BH1384" s="93"/>
      <c r="BI1384" s="93"/>
      <c r="BJ1384" s="155"/>
      <c r="BK1384" s="93"/>
    </row>
    <row r="1385">
      <c r="A1385" s="166">
        <v>44899.013804490736</v>
      </c>
      <c r="B1385" s="44" t="s">
        <v>125</v>
      </c>
      <c r="C1385" s="128">
        <v>883.9936612297377</v>
      </c>
      <c r="D1385" s="128">
        <v>18.0</v>
      </c>
      <c r="E1385" s="128">
        <v>884.8826934922171</v>
      </c>
      <c r="F1385" s="44" t="s">
        <v>47</v>
      </c>
      <c r="G1385" s="128">
        <v>1028.807591187796</v>
      </c>
      <c r="H1385" s="128">
        <v>29.0</v>
      </c>
      <c r="I1385" s="128">
        <v>1031.107486032745</v>
      </c>
      <c r="J1385" s="44" t="s">
        <v>54</v>
      </c>
      <c r="K1385" s="128">
        <v>1029.7530379791785</v>
      </c>
      <c r="L1385" s="128">
        <v>26.0</v>
      </c>
      <c r="M1385" s="128">
        <v>1031.4885420410772</v>
      </c>
      <c r="N1385" s="44" t="s">
        <v>23</v>
      </c>
      <c r="O1385" s="128">
        <v>1235.8893993062586</v>
      </c>
      <c r="P1385" s="128">
        <v>39.0</v>
      </c>
      <c r="Q1385" s="128">
        <v>1239.9649681369317</v>
      </c>
      <c r="V1385" s="44" t="s">
        <v>88</v>
      </c>
      <c r="W1385" s="128">
        <v>981.7374028711371</v>
      </c>
      <c r="X1385" s="128">
        <v>24.0</v>
      </c>
      <c r="Y1385" s="128">
        <v>978.9993051161166</v>
      </c>
      <c r="Z1385" s="44" t="s">
        <v>38</v>
      </c>
      <c r="AA1385" s="128">
        <v>993.7940527916675</v>
      </c>
      <c r="AB1385" s="128">
        <v>18.0</v>
      </c>
      <c r="AC1385" s="128">
        <v>989.8926639183804</v>
      </c>
      <c r="AD1385" s="44" t="s">
        <v>117</v>
      </c>
      <c r="AE1385" s="128">
        <v>995.2108015390243</v>
      </c>
      <c r="AF1385" s="128">
        <v>32.0</v>
      </c>
      <c r="AG1385" s="128">
        <v>993.9302290927516</v>
      </c>
      <c r="AH1385" s="44" t="s">
        <v>27</v>
      </c>
      <c r="AI1385" s="128">
        <v>1180.0418929844132</v>
      </c>
      <c r="AJ1385" s="128">
        <v>34.0</v>
      </c>
      <c r="AK1385" s="128">
        <v>1178.9619520589933</v>
      </c>
      <c r="AP1385" s="128">
        <v>23.0</v>
      </c>
      <c r="AQ1385" s="128">
        <v>19.0</v>
      </c>
      <c r="AT1385" s="44">
        <v>1384.0</v>
      </c>
      <c r="AU1385" s="44"/>
      <c r="AW1385" s="93"/>
      <c r="AY1385" s="93"/>
      <c r="AZ1385" s="93"/>
      <c r="BA1385" s="93"/>
      <c r="BB1385" s="155"/>
      <c r="BC1385" s="93"/>
      <c r="BE1385" s="93"/>
      <c r="BG1385" s="93"/>
      <c r="BH1385" s="93"/>
      <c r="BI1385" s="93"/>
      <c r="BJ1385" s="155"/>
      <c r="BK1385" s="93"/>
    </row>
    <row r="1386">
      <c r="A1386" s="166">
        <v>44899.047132673615</v>
      </c>
      <c r="B1386" s="44" t="s">
        <v>125</v>
      </c>
      <c r="C1386" s="128">
        <v>884.8826934922171</v>
      </c>
      <c r="D1386" s="128">
        <v>17.0</v>
      </c>
      <c r="E1386" s="128">
        <v>888.9232705544633</v>
      </c>
      <c r="F1386" s="44" t="s">
        <v>38</v>
      </c>
      <c r="G1386" s="128">
        <v>989.8926639183804</v>
      </c>
      <c r="H1386" s="128">
        <v>14.0</v>
      </c>
      <c r="I1386" s="128">
        <v>991.7746733331885</v>
      </c>
      <c r="J1386" s="44" t="s">
        <v>47</v>
      </c>
      <c r="K1386" s="128">
        <v>1031.107486032745</v>
      </c>
      <c r="L1386" s="128">
        <v>24.0</v>
      </c>
      <c r="M1386" s="128">
        <v>1036.9768907753214</v>
      </c>
      <c r="N1386" s="44" t="s">
        <v>23</v>
      </c>
      <c r="O1386" s="128">
        <v>1239.9649681369317</v>
      </c>
      <c r="P1386" s="128">
        <v>30.0</v>
      </c>
      <c r="Q1386" s="128">
        <v>1248.172976917301</v>
      </c>
      <c r="V1386" s="44" t="s">
        <v>107</v>
      </c>
      <c r="W1386" s="128">
        <v>951.0264070691228</v>
      </c>
      <c r="X1386" s="128">
        <v>21.0</v>
      </c>
      <c r="Y1386" s="128">
        <v>947.5330121932716</v>
      </c>
      <c r="Z1386" s="44" t="s">
        <v>88</v>
      </c>
      <c r="AA1386" s="128">
        <v>978.9993051161166</v>
      </c>
      <c r="AB1386" s="128">
        <v>18.0</v>
      </c>
      <c r="AC1386" s="128">
        <v>974.0932762240031</v>
      </c>
      <c r="AD1386" s="44" t="s">
        <v>54</v>
      </c>
      <c r="AE1386" s="128">
        <v>1031.4885420410772</v>
      </c>
      <c r="AF1386" s="128">
        <v>10.0</v>
      </c>
      <c r="AG1386" s="128">
        <v>1023.0460423262443</v>
      </c>
      <c r="AH1386" s="44" t="s">
        <v>27</v>
      </c>
      <c r="AI1386" s="128">
        <v>1178.9619520589933</v>
      </c>
      <c r="AJ1386" s="128">
        <v>23.0</v>
      </c>
      <c r="AK1386" s="128">
        <v>1175.8038755417908</v>
      </c>
      <c r="AP1386" s="128">
        <v>17.0</v>
      </c>
      <c r="AQ1386" s="128">
        <v>11.0</v>
      </c>
      <c r="AT1386" s="44">
        <v>1385.0</v>
      </c>
      <c r="AU1386" s="44"/>
      <c r="AW1386" s="93"/>
      <c r="AY1386" s="93"/>
      <c r="AZ1386" s="93"/>
      <c r="BA1386" s="93"/>
      <c r="BB1386" s="155"/>
      <c r="BC1386" s="93"/>
      <c r="BE1386" s="93"/>
      <c r="BG1386" s="93"/>
      <c r="BH1386" s="93"/>
      <c r="BI1386" s="93"/>
      <c r="BJ1386" s="155"/>
      <c r="BK1386" s="93"/>
    </row>
    <row r="1387">
      <c r="A1387" s="166">
        <v>44899.075920902775</v>
      </c>
      <c r="B1387" s="44" t="s">
        <v>125</v>
      </c>
      <c r="C1387" s="128">
        <v>888.9232705544633</v>
      </c>
      <c r="D1387" s="128">
        <v>19.0</v>
      </c>
      <c r="E1387" s="128">
        <v>886.9097520191641</v>
      </c>
      <c r="F1387" s="44" t="s">
        <v>107</v>
      </c>
      <c r="G1387" s="128">
        <v>947.5330121932716</v>
      </c>
      <c r="H1387" s="128">
        <v>19.0</v>
      </c>
      <c r="I1387" s="128">
        <v>945.2784740355023</v>
      </c>
      <c r="J1387" s="44" t="s">
        <v>38</v>
      </c>
      <c r="K1387" s="128">
        <v>991.7746733331885</v>
      </c>
      <c r="L1387" s="128">
        <v>7.0</v>
      </c>
      <c r="M1387" s="128">
        <v>986.8955718137106</v>
      </c>
      <c r="N1387" s="44" t="s">
        <v>27</v>
      </c>
      <c r="O1387" s="128">
        <v>1175.8038755417908</v>
      </c>
      <c r="P1387" s="128">
        <v>27.0</v>
      </c>
      <c r="Q1387" s="128">
        <v>1174.9510337543372</v>
      </c>
      <c r="V1387" s="44" t="s">
        <v>61</v>
      </c>
      <c r="W1387" s="128">
        <v>967.8442414244201</v>
      </c>
      <c r="X1387" s="128">
        <v>18.0</v>
      </c>
      <c r="Y1387" s="128">
        <v>970.2076400111284</v>
      </c>
      <c r="Z1387" s="44" t="s">
        <v>88</v>
      </c>
      <c r="AA1387" s="128">
        <v>974.0932762240031</v>
      </c>
      <c r="AB1387" s="128">
        <v>18.0</v>
      </c>
      <c r="AC1387" s="128">
        <v>976.4387966560332</v>
      </c>
      <c r="AD1387" s="44" t="s">
        <v>54</v>
      </c>
      <c r="AE1387" s="128">
        <v>1023.0460423262443</v>
      </c>
      <c r="AF1387" s="128">
        <v>22.0</v>
      </c>
      <c r="AG1387" s="128">
        <v>1026.118407127556</v>
      </c>
      <c r="AH1387" s="44" t="s">
        <v>47</v>
      </c>
      <c r="AI1387" s="128">
        <v>1036.9768907753214</v>
      </c>
      <c r="AJ1387" s="128">
        <v>18.0</v>
      </c>
      <c r="AK1387" s="128">
        <v>1039.1956069552714</v>
      </c>
      <c r="AP1387" s="128">
        <v>13.0</v>
      </c>
      <c r="AQ1387" s="128">
        <v>15.0</v>
      </c>
      <c r="AT1387" s="44">
        <v>1386.0</v>
      </c>
      <c r="AU1387" s="44"/>
      <c r="AW1387" s="93"/>
      <c r="AY1387" s="93"/>
      <c r="AZ1387" s="93"/>
      <c r="BA1387" s="93"/>
      <c r="BB1387" s="155"/>
      <c r="BC1387" s="93"/>
      <c r="BE1387" s="93"/>
      <c r="BG1387" s="93"/>
      <c r="BH1387" s="93"/>
      <c r="BI1387" s="93"/>
      <c r="BJ1387" s="155"/>
      <c r="BK1387" s="93"/>
    </row>
    <row r="1388">
      <c r="A1388" s="166">
        <v>44899.99712996528</v>
      </c>
      <c r="B1388" s="44" t="s">
        <v>125</v>
      </c>
      <c r="C1388" s="128">
        <v>886.9097520191641</v>
      </c>
      <c r="D1388" s="128">
        <v>16.0</v>
      </c>
      <c r="E1388" s="128">
        <v>884.4257177400515</v>
      </c>
      <c r="F1388" s="44" t="s">
        <v>34</v>
      </c>
      <c r="G1388" s="128">
        <v>1099.0701329809547</v>
      </c>
      <c r="H1388" s="128">
        <v>17.0</v>
      </c>
      <c r="I1388" s="128">
        <v>1096.3182169185313</v>
      </c>
      <c r="J1388" s="44" t="s">
        <v>27</v>
      </c>
      <c r="K1388" s="128">
        <v>1174.9510337543372</v>
      </c>
      <c r="L1388" s="128">
        <v>17.0</v>
      </c>
      <c r="M1388" s="128">
        <v>1172.1869840958732</v>
      </c>
      <c r="N1388" s="44"/>
      <c r="O1388" s="128"/>
      <c r="P1388" s="128"/>
      <c r="Q1388" s="128"/>
      <c r="V1388" s="44" t="s">
        <v>88</v>
      </c>
      <c r="W1388" s="128">
        <v>976.4387966560332</v>
      </c>
      <c r="X1388" s="128">
        <v>17.0</v>
      </c>
      <c r="Y1388" s="128">
        <v>978.3036917896492</v>
      </c>
      <c r="Z1388" s="44" t="s">
        <v>92</v>
      </c>
      <c r="AA1388" s="128">
        <v>991.9580955378735</v>
      </c>
      <c r="AB1388" s="128">
        <v>21.0</v>
      </c>
      <c r="AC1388" s="128">
        <v>994.6660478261119</v>
      </c>
      <c r="AD1388" s="44" t="s">
        <v>23</v>
      </c>
      <c r="AE1388" s="128">
        <v>1248.172976917301</v>
      </c>
      <c r="AF1388" s="128">
        <v>25.0</v>
      </c>
      <c r="AG1388" s="128">
        <v>1251.6001294954467</v>
      </c>
      <c r="AH1388" s="44"/>
      <c r="AI1388" s="128"/>
      <c r="AJ1388" s="128"/>
      <c r="AK1388" s="128"/>
      <c r="AP1388" s="128">
        <v>13.0</v>
      </c>
      <c r="AQ1388" s="128">
        <v>15.0</v>
      </c>
      <c r="AT1388" s="44">
        <v>1387.0</v>
      </c>
      <c r="AU1388" s="44"/>
      <c r="AW1388" s="93"/>
      <c r="AY1388" s="93"/>
      <c r="AZ1388" s="93"/>
      <c r="BA1388" s="93"/>
      <c r="BB1388" s="155"/>
      <c r="BC1388" s="93"/>
      <c r="BE1388" s="93"/>
      <c r="BG1388" s="93"/>
      <c r="BH1388" s="93"/>
      <c r="BI1388" s="93"/>
      <c r="BJ1388" s="155"/>
      <c r="BK1388" s="93"/>
    </row>
    <row r="1389">
      <c r="A1389" s="166">
        <v>44900.982083587965</v>
      </c>
      <c r="B1389" s="44" t="s">
        <v>125</v>
      </c>
      <c r="C1389" s="128">
        <v>884.4257177400515</v>
      </c>
      <c r="D1389" s="128">
        <v>10.0</v>
      </c>
      <c r="E1389" s="128">
        <v>886.040654095797</v>
      </c>
      <c r="F1389" s="44" t="s">
        <v>112</v>
      </c>
      <c r="G1389" s="128">
        <v>931.3764462770677</v>
      </c>
      <c r="H1389" s="128">
        <v>23.0</v>
      </c>
      <c r="I1389" s="128">
        <v>942.182196542206</v>
      </c>
      <c r="J1389" s="44" t="s">
        <v>27</v>
      </c>
      <c r="K1389" s="128">
        <v>1172.1869840958732</v>
      </c>
      <c r="L1389" s="128">
        <v>31.0</v>
      </c>
      <c r="M1389" s="128">
        <v>1187.7662974749894</v>
      </c>
      <c r="N1389" s="44"/>
      <c r="O1389" s="128"/>
      <c r="P1389" s="128"/>
      <c r="Q1389" s="128"/>
      <c r="V1389" s="44" t="s">
        <v>107</v>
      </c>
      <c r="W1389" s="128">
        <v>945.2784740355023</v>
      </c>
      <c r="X1389" s="128">
        <v>10.0</v>
      </c>
      <c r="Y1389" s="128">
        <v>932.1841100302128</v>
      </c>
      <c r="Z1389" s="44" t="s">
        <v>100</v>
      </c>
      <c r="AA1389" s="128">
        <v>952.3905162717779</v>
      </c>
      <c r="AB1389" s="128">
        <v>21.0</v>
      </c>
      <c r="AC1389" s="128">
        <v>947.7777419376082</v>
      </c>
      <c r="AD1389" s="44" t="s">
        <v>88</v>
      </c>
      <c r="AE1389" s="128">
        <v>978.3036917896492</v>
      </c>
      <c r="AF1389" s="128">
        <v>14.0</v>
      </c>
      <c r="AG1389" s="128">
        <v>968.0108301291084</v>
      </c>
      <c r="AH1389" s="44"/>
      <c r="AI1389" s="128"/>
      <c r="AJ1389" s="128"/>
      <c r="AK1389" s="128"/>
      <c r="AP1389" s="128">
        <v>20.0</v>
      </c>
      <c r="AQ1389" s="128">
        <v>8.0</v>
      </c>
      <c r="AT1389" s="44">
        <v>1388.0</v>
      </c>
      <c r="AU1389" s="44"/>
      <c r="AW1389" s="93"/>
      <c r="AY1389" s="93"/>
      <c r="AZ1389" s="93"/>
      <c r="BA1389" s="93"/>
      <c r="BB1389" s="155"/>
      <c r="BC1389" s="93"/>
      <c r="BE1389" s="93"/>
      <c r="BG1389" s="93"/>
      <c r="BH1389" s="93"/>
      <c r="BI1389" s="93"/>
      <c r="BJ1389" s="155"/>
      <c r="BK1389" s="93"/>
    </row>
    <row r="1390">
      <c r="A1390" s="166">
        <v>44901.021687025466</v>
      </c>
      <c r="B1390" s="44" t="s">
        <v>125</v>
      </c>
      <c r="C1390" s="128">
        <v>886.040654095797</v>
      </c>
      <c r="D1390" s="128">
        <v>17.0</v>
      </c>
      <c r="E1390" s="128">
        <v>886.050654095797</v>
      </c>
      <c r="F1390" s="44" t="s">
        <v>107</v>
      </c>
      <c r="G1390" s="128">
        <v>932.1841100302128</v>
      </c>
      <c r="H1390" s="128">
        <v>20.0</v>
      </c>
      <c r="I1390" s="128">
        <v>932.1941100302128</v>
      </c>
      <c r="J1390" s="44" t="s">
        <v>88</v>
      </c>
      <c r="K1390" s="128">
        <v>968.0108301291084</v>
      </c>
      <c r="L1390" s="128">
        <v>18.0</v>
      </c>
      <c r="M1390" s="128">
        <v>968.0208301291084</v>
      </c>
      <c r="N1390" s="44" t="s">
        <v>23</v>
      </c>
      <c r="O1390" s="128">
        <v>1251.6001294954467</v>
      </c>
      <c r="P1390" s="128">
        <v>26.0</v>
      </c>
      <c r="Q1390" s="128">
        <v>1251.6101294954467</v>
      </c>
      <c r="V1390" s="44" t="s">
        <v>112</v>
      </c>
      <c r="W1390" s="128">
        <v>942.182196542206</v>
      </c>
      <c r="X1390" s="128">
        <v>17.0</v>
      </c>
      <c r="Y1390" s="128">
        <v>942.192196542206</v>
      </c>
      <c r="Z1390" s="44" t="s">
        <v>100</v>
      </c>
      <c r="AA1390" s="128">
        <v>947.7777419376082</v>
      </c>
      <c r="AB1390" s="128">
        <v>12.0</v>
      </c>
      <c r="AC1390" s="128">
        <v>947.7877419376082</v>
      </c>
      <c r="AD1390" s="44" t="s">
        <v>61</v>
      </c>
      <c r="AE1390" s="128">
        <v>970.2076400111284</v>
      </c>
      <c r="AF1390" s="128">
        <v>19.0</v>
      </c>
      <c r="AG1390" s="128">
        <v>970.2176400111284</v>
      </c>
      <c r="AH1390" s="44" t="s">
        <v>27</v>
      </c>
      <c r="AI1390" s="128">
        <v>1187.7662974749894</v>
      </c>
      <c r="AJ1390" s="128">
        <v>26.0</v>
      </c>
      <c r="AK1390" s="128">
        <v>1187.7762974749894</v>
      </c>
      <c r="AP1390" s="128">
        <v>14.0</v>
      </c>
      <c r="AQ1390" s="128">
        <v>14.0</v>
      </c>
      <c r="AT1390" s="44">
        <v>1389.0</v>
      </c>
      <c r="AU1390" s="44"/>
      <c r="AW1390" s="93"/>
      <c r="AY1390" s="93"/>
      <c r="AZ1390" s="93"/>
      <c r="BA1390" s="93"/>
      <c r="BB1390" s="155"/>
      <c r="BC1390" s="93"/>
      <c r="BE1390" s="93"/>
      <c r="BG1390" s="93"/>
      <c r="BH1390" s="93"/>
      <c r="BI1390" s="93"/>
      <c r="BJ1390" s="155"/>
      <c r="BK1390" s="93"/>
    </row>
    <row r="1391">
      <c r="A1391" s="166">
        <v>44901.05546392361</v>
      </c>
      <c r="B1391" s="44" t="s">
        <v>105</v>
      </c>
      <c r="C1391" s="128">
        <v>971.0534827128592</v>
      </c>
      <c r="D1391" s="128">
        <v>20.0</v>
      </c>
      <c r="E1391" s="128">
        <v>965.0224264082902</v>
      </c>
      <c r="F1391" s="44" t="s">
        <v>119</v>
      </c>
      <c r="G1391" s="128">
        <v>985.9100505342869</v>
      </c>
      <c r="H1391" s="128">
        <v>17.0</v>
      </c>
      <c r="I1391" s="128">
        <v>977.7674433914918</v>
      </c>
      <c r="J1391" s="44" t="s">
        <v>95</v>
      </c>
      <c r="K1391" s="128">
        <v>989.6779351859179</v>
      </c>
      <c r="L1391" s="128">
        <v>10.0</v>
      </c>
      <c r="M1391" s="128">
        <v>976.8428117707192</v>
      </c>
      <c r="N1391" s="44" t="s">
        <v>43</v>
      </c>
      <c r="O1391" s="128">
        <v>1016.3841762231854</v>
      </c>
      <c r="P1391" s="128">
        <v>22.0</v>
      </c>
      <c r="Q1391" s="128">
        <v>1011.3929630857481</v>
      </c>
      <c r="V1391" s="44" t="s">
        <v>125</v>
      </c>
      <c r="W1391" s="128">
        <v>886.050654095797</v>
      </c>
      <c r="X1391" s="128">
        <v>20.0</v>
      </c>
      <c r="Y1391" s="128">
        <v>894.2405952818519</v>
      </c>
      <c r="Z1391" s="44" t="s">
        <v>107</v>
      </c>
      <c r="AA1391" s="128">
        <v>932.1941100302128</v>
      </c>
      <c r="AB1391" s="128">
        <v>22.0</v>
      </c>
      <c r="AC1391" s="128">
        <v>940.9926368511977</v>
      </c>
      <c r="AD1391" s="44" t="s">
        <v>112</v>
      </c>
      <c r="AE1391" s="128">
        <v>942.192196542206</v>
      </c>
      <c r="AF1391" s="128">
        <v>26.0</v>
      </c>
      <c r="AG1391" s="128">
        <v>953.5253844803548</v>
      </c>
      <c r="AH1391" s="44" t="s">
        <v>61</v>
      </c>
      <c r="AI1391" s="128">
        <v>970.2176400111284</v>
      </c>
      <c r="AJ1391" s="128">
        <v>15.0</v>
      </c>
      <c r="AK1391" s="128">
        <v>973.8959840659397</v>
      </c>
      <c r="AP1391" s="128">
        <v>10.0</v>
      </c>
      <c r="AQ1391" s="128">
        <v>18.0</v>
      </c>
      <c r="AT1391" s="44">
        <v>1390.0</v>
      </c>
      <c r="AU1391" s="44"/>
      <c r="AW1391" s="93"/>
      <c r="AY1391" s="93"/>
      <c r="AZ1391" s="93"/>
      <c r="BA1391" s="93"/>
      <c r="BB1391" s="155"/>
      <c r="BC1391" s="93"/>
      <c r="BE1391" s="93"/>
      <c r="BG1391" s="93"/>
      <c r="BH1391" s="93"/>
      <c r="BI1391" s="93"/>
      <c r="BJ1391" s="155"/>
      <c r="BK1391" s="93"/>
    </row>
    <row r="1392">
      <c r="A1392" s="166">
        <v>44902.987947037036</v>
      </c>
      <c r="B1392" s="44" t="s">
        <v>110</v>
      </c>
      <c r="C1392" s="128">
        <v>960.3663672880555</v>
      </c>
      <c r="D1392" s="128">
        <v>36.0</v>
      </c>
      <c r="E1392" s="128">
        <v>958.0265996716031</v>
      </c>
      <c r="F1392" s="44" t="s">
        <v>88</v>
      </c>
      <c r="G1392" s="128">
        <v>968.0208301291084</v>
      </c>
      <c r="H1392" s="128">
        <v>25.0</v>
      </c>
      <c r="I1392" s="128">
        <v>963.3468870163852</v>
      </c>
      <c r="J1392" s="44" t="s">
        <v>117</v>
      </c>
      <c r="K1392" s="128">
        <v>993.9302290927516</v>
      </c>
      <c r="L1392" s="128">
        <v>33.0</v>
      </c>
      <c r="M1392" s="128">
        <v>990.7990860696427</v>
      </c>
      <c r="N1392" s="44" t="s">
        <v>23</v>
      </c>
      <c r="O1392" s="128">
        <v>1251.6101294954467</v>
      </c>
      <c r="P1392" s="128">
        <v>50.0</v>
      </c>
      <c r="Q1392" s="128">
        <v>1251.6001294954467</v>
      </c>
      <c r="V1392" s="44" t="s">
        <v>112</v>
      </c>
      <c r="W1392" s="128">
        <v>953.5253844803548</v>
      </c>
      <c r="X1392" s="128">
        <v>30.0</v>
      </c>
      <c r="Y1392" s="128">
        <v>954.016976195474</v>
      </c>
      <c r="Z1392" s="44" t="s">
        <v>38</v>
      </c>
      <c r="AA1392" s="128">
        <v>986.8955718137106</v>
      </c>
      <c r="AB1392" s="128">
        <v>46.0</v>
      </c>
      <c r="AC1392" s="128">
        <v>990.521300136447</v>
      </c>
      <c r="AD1392" s="44" t="s">
        <v>47</v>
      </c>
      <c r="AE1392" s="128">
        <v>1039.1956069552714</v>
      </c>
      <c r="AF1392" s="128">
        <v>41.0</v>
      </c>
      <c r="AG1392" s="128">
        <v>1041.5781325083155</v>
      </c>
      <c r="AH1392" s="44" t="s">
        <v>27</v>
      </c>
      <c r="AI1392" s="128">
        <v>1187.7762974749894</v>
      </c>
      <c r="AJ1392" s="128">
        <v>47.0</v>
      </c>
      <c r="AK1392" s="128">
        <v>1191.2764518840897</v>
      </c>
      <c r="AP1392" s="128">
        <v>25.0</v>
      </c>
      <c r="AQ1392" s="128">
        <v>31.0</v>
      </c>
      <c r="AS1392" s="44" t="s">
        <v>537</v>
      </c>
      <c r="AT1392" s="44">
        <v>1391.0</v>
      </c>
      <c r="AU1392" s="44"/>
      <c r="AW1392" s="93"/>
      <c r="AY1392" s="93"/>
      <c r="AZ1392" s="93"/>
      <c r="BA1392" s="93"/>
      <c r="BB1392" s="155"/>
      <c r="BC1392" s="93"/>
      <c r="BE1392" s="93"/>
      <c r="BG1392" s="93"/>
      <c r="BH1392" s="93"/>
      <c r="BI1392" s="93"/>
      <c r="BJ1392" s="155"/>
      <c r="BK1392" s="93"/>
    </row>
    <row r="1393">
      <c r="A1393" s="166">
        <v>44903.03261034722</v>
      </c>
      <c r="B1393" s="44" t="s">
        <v>125</v>
      </c>
      <c r="C1393" s="128">
        <v>894.2405952818519</v>
      </c>
      <c r="D1393" s="128">
        <v>14.0</v>
      </c>
      <c r="E1393" s="128">
        <v>896.1247992686995</v>
      </c>
      <c r="F1393" s="44" t="s">
        <v>61</v>
      </c>
      <c r="G1393" s="128">
        <v>973.8959840659397</v>
      </c>
      <c r="H1393" s="128">
        <v>23.0</v>
      </c>
      <c r="I1393" s="128">
        <v>978.2383115301704</v>
      </c>
      <c r="J1393" s="44" t="s">
        <v>38</v>
      </c>
      <c r="K1393" s="128">
        <v>990.521300136447</v>
      </c>
      <c r="L1393" s="128">
        <v>22.0</v>
      </c>
      <c r="M1393" s="128">
        <v>994.4534180266103</v>
      </c>
      <c r="N1393" s="44" t="s">
        <v>43</v>
      </c>
      <c r="O1393" s="128">
        <v>1011.3929630857481</v>
      </c>
      <c r="P1393" s="128">
        <v>25.0</v>
      </c>
      <c r="Q1393" s="128">
        <v>1016.245388044706</v>
      </c>
      <c r="R1393" s="44" t="s">
        <v>23</v>
      </c>
      <c r="S1393" s="128">
        <v>1251.6001294954467</v>
      </c>
      <c r="T1393" s="128">
        <v>26.0</v>
      </c>
      <c r="U1393" s="128">
        <v>1256.5890551952473</v>
      </c>
      <c r="V1393" s="44" t="s">
        <v>107</v>
      </c>
      <c r="W1393" s="128">
        <v>940.9926368511977</v>
      </c>
      <c r="X1393" s="128">
        <v>14.0</v>
      </c>
      <c r="Y1393" s="128">
        <v>936.7113293055328</v>
      </c>
      <c r="Z1393" s="44" t="s">
        <v>112</v>
      </c>
      <c r="AA1393" s="128">
        <v>954.016976195474</v>
      </c>
      <c r="AB1393" s="128">
        <v>16.0</v>
      </c>
      <c r="AC1393" s="128">
        <v>950.3463882296819</v>
      </c>
      <c r="AD1393" s="44" t="s">
        <v>85</v>
      </c>
      <c r="AE1393" s="128">
        <v>994.9626525054788</v>
      </c>
      <c r="AF1393" s="128">
        <v>7.0</v>
      </c>
      <c r="AG1393" s="128">
        <v>988.150901628444</v>
      </c>
      <c r="AH1393" s="44" t="s">
        <v>47</v>
      </c>
      <c r="AI1393" s="128">
        <v>1041.5781325083155</v>
      </c>
      <c r="AJ1393" s="128">
        <v>18.0</v>
      </c>
      <c r="AK1393" s="128">
        <v>1038.331737307737</v>
      </c>
      <c r="AL1393" s="44" t="s">
        <v>27</v>
      </c>
      <c r="AM1393" s="128">
        <v>1191.2764518840897</v>
      </c>
      <c r="AN1393" s="128">
        <v>22.0</v>
      </c>
      <c r="AO1393" s="128">
        <v>1189.2864934731601</v>
      </c>
      <c r="AP1393" s="128">
        <v>17.0</v>
      </c>
      <c r="AQ1393" s="128">
        <v>11.0</v>
      </c>
      <c r="AS1393" s="44" t="s">
        <v>519</v>
      </c>
      <c r="AT1393" s="44">
        <v>1392.0</v>
      </c>
      <c r="AU1393" s="44"/>
      <c r="AW1393" s="93"/>
      <c r="AY1393" s="93"/>
      <c r="AZ1393" s="93"/>
      <c r="BA1393" s="93"/>
      <c r="BB1393" s="155"/>
      <c r="BC1393" s="93"/>
      <c r="BE1393" s="93"/>
      <c r="BG1393" s="93"/>
      <c r="BH1393" s="93"/>
      <c r="BI1393" s="93"/>
      <c r="BJ1393" s="155"/>
      <c r="BK1393" s="93"/>
    </row>
    <row r="1394">
      <c r="A1394" s="166">
        <v>44903.07224537037</v>
      </c>
      <c r="B1394" s="44" t="s">
        <v>125</v>
      </c>
      <c r="C1394" s="128">
        <v>896.1247992686995</v>
      </c>
      <c r="D1394" s="128">
        <v>18.0</v>
      </c>
      <c r="E1394" s="128">
        <v>903.3745028120628</v>
      </c>
      <c r="F1394" s="44" t="s">
        <v>61</v>
      </c>
      <c r="G1394" s="128">
        <v>978.2383115301704</v>
      </c>
      <c r="H1394" s="128">
        <v>30.0</v>
      </c>
      <c r="I1394" s="128">
        <v>992.7403340351324</v>
      </c>
      <c r="J1394" s="44" t="s">
        <v>38</v>
      </c>
      <c r="K1394" s="128">
        <v>994.4534180266103</v>
      </c>
      <c r="L1394" s="128">
        <v>14.0</v>
      </c>
      <c r="M1394" s="128">
        <v>997.701691978285</v>
      </c>
      <c r="N1394" s="44"/>
      <c r="O1394" s="128"/>
      <c r="P1394" s="128"/>
      <c r="Q1394" s="128"/>
      <c r="V1394" s="44" t="s">
        <v>105</v>
      </c>
      <c r="W1394" s="128">
        <v>965.0224264082902</v>
      </c>
      <c r="X1394" s="128">
        <v>17.0</v>
      </c>
      <c r="Y1394" s="128">
        <v>955.9251395629094</v>
      </c>
      <c r="Z1394" s="44" t="s">
        <v>119</v>
      </c>
      <c r="AA1394" s="128">
        <v>977.7674433914918</v>
      </c>
      <c r="AB1394" s="128">
        <v>15.0</v>
      </c>
      <c r="AC1394" s="128">
        <v>967.1698986439517</v>
      </c>
      <c r="AD1394" s="44" t="s">
        <v>43</v>
      </c>
      <c r="AE1394" s="128">
        <v>1016.245388044706</v>
      </c>
      <c r="AF1394" s="128">
        <v>23.0</v>
      </c>
      <c r="AG1394" s="128">
        <v>1010.940219637627</v>
      </c>
      <c r="AH1394" s="44"/>
      <c r="AI1394" s="128"/>
      <c r="AJ1394" s="128"/>
      <c r="AK1394" s="128"/>
      <c r="AP1394" s="128">
        <v>16.0</v>
      </c>
      <c r="AQ1394" s="128">
        <v>11.0</v>
      </c>
      <c r="AS1394" s="44" t="s">
        <v>232</v>
      </c>
      <c r="AT1394" s="44">
        <v>1393.0</v>
      </c>
      <c r="AU1394" s="44"/>
      <c r="AW1394" s="93"/>
      <c r="AY1394" s="93"/>
      <c r="AZ1394" s="93"/>
      <c r="BA1394" s="93"/>
      <c r="BB1394" s="155"/>
      <c r="BC1394" s="93"/>
      <c r="BE1394" s="93"/>
      <c r="BG1394" s="93"/>
      <c r="BH1394" s="93"/>
      <c r="BI1394" s="93"/>
      <c r="BJ1394" s="155"/>
      <c r="BK1394" s="93"/>
    </row>
    <row r="1395">
      <c r="A1395" s="166">
        <v>44903.97836969908</v>
      </c>
      <c r="B1395" s="44" t="s">
        <v>125</v>
      </c>
      <c r="C1395" s="128">
        <v>903.3745028120628</v>
      </c>
      <c r="D1395" s="128">
        <v>9.0</v>
      </c>
      <c r="E1395" s="128">
        <v>899.9708688694442</v>
      </c>
      <c r="F1395" s="44" t="s">
        <v>107</v>
      </c>
      <c r="G1395" s="128">
        <v>936.7113293055328</v>
      </c>
      <c r="H1395" s="128">
        <v>16.0</v>
      </c>
      <c r="I1395" s="128">
        <v>934.3709978760303</v>
      </c>
      <c r="J1395" s="44" t="s">
        <v>112</v>
      </c>
      <c r="K1395" s="128">
        <v>950.3463882296819</v>
      </c>
      <c r="L1395" s="128">
        <v>16.0</v>
      </c>
      <c r="M1395" s="128">
        <v>947.9698141178093</v>
      </c>
      <c r="N1395" s="44" t="s">
        <v>61</v>
      </c>
      <c r="O1395" s="128">
        <v>992.7403340351324</v>
      </c>
      <c r="P1395" s="128">
        <v>28.0</v>
      </c>
      <c r="Q1395" s="128">
        <v>992.273429731823</v>
      </c>
      <c r="R1395" s="44" t="s">
        <v>27</v>
      </c>
      <c r="S1395" s="128">
        <v>1189.2864934731601</v>
      </c>
      <c r="T1395" s="128">
        <v>23.0</v>
      </c>
      <c r="U1395" s="128">
        <v>1187.8739372604634</v>
      </c>
      <c r="V1395" s="44" t="s">
        <v>105</v>
      </c>
      <c r="W1395" s="128">
        <v>955.9251395629094</v>
      </c>
      <c r="X1395" s="128">
        <v>9.0</v>
      </c>
      <c r="Y1395" s="128">
        <v>956.2221524297564</v>
      </c>
      <c r="Z1395" s="44" t="s">
        <v>110</v>
      </c>
      <c r="AA1395" s="128">
        <v>958.0265996716031</v>
      </c>
      <c r="AB1395" s="128">
        <v>22.0</v>
      </c>
      <c r="AC1395" s="128">
        <v>960.4849889907483</v>
      </c>
      <c r="AD1395" s="44" t="s">
        <v>88</v>
      </c>
      <c r="AE1395" s="128">
        <v>963.3468870163852</v>
      </c>
      <c r="AF1395" s="128">
        <v>17.0</v>
      </c>
      <c r="AG1395" s="128">
        <v>964.9589409192025</v>
      </c>
      <c r="AH1395" s="44" t="s">
        <v>43</v>
      </c>
      <c r="AI1395" s="128">
        <v>1010.940219637627</v>
      </c>
      <c r="AJ1395" s="128">
        <v>29.0</v>
      </c>
      <c r="AK1395" s="128">
        <v>1014.4602128338016</v>
      </c>
      <c r="AL1395" s="44" t="s">
        <v>34</v>
      </c>
      <c r="AM1395" s="128">
        <v>1096.3182169185313</v>
      </c>
      <c r="AN1395" s="128">
        <v>21.0</v>
      </c>
      <c r="AO1395" s="128">
        <v>1098.4307676335472</v>
      </c>
      <c r="AP1395" s="128">
        <v>13.0</v>
      </c>
      <c r="AQ1395" s="128">
        <v>15.0</v>
      </c>
      <c r="AS1395" s="44" t="s">
        <v>229</v>
      </c>
      <c r="AT1395" s="44">
        <v>1394.0</v>
      </c>
      <c r="AU1395" s="44"/>
      <c r="AW1395" s="93"/>
      <c r="AY1395" s="93"/>
      <c r="AZ1395" s="93"/>
      <c r="BA1395" s="93"/>
      <c r="BB1395" s="155"/>
      <c r="BC1395" s="93"/>
      <c r="BE1395" s="93"/>
      <c r="BG1395" s="93"/>
      <c r="BH1395" s="93"/>
      <c r="BI1395" s="93"/>
      <c r="BJ1395" s="155"/>
      <c r="BK1395" s="93"/>
    </row>
    <row r="1396">
      <c r="A1396" s="166">
        <v>44904.01960745371</v>
      </c>
      <c r="B1396" s="44" t="s">
        <v>125</v>
      </c>
      <c r="C1396" s="128">
        <v>899.9708688694442</v>
      </c>
      <c r="D1396" s="128">
        <v>15.0</v>
      </c>
      <c r="E1396" s="128">
        <v>897.3613416172449</v>
      </c>
      <c r="F1396" s="44" t="s">
        <v>100</v>
      </c>
      <c r="G1396" s="128">
        <v>947.7877419376082</v>
      </c>
      <c r="H1396" s="128">
        <v>21.0</v>
      </c>
      <c r="I1396" s="128">
        <v>946.0223498743422</v>
      </c>
      <c r="J1396" s="44" t="s">
        <v>112</v>
      </c>
      <c r="K1396" s="128">
        <v>947.9698141178093</v>
      </c>
      <c r="L1396" s="128">
        <v>26.0</v>
      </c>
      <c r="M1396" s="128">
        <v>947.0372506255319</v>
      </c>
      <c r="N1396" s="44" t="s">
        <v>61</v>
      </c>
      <c r="O1396" s="128">
        <v>992.273429731823</v>
      </c>
      <c r="P1396" s="128">
        <v>18.0</v>
      </c>
      <c r="Q1396" s="128">
        <v>989.9046557634211</v>
      </c>
      <c r="R1396" s="44" t="s">
        <v>27</v>
      </c>
      <c r="S1396" s="128">
        <v>1187.8739372604634</v>
      </c>
      <c r="T1396" s="128">
        <v>19.0</v>
      </c>
      <c r="U1396" s="128">
        <v>1185.5501940366078</v>
      </c>
      <c r="V1396" s="44" t="s">
        <v>107</v>
      </c>
      <c r="W1396" s="128">
        <v>934.3709978760303</v>
      </c>
      <c r="X1396" s="128">
        <v>21.0</v>
      </c>
      <c r="Y1396" s="128">
        <v>936.558237346516</v>
      </c>
      <c r="Z1396" s="44" t="s">
        <v>110</v>
      </c>
      <c r="AA1396" s="128">
        <v>960.4849889907483</v>
      </c>
      <c r="AB1396" s="128">
        <v>11.0</v>
      </c>
      <c r="AC1396" s="128">
        <v>960.9309769876008</v>
      </c>
      <c r="AD1396" s="44" t="s">
        <v>88</v>
      </c>
      <c r="AE1396" s="128">
        <v>964.9589409192025</v>
      </c>
      <c r="AF1396" s="128">
        <v>23.0</v>
      </c>
      <c r="AG1396" s="128">
        <v>967.3935850009368</v>
      </c>
      <c r="AH1396" s="44" t="s">
        <v>43</v>
      </c>
      <c r="AI1396" s="128">
        <v>1014.4602128338016</v>
      </c>
      <c r="AJ1396" s="128">
        <v>21.0</v>
      </c>
      <c r="AK1396" s="128">
        <v>1016.4630244343927</v>
      </c>
      <c r="AL1396" s="44" t="s">
        <v>34</v>
      </c>
      <c r="AM1396" s="128">
        <v>1098.4307676335472</v>
      </c>
      <c r="AN1396" s="128">
        <v>27.0</v>
      </c>
      <c r="AO1396" s="128">
        <v>1101.3600844838838</v>
      </c>
      <c r="AP1396" s="128">
        <v>13.0</v>
      </c>
      <c r="AQ1396" s="128">
        <v>15.0</v>
      </c>
      <c r="AS1396" s="44" t="s">
        <v>280</v>
      </c>
      <c r="AT1396" s="44">
        <v>1395.0</v>
      </c>
      <c r="AU1396" s="44"/>
      <c r="AW1396" s="93"/>
      <c r="AY1396" s="93"/>
      <c r="AZ1396" s="93"/>
      <c r="BA1396" s="93"/>
      <c r="BB1396" s="155"/>
      <c r="BC1396" s="93"/>
      <c r="BE1396" s="93"/>
      <c r="BG1396" s="93"/>
      <c r="BH1396" s="93"/>
      <c r="BI1396" s="93"/>
      <c r="BJ1396" s="155"/>
      <c r="BK1396" s="93"/>
    </row>
    <row r="1397">
      <c r="A1397" s="166">
        <v>44904.060304976854</v>
      </c>
      <c r="B1397" s="44" t="s">
        <v>125</v>
      </c>
      <c r="C1397" s="128">
        <v>897.3613416172449</v>
      </c>
      <c r="D1397" s="128">
        <v>8.0</v>
      </c>
      <c r="E1397" s="128">
        <v>892.0764128296872</v>
      </c>
      <c r="F1397" s="44" t="s">
        <v>100</v>
      </c>
      <c r="G1397" s="128">
        <v>946.0223498743422</v>
      </c>
      <c r="H1397" s="128">
        <v>21.0</v>
      </c>
      <c r="I1397" s="128">
        <v>943.5449435556754</v>
      </c>
      <c r="J1397" s="44" t="s">
        <v>112</v>
      </c>
      <c r="K1397" s="128">
        <v>947.0372506255319</v>
      </c>
      <c r="L1397" s="128">
        <v>23.0</v>
      </c>
      <c r="M1397" s="128">
        <v>945.022519364981</v>
      </c>
      <c r="N1397" s="44" t="s">
        <v>110</v>
      </c>
      <c r="O1397" s="128">
        <v>960.9309769876008</v>
      </c>
      <c r="P1397" s="128">
        <v>20.0</v>
      </c>
      <c r="Q1397" s="128">
        <v>958.1645771729341</v>
      </c>
      <c r="R1397" s="44" t="s">
        <v>61</v>
      </c>
      <c r="S1397" s="128">
        <v>989.9046557634211</v>
      </c>
      <c r="T1397" s="128">
        <v>26.0</v>
      </c>
      <c r="U1397" s="128">
        <v>988.4481219448633</v>
      </c>
      <c r="V1397" s="44" t="s">
        <v>107</v>
      </c>
      <c r="W1397" s="128">
        <v>936.558237346516</v>
      </c>
      <c r="X1397" s="128">
        <v>31.0</v>
      </c>
      <c r="Y1397" s="128">
        <v>941.5811420122551</v>
      </c>
      <c r="Z1397" s="44" t="s">
        <v>105</v>
      </c>
      <c r="AA1397" s="128">
        <v>956.2221524297564</v>
      </c>
      <c r="AB1397" s="128">
        <v>23.0</v>
      </c>
      <c r="AC1397" s="128">
        <v>959.2929275337314</v>
      </c>
      <c r="AD1397" s="44" t="s">
        <v>119</v>
      </c>
      <c r="AE1397" s="128">
        <v>967.1698986439517</v>
      </c>
      <c r="AF1397" s="128">
        <v>17.0</v>
      </c>
      <c r="AG1397" s="128">
        <v>968.7983991147689</v>
      </c>
      <c r="AH1397" s="44" t="s">
        <v>88</v>
      </c>
      <c r="AI1397" s="128">
        <v>967.3935850009368</v>
      </c>
      <c r="AJ1397" s="128">
        <v>14.0</v>
      </c>
      <c r="AK1397" s="128">
        <v>968.3212610178962</v>
      </c>
      <c r="AL1397" s="44" t="s">
        <v>43</v>
      </c>
      <c r="AM1397" s="128">
        <v>1016.4630244343927</v>
      </c>
      <c r="AN1397" s="128">
        <v>25.0</v>
      </c>
      <c r="AO1397" s="128">
        <v>1019.8131681769021</v>
      </c>
      <c r="AP1397" s="128">
        <v>12.0</v>
      </c>
      <c r="AQ1397" s="128">
        <v>16.0</v>
      </c>
      <c r="AS1397" s="44" t="s">
        <v>253</v>
      </c>
      <c r="AT1397" s="44">
        <v>1396.0</v>
      </c>
      <c r="AU1397" s="44"/>
      <c r="AW1397" s="93"/>
      <c r="AY1397" s="93"/>
      <c r="AZ1397" s="93"/>
      <c r="BA1397" s="93"/>
      <c r="BB1397" s="155"/>
      <c r="BC1397" s="93"/>
      <c r="BE1397" s="93"/>
      <c r="BG1397" s="93"/>
      <c r="BH1397" s="93"/>
      <c r="BI1397" s="93"/>
      <c r="BJ1397" s="155"/>
      <c r="BK1397" s="93"/>
    </row>
    <row r="1398">
      <c r="A1398" s="166">
        <v>44904.09747987268</v>
      </c>
      <c r="B1398" s="44" t="s">
        <v>125</v>
      </c>
      <c r="C1398" s="128">
        <v>892.0764128296872</v>
      </c>
      <c r="D1398" s="128">
        <v>21.0</v>
      </c>
      <c r="E1398" s="128">
        <v>894.2583734047593</v>
      </c>
      <c r="F1398" s="44" t="s">
        <v>119</v>
      </c>
      <c r="G1398" s="128">
        <v>968.7983991147689</v>
      </c>
      <c r="H1398" s="128">
        <v>23.0</v>
      </c>
      <c r="I1398" s="128">
        <v>971.0559111810395</v>
      </c>
      <c r="J1398" s="44" t="s">
        <v>95</v>
      </c>
      <c r="K1398" s="128">
        <v>976.8428117707192</v>
      </c>
      <c r="L1398" s="128">
        <v>11.0</v>
      </c>
      <c r="M1398" s="128">
        <v>977.0807217477368</v>
      </c>
      <c r="N1398" s="44" t="s">
        <v>43</v>
      </c>
      <c r="O1398" s="128">
        <v>1019.8131681769021</v>
      </c>
      <c r="P1398" s="128">
        <v>30.0</v>
      </c>
      <c r="Q1398" s="128">
        <v>1023.1357855585419</v>
      </c>
      <c r="V1398" s="44" t="s">
        <v>107</v>
      </c>
      <c r="W1398" s="128">
        <v>941.5811420122551</v>
      </c>
      <c r="X1398" s="128">
        <v>14.0</v>
      </c>
      <c r="Y1398" s="128">
        <v>938.648737155058</v>
      </c>
      <c r="Z1398" s="44" t="s">
        <v>112</v>
      </c>
      <c r="AA1398" s="128">
        <v>945.022519364981</v>
      </c>
      <c r="AB1398" s="128">
        <v>21.0</v>
      </c>
      <c r="AC1398" s="128">
        <v>943.2468826444039</v>
      </c>
      <c r="AD1398" s="44" t="s">
        <v>110</v>
      </c>
      <c r="AE1398" s="128">
        <v>958.1645771729341</v>
      </c>
      <c r="AF1398" s="128">
        <v>13.0</v>
      </c>
      <c r="AG1398" s="128">
        <v>955.0200422710154</v>
      </c>
      <c r="AH1398" s="44" t="s">
        <v>105</v>
      </c>
      <c r="AI1398" s="128">
        <v>959.2929275337314</v>
      </c>
      <c r="AJ1398" s="128">
        <v>31.0</v>
      </c>
      <c r="AK1398" s="128">
        <v>959.1455040134242</v>
      </c>
      <c r="AP1398" s="128">
        <v>15.0</v>
      </c>
      <c r="AQ1398" s="128">
        <v>13.0</v>
      </c>
      <c r="AS1398" s="44" t="s">
        <v>624</v>
      </c>
      <c r="AT1398" s="44">
        <v>1397.0</v>
      </c>
      <c r="AU1398" s="44"/>
      <c r="AW1398" s="93"/>
      <c r="AY1398" s="93"/>
      <c r="AZ1398" s="93"/>
      <c r="BA1398" s="93"/>
      <c r="BB1398" s="155"/>
      <c r="BC1398" s="93"/>
      <c r="BE1398" s="93"/>
      <c r="BG1398" s="93"/>
      <c r="BH1398" s="93"/>
      <c r="BI1398" s="93"/>
      <c r="BJ1398" s="155"/>
      <c r="BK1398" s="93"/>
    </row>
    <row r="1399">
      <c r="A1399" s="166">
        <v>44905.02363751158</v>
      </c>
      <c r="B1399" s="44" t="s">
        <v>125</v>
      </c>
      <c r="C1399" s="128">
        <v>894.2583734047593</v>
      </c>
      <c r="D1399" s="128">
        <v>15.0</v>
      </c>
      <c r="E1399" s="128">
        <v>888.2152936256151</v>
      </c>
      <c r="F1399" s="44" t="s">
        <v>117</v>
      </c>
      <c r="G1399" s="128">
        <v>990.7990860696427</v>
      </c>
      <c r="H1399" s="128">
        <v>17.0</v>
      </c>
      <c r="I1399" s="128">
        <v>985.1279647970308</v>
      </c>
      <c r="J1399" s="44" t="s">
        <v>38</v>
      </c>
      <c r="K1399" s="128">
        <v>997.701691978285</v>
      </c>
      <c r="L1399" s="128">
        <v>14.0</v>
      </c>
      <c r="M1399" s="128">
        <v>990.4158930300412</v>
      </c>
      <c r="N1399" s="44"/>
      <c r="O1399" s="128"/>
      <c r="P1399" s="128"/>
      <c r="Q1399" s="128"/>
      <c r="V1399" s="44" t="s">
        <v>107</v>
      </c>
      <c r="W1399" s="128">
        <v>938.648737155058</v>
      </c>
      <c r="X1399" s="128">
        <v>21.0</v>
      </c>
      <c r="Y1399" s="128">
        <v>945.550601078483</v>
      </c>
      <c r="Z1399" s="44" t="s">
        <v>88</v>
      </c>
      <c r="AA1399" s="128">
        <v>968.3212610178962</v>
      </c>
      <c r="AB1399" s="128">
        <v>15.0</v>
      </c>
      <c r="AC1399" s="128">
        <v>971.8015684719776</v>
      </c>
      <c r="AD1399" s="44" t="s">
        <v>61</v>
      </c>
      <c r="AE1399" s="128">
        <v>988.4481219448633</v>
      </c>
      <c r="AF1399" s="128">
        <v>25.0</v>
      </c>
      <c r="AG1399" s="128">
        <v>997.0659505673568</v>
      </c>
      <c r="AH1399" s="44"/>
      <c r="AI1399" s="128"/>
      <c r="AJ1399" s="128"/>
      <c r="AK1399" s="128"/>
      <c r="AP1399" s="128">
        <v>11.0</v>
      </c>
      <c r="AQ1399" s="128">
        <v>17.0</v>
      </c>
      <c r="AT1399" s="44">
        <v>1398.0</v>
      </c>
      <c r="AU1399" s="44"/>
      <c r="AW1399" s="93"/>
      <c r="AY1399" s="93"/>
      <c r="AZ1399" s="93"/>
      <c r="BA1399" s="93"/>
      <c r="BB1399" s="155"/>
      <c r="BC1399" s="93"/>
      <c r="BE1399" s="93"/>
      <c r="BG1399" s="93"/>
      <c r="BH1399" s="93"/>
      <c r="BI1399" s="93"/>
      <c r="BJ1399" s="155"/>
      <c r="BK1399" s="93"/>
    </row>
    <row r="1400">
      <c r="A1400" s="166">
        <v>44905.07715873842</v>
      </c>
      <c r="B1400" s="44" t="s">
        <v>112</v>
      </c>
      <c r="C1400" s="128">
        <v>943.2468826444039</v>
      </c>
      <c r="D1400" s="128">
        <v>28.0</v>
      </c>
      <c r="E1400" s="128">
        <v>946.047150670472</v>
      </c>
      <c r="F1400" s="44" t="s">
        <v>117</v>
      </c>
      <c r="G1400" s="128">
        <v>985.1279647970308</v>
      </c>
      <c r="H1400" s="128">
        <v>30.0</v>
      </c>
      <c r="I1400" s="128">
        <v>988.1819948667148</v>
      </c>
      <c r="J1400" s="44" t="s">
        <v>38</v>
      </c>
      <c r="K1400" s="128">
        <v>990.4158930300412</v>
      </c>
      <c r="L1400" s="128">
        <v>26.0</v>
      </c>
      <c r="M1400" s="128">
        <v>992.561594934289</v>
      </c>
      <c r="N1400" s="44"/>
      <c r="O1400" s="128"/>
      <c r="P1400" s="128"/>
      <c r="Q1400" s="128"/>
      <c r="V1400" s="44" t="s">
        <v>125</v>
      </c>
      <c r="W1400" s="128">
        <v>888.2152936256151</v>
      </c>
      <c r="X1400" s="128">
        <v>21.0</v>
      </c>
      <c r="Y1400" s="128">
        <v>884.6368917150114</v>
      </c>
      <c r="Z1400" s="44" t="s">
        <v>88</v>
      </c>
      <c r="AA1400" s="128">
        <v>971.8015684719776</v>
      </c>
      <c r="AB1400" s="128">
        <v>27.0</v>
      </c>
      <c r="AC1400" s="128">
        <v>969.0818789332341</v>
      </c>
      <c r="AD1400" s="44" t="s">
        <v>61</v>
      </c>
      <c r="AE1400" s="128">
        <v>997.0659505673568</v>
      </c>
      <c r="AF1400" s="128">
        <v>32.0</v>
      </c>
      <c r="AG1400" s="128">
        <v>995.3640420167039</v>
      </c>
      <c r="AH1400" s="44"/>
      <c r="AI1400" s="128"/>
      <c r="AJ1400" s="128"/>
      <c r="AK1400" s="128"/>
      <c r="AP1400" s="128">
        <v>22.0</v>
      </c>
      <c r="AQ1400" s="128">
        <v>20.0</v>
      </c>
      <c r="AT1400" s="44">
        <v>1399.0</v>
      </c>
      <c r="AU1400" s="44"/>
      <c r="AW1400" s="93"/>
      <c r="AY1400" s="93"/>
      <c r="AZ1400" s="93"/>
      <c r="BA1400" s="93"/>
      <c r="BB1400" s="155"/>
      <c r="BC1400" s="93"/>
      <c r="BE1400" s="93"/>
      <c r="BG1400" s="93"/>
      <c r="BH1400" s="93"/>
      <c r="BI1400" s="93"/>
      <c r="BJ1400" s="155"/>
      <c r="BK1400" s="93"/>
    </row>
    <row r="1401">
      <c r="A1401" s="166">
        <v>44907.002171493055</v>
      </c>
      <c r="B1401" s="44" t="s">
        <v>125</v>
      </c>
      <c r="C1401" s="128">
        <v>884.6368917150114</v>
      </c>
      <c r="D1401" s="128">
        <v>12.0</v>
      </c>
      <c r="E1401" s="128">
        <v>885.4988611590998</v>
      </c>
      <c r="F1401" s="44" t="s">
        <v>100</v>
      </c>
      <c r="G1401" s="128">
        <v>943.5449435556754</v>
      </c>
      <c r="H1401" s="128">
        <v>21.0</v>
      </c>
      <c r="I1401" s="128">
        <v>946.0061661192603</v>
      </c>
      <c r="J1401" s="44" t="s">
        <v>107</v>
      </c>
      <c r="K1401" s="128">
        <v>945.550601078483</v>
      </c>
      <c r="L1401" s="128">
        <v>23.0</v>
      </c>
      <c r="M1401" s="128">
        <v>948.4207684463428</v>
      </c>
      <c r="N1401" s="44" t="s">
        <v>27</v>
      </c>
      <c r="O1401" s="128">
        <v>1185.5501940366078</v>
      </c>
      <c r="P1401" s="128">
        <v>29.0</v>
      </c>
      <c r="Q1401" s="128">
        <v>1189.3568346610748</v>
      </c>
      <c r="V1401" s="44" t="s">
        <v>88</v>
      </c>
      <c r="W1401" s="128">
        <v>969.0818789332341</v>
      </c>
      <c r="X1401" s="128">
        <v>16.0</v>
      </c>
      <c r="Y1401" s="128">
        <v>965.8999097362029</v>
      </c>
      <c r="Z1401" s="44" t="s">
        <v>119</v>
      </c>
      <c r="AA1401" s="128">
        <v>971.0559111810395</v>
      </c>
      <c r="AB1401" s="128">
        <v>18.0</v>
      </c>
      <c r="AC1401" s="128">
        <v>968.2850720707047</v>
      </c>
      <c r="AD1401" s="44" t="s">
        <v>92</v>
      </c>
      <c r="AE1401" s="128">
        <v>994.6660478261119</v>
      </c>
      <c r="AF1401" s="128">
        <v>18.0</v>
      </c>
      <c r="AG1401" s="128">
        <v>991.8362241897505</v>
      </c>
      <c r="AH1401" s="44" t="s">
        <v>43</v>
      </c>
      <c r="AI1401" s="128">
        <v>1023.1357855585419</v>
      </c>
      <c r="AJ1401" s="128">
        <v>26.0</v>
      </c>
      <c r="AK1401" s="128">
        <v>1021.9184175022693</v>
      </c>
      <c r="AP1401" s="128">
        <v>15.0</v>
      </c>
      <c r="AQ1401" s="128">
        <v>13.0</v>
      </c>
      <c r="AT1401" s="44">
        <v>1400.0</v>
      </c>
      <c r="AU1401" s="44"/>
      <c r="AW1401" s="93"/>
      <c r="AY1401" s="93"/>
      <c r="AZ1401" s="93"/>
      <c r="BA1401" s="93"/>
      <c r="BB1401" s="155"/>
      <c r="BC1401" s="93"/>
      <c r="BE1401" s="93"/>
      <c r="BG1401" s="93"/>
      <c r="BH1401" s="93"/>
      <c r="BI1401" s="93"/>
      <c r="BJ1401" s="155"/>
      <c r="BK1401" s="93"/>
    </row>
    <row r="1402">
      <c r="A1402" s="166">
        <v>44907.057660011575</v>
      </c>
      <c r="B1402" s="44" t="s">
        <v>125</v>
      </c>
      <c r="C1402" s="128">
        <v>885.4988611590998</v>
      </c>
      <c r="D1402" s="128">
        <v>17.0</v>
      </c>
      <c r="E1402" s="128">
        <v>885.5088611590998</v>
      </c>
      <c r="F1402" s="44" t="s">
        <v>88</v>
      </c>
      <c r="G1402" s="128">
        <v>965.8999097362029</v>
      </c>
      <c r="H1402" s="128">
        <v>21.0</v>
      </c>
      <c r="I1402" s="128">
        <v>965.9099097362028</v>
      </c>
      <c r="J1402" s="44" t="s">
        <v>119</v>
      </c>
      <c r="K1402" s="128">
        <v>968.2850720707047</v>
      </c>
      <c r="L1402" s="128">
        <v>23.0</v>
      </c>
      <c r="M1402" s="128">
        <v>968.2950720707047</v>
      </c>
      <c r="N1402" s="44" t="s">
        <v>92</v>
      </c>
      <c r="O1402" s="128">
        <v>991.8362241897505</v>
      </c>
      <c r="P1402" s="128">
        <v>22.0</v>
      </c>
      <c r="Q1402" s="128">
        <v>991.8462241897505</v>
      </c>
      <c r="R1402" s="44" t="s">
        <v>27</v>
      </c>
      <c r="S1402" s="128">
        <v>1189.3568346610748</v>
      </c>
      <c r="T1402" s="128">
        <v>26.0</v>
      </c>
      <c r="U1402" s="128">
        <v>1189.3668346610748</v>
      </c>
      <c r="V1402" s="44" t="s">
        <v>100</v>
      </c>
      <c r="W1402" s="128">
        <v>946.0061661192603</v>
      </c>
      <c r="X1402" s="128">
        <v>21.0</v>
      </c>
      <c r="Y1402" s="128">
        <v>946.0161661192603</v>
      </c>
      <c r="Z1402" s="44" t="s">
        <v>107</v>
      </c>
      <c r="AA1402" s="128">
        <v>948.4207684463428</v>
      </c>
      <c r="AB1402" s="128">
        <v>20.0</v>
      </c>
      <c r="AC1402" s="128">
        <v>948.4307684463428</v>
      </c>
      <c r="AD1402" s="44" t="s">
        <v>95</v>
      </c>
      <c r="AE1402" s="128">
        <v>977.0807217477368</v>
      </c>
      <c r="AF1402" s="128">
        <v>7.0</v>
      </c>
      <c r="AG1402" s="128">
        <v>977.0907217477368</v>
      </c>
      <c r="AH1402" s="44" t="s">
        <v>43</v>
      </c>
      <c r="AI1402" s="128">
        <v>1021.9184175022693</v>
      </c>
      <c r="AJ1402" s="128">
        <v>36.0</v>
      </c>
      <c r="AK1402" s="128">
        <v>1021.9284175022693</v>
      </c>
      <c r="AL1402" s="44" t="s">
        <v>34</v>
      </c>
      <c r="AM1402" s="128">
        <v>1101.3600844838838</v>
      </c>
      <c r="AN1402" s="128">
        <v>18.0</v>
      </c>
      <c r="AO1402" s="128">
        <v>1101.3700844838838</v>
      </c>
      <c r="AP1402" s="128">
        <v>14.0</v>
      </c>
      <c r="AQ1402" s="128">
        <v>14.0</v>
      </c>
      <c r="AT1402" s="44">
        <v>1401.0</v>
      </c>
      <c r="AU1402" s="44"/>
      <c r="AW1402" s="93"/>
      <c r="AY1402" s="93"/>
      <c r="AZ1402" s="93"/>
      <c r="BA1402" s="93"/>
      <c r="BB1402" s="155"/>
      <c r="BC1402" s="93"/>
      <c r="BE1402" s="93"/>
      <c r="BG1402" s="93"/>
      <c r="BH1402" s="93"/>
      <c r="BI1402" s="93"/>
      <c r="BJ1402" s="155"/>
      <c r="BK1402" s="93"/>
    </row>
    <row r="1403">
      <c r="A1403" s="166">
        <v>44907.971595625</v>
      </c>
      <c r="B1403" s="44" t="s">
        <v>123</v>
      </c>
      <c r="C1403" s="128">
        <v>920.8659097178576</v>
      </c>
      <c r="D1403" s="128">
        <v>12.0</v>
      </c>
      <c r="E1403" s="128">
        <v>913.7108418704715</v>
      </c>
      <c r="F1403" s="44" t="s">
        <v>95</v>
      </c>
      <c r="G1403" s="128">
        <v>977.0907217477368</v>
      </c>
      <c r="H1403" s="128">
        <v>19.0</v>
      </c>
      <c r="I1403" s="128">
        <v>972.5176885819594</v>
      </c>
      <c r="J1403" s="44" t="s">
        <v>92</v>
      </c>
      <c r="K1403" s="128">
        <v>991.8462241897505</v>
      </c>
      <c r="L1403" s="128">
        <v>20.0</v>
      </c>
      <c r="M1403" s="128">
        <v>987.6244956636482</v>
      </c>
      <c r="N1403" s="44" t="s">
        <v>34</v>
      </c>
      <c r="O1403" s="128">
        <v>1101.3700844838838</v>
      </c>
      <c r="P1403" s="128">
        <v>21.0</v>
      </c>
      <c r="Q1403" s="128">
        <v>1097.3199140231495</v>
      </c>
      <c r="V1403" s="44" t="s">
        <v>125</v>
      </c>
      <c r="W1403" s="128">
        <v>885.5088611590998</v>
      </c>
      <c r="X1403" s="128">
        <v>20.0</v>
      </c>
      <c r="Y1403" s="128">
        <v>890.4836788114734</v>
      </c>
      <c r="Z1403" s="44" t="s">
        <v>107</v>
      </c>
      <c r="AA1403" s="128">
        <v>948.4307684463428</v>
      </c>
      <c r="AB1403" s="128">
        <v>16.0</v>
      </c>
      <c r="AC1403" s="128">
        <v>951.1783032558816</v>
      </c>
      <c r="AD1403" s="44" t="s">
        <v>88</v>
      </c>
      <c r="AE1403" s="128">
        <v>965.9099097362028</v>
      </c>
      <c r="AF1403" s="128">
        <v>19.0</v>
      </c>
      <c r="AG1403" s="128">
        <v>969.7885633933098</v>
      </c>
      <c r="AH1403" s="44" t="s">
        <v>27</v>
      </c>
      <c r="AI1403" s="128">
        <v>1189.3668346610748</v>
      </c>
      <c r="AJ1403" s="128">
        <v>31.0</v>
      </c>
      <c r="AK1403" s="128">
        <v>1197.7658285420555</v>
      </c>
      <c r="AP1403" s="128">
        <v>10.0</v>
      </c>
      <c r="AQ1403" s="128">
        <v>18.0</v>
      </c>
      <c r="AS1403" s="44" t="s">
        <v>232</v>
      </c>
      <c r="AT1403" s="44">
        <v>1402.0</v>
      </c>
      <c r="AU1403" s="44"/>
      <c r="AW1403" s="93"/>
      <c r="AY1403" s="93"/>
      <c r="AZ1403" s="93"/>
      <c r="BA1403" s="93"/>
      <c r="BB1403" s="155"/>
      <c r="BC1403" s="93"/>
      <c r="BE1403" s="93"/>
      <c r="BG1403" s="93"/>
      <c r="BH1403" s="93"/>
      <c r="BI1403" s="93"/>
      <c r="BJ1403" s="155"/>
      <c r="BK1403" s="93"/>
    </row>
    <row r="1404">
      <c r="A1404" s="166">
        <v>44908.02323127315</v>
      </c>
      <c r="B1404" s="44" t="s">
        <v>123</v>
      </c>
      <c r="C1404" s="128">
        <v>913.7108418704715</v>
      </c>
      <c r="D1404" s="128">
        <v>9.0</v>
      </c>
      <c r="E1404" s="128">
        <v>906.5803161747343</v>
      </c>
      <c r="F1404" s="44" t="s">
        <v>88</v>
      </c>
      <c r="G1404" s="128">
        <v>969.7885633933098</v>
      </c>
      <c r="H1404" s="128">
        <v>23.0</v>
      </c>
      <c r="I1404" s="128">
        <v>967.0252325580618</v>
      </c>
      <c r="J1404" s="44" t="s">
        <v>95</v>
      </c>
      <c r="K1404" s="128">
        <v>972.5176885819594</v>
      </c>
      <c r="L1404" s="128">
        <v>21.0</v>
      </c>
      <c r="M1404" s="128">
        <v>969.0760640752454</v>
      </c>
      <c r="N1404" s="44" t="s">
        <v>43</v>
      </c>
      <c r="O1404" s="128">
        <v>1021.9284175022693</v>
      </c>
      <c r="P1404" s="128">
        <v>24.0</v>
      </c>
      <c r="Q1404" s="128">
        <v>1019.3212083452386</v>
      </c>
      <c r="R1404" s="44" t="s">
        <v>34</v>
      </c>
      <c r="S1404" s="128">
        <v>1097.3199140231495</v>
      </c>
      <c r="T1404" s="128">
        <v>20.0</v>
      </c>
      <c r="U1404" s="128">
        <v>1093.2626042178795</v>
      </c>
      <c r="V1404" s="44" t="s">
        <v>125</v>
      </c>
      <c r="W1404" s="128">
        <v>890.4836788114734</v>
      </c>
      <c r="X1404" s="128">
        <v>10.0</v>
      </c>
      <c r="Y1404" s="128">
        <v>890.7614834914739</v>
      </c>
      <c r="Z1404" s="44" t="s">
        <v>112</v>
      </c>
      <c r="AA1404" s="128">
        <v>946.047150670472</v>
      </c>
      <c r="AB1404" s="128">
        <v>29.0</v>
      </c>
      <c r="AC1404" s="128">
        <v>952.2514765804206</v>
      </c>
      <c r="AD1404" s="44" t="s">
        <v>107</v>
      </c>
      <c r="AE1404" s="128">
        <v>951.1783032558816</v>
      </c>
      <c r="AF1404" s="128">
        <v>22.0</v>
      </c>
      <c r="AG1404" s="128">
        <v>955.0184624642764</v>
      </c>
      <c r="AH1404" s="44" t="s">
        <v>92</v>
      </c>
      <c r="AI1404" s="128">
        <v>987.6244956636482</v>
      </c>
      <c r="AJ1404" s="128">
        <v>25.0</v>
      </c>
      <c r="AK1404" s="128">
        <v>992.2783826921818</v>
      </c>
      <c r="AL1404" s="44" t="s">
        <v>27</v>
      </c>
      <c r="AM1404" s="128">
        <v>1197.7658285420555</v>
      </c>
      <c r="AN1404" s="128">
        <v>27.0</v>
      </c>
      <c r="AO1404" s="128">
        <v>1202.789651715178</v>
      </c>
      <c r="AP1404" s="128">
        <v>12.0</v>
      </c>
      <c r="AQ1404" s="128">
        <v>16.0</v>
      </c>
      <c r="AS1404" s="44" t="s">
        <v>279</v>
      </c>
      <c r="AT1404" s="44">
        <v>1403.0</v>
      </c>
      <c r="AU1404" s="44"/>
      <c r="AV1404" s="44" t="s">
        <v>100</v>
      </c>
      <c r="AW1404" s="45">
        <v>946.0161661192603</v>
      </c>
      <c r="AX1404" s="44">
        <v>22.0</v>
      </c>
      <c r="AY1404" s="145">
        <v>943.55</v>
      </c>
      <c r="AZ1404" s="93"/>
      <c r="BA1404" s="93"/>
      <c r="BB1404" s="155"/>
      <c r="BC1404" s="93"/>
      <c r="BD1404" s="44" t="s">
        <v>108</v>
      </c>
      <c r="BE1404" s="12">
        <v>930.6186225141411</v>
      </c>
      <c r="BF1404" s="44">
        <v>17.0</v>
      </c>
      <c r="BG1404" s="145">
        <v>933.65</v>
      </c>
      <c r="BH1404" s="93"/>
      <c r="BI1404" s="93"/>
      <c r="BJ1404" s="155"/>
      <c r="BK1404" s="93"/>
    </row>
    <row r="1405">
      <c r="A1405" s="166">
        <v>44908.05606953704</v>
      </c>
      <c r="B1405" s="44" t="s">
        <v>125</v>
      </c>
      <c r="C1405" s="128">
        <v>890.7614834914739</v>
      </c>
      <c r="D1405" s="128">
        <v>18.0</v>
      </c>
      <c r="E1405" s="128">
        <v>896.0670976928682</v>
      </c>
      <c r="F1405" s="44" t="s">
        <v>88</v>
      </c>
      <c r="G1405" s="128">
        <v>967.0252325580618</v>
      </c>
      <c r="H1405" s="128">
        <v>15.0</v>
      </c>
      <c r="I1405" s="128">
        <v>969.8234941950399</v>
      </c>
      <c r="J1405" s="44" t="s">
        <v>43</v>
      </c>
      <c r="K1405" s="128">
        <v>1019.3212083452386</v>
      </c>
      <c r="L1405" s="128">
        <v>32.0</v>
      </c>
      <c r="M1405" s="128">
        <v>1031.2173325068661</v>
      </c>
      <c r="N1405" s="44"/>
      <c r="O1405" s="128"/>
      <c r="P1405" s="128"/>
      <c r="Q1405" s="128"/>
      <c r="V1405" s="44" t="s">
        <v>112</v>
      </c>
      <c r="W1405" s="128">
        <v>952.2514765804206</v>
      </c>
      <c r="X1405" s="128">
        <v>21.0</v>
      </c>
      <c r="Y1405" s="128">
        <v>948.9665162031671</v>
      </c>
      <c r="Z1405" s="44" t="s">
        <v>105</v>
      </c>
      <c r="AA1405" s="128">
        <v>959.1455040134242</v>
      </c>
      <c r="AB1405" s="128">
        <v>10.0</v>
      </c>
      <c r="AC1405" s="128">
        <v>949.7060925515383</v>
      </c>
      <c r="AD1405" s="44" t="s">
        <v>95</v>
      </c>
      <c r="AE1405" s="128">
        <v>969.0760640752454</v>
      </c>
      <c r="AF1405" s="128">
        <v>14.0</v>
      </c>
      <c r="AG1405" s="128">
        <v>961.8004359143848</v>
      </c>
      <c r="AH1405" s="44"/>
      <c r="AI1405" s="128"/>
      <c r="AJ1405" s="128"/>
      <c r="AK1405" s="128"/>
      <c r="AP1405" s="128">
        <v>18.0</v>
      </c>
      <c r="AQ1405" s="128">
        <v>10.0</v>
      </c>
      <c r="AS1405" s="44" t="s">
        <v>243</v>
      </c>
      <c r="AT1405" s="44">
        <v>1404.0</v>
      </c>
      <c r="AU1405" s="44"/>
      <c r="AW1405" s="93"/>
      <c r="AY1405" s="93"/>
      <c r="AZ1405" s="93"/>
      <c r="BA1405" s="93"/>
      <c r="BB1405" s="155"/>
      <c r="BC1405" s="93"/>
      <c r="BE1405" s="93"/>
      <c r="BG1405" s="93"/>
      <c r="BH1405" s="93"/>
      <c r="BI1405" s="93"/>
      <c r="BJ1405" s="155"/>
      <c r="BK1405" s="93"/>
    </row>
    <row r="1406">
      <c r="A1406" s="166">
        <v>44909.01132304398</v>
      </c>
      <c r="B1406" s="44" t="s">
        <v>110</v>
      </c>
      <c r="C1406" s="128">
        <v>955.0200422710154</v>
      </c>
      <c r="D1406" s="128">
        <v>14.0</v>
      </c>
      <c r="E1406" s="128">
        <v>951.9546330949696</v>
      </c>
      <c r="F1406" s="44" t="s">
        <v>88</v>
      </c>
      <c r="G1406" s="128">
        <v>969.8234941950399</v>
      </c>
      <c r="H1406" s="128">
        <v>20.0</v>
      </c>
      <c r="I1406" s="128">
        <v>967.7213816149825</v>
      </c>
      <c r="J1406" s="44" t="s">
        <v>121</v>
      </c>
      <c r="K1406" s="128">
        <v>983.480908156565</v>
      </c>
      <c r="L1406" s="128">
        <v>12.0</v>
      </c>
      <c r="M1406" s="128">
        <v>980.015448318964</v>
      </c>
      <c r="N1406" s="44" t="s">
        <v>34</v>
      </c>
      <c r="O1406" s="128">
        <v>1093.2626042178795</v>
      </c>
      <c r="P1406" s="128">
        <v>28.0</v>
      </c>
      <c r="Q1406" s="128">
        <v>1092.337397342532</v>
      </c>
      <c r="R1406" s="44" t="s">
        <v>27</v>
      </c>
      <c r="S1406" s="128">
        <v>1202.789651715178</v>
      </c>
      <c r="T1406" s="128">
        <v>31.0</v>
      </c>
      <c r="U1406" s="128">
        <v>1202.3478401842297</v>
      </c>
      <c r="V1406" s="44" t="s">
        <v>107</v>
      </c>
      <c r="W1406" s="128">
        <v>955.0184624642764</v>
      </c>
      <c r="X1406" s="128">
        <v>22.0</v>
      </c>
      <c r="Y1406" s="128">
        <v>956.7620188331854</v>
      </c>
      <c r="Z1406" s="44" t="s">
        <v>119</v>
      </c>
      <c r="AA1406" s="128">
        <v>968.2950720707047</v>
      </c>
      <c r="AB1406" s="128">
        <v>15.0</v>
      </c>
      <c r="AC1406" s="128">
        <v>968.8337315548108</v>
      </c>
      <c r="AD1406" s="44" t="s">
        <v>61</v>
      </c>
      <c r="AE1406" s="128">
        <v>995.3640420167039</v>
      </c>
      <c r="AF1406" s="128">
        <v>21.0</v>
      </c>
      <c r="AG1406" s="128">
        <v>996.8371578652451</v>
      </c>
      <c r="AH1406" s="44" t="s">
        <v>43</v>
      </c>
      <c r="AI1406" s="128">
        <v>1031.2173325068661</v>
      </c>
      <c r="AJ1406" s="128">
        <v>31.0</v>
      </c>
      <c r="AK1406" s="128">
        <v>1034.294321849852</v>
      </c>
      <c r="AL1406" s="44" t="s">
        <v>23</v>
      </c>
      <c r="AM1406" s="128">
        <v>1256.5890551952473</v>
      </c>
      <c r="AN1406" s="128">
        <v>32.0</v>
      </c>
      <c r="AO1406" s="128">
        <v>1259.7567341507051</v>
      </c>
      <c r="AP1406" s="128">
        <v>13.0</v>
      </c>
      <c r="AQ1406" s="128">
        <v>15.0</v>
      </c>
      <c r="AT1406" s="44">
        <v>1405.0</v>
      </c>
      <c r="AU1406" s="44"/>
      <c r="AV1406" s="44" t="s">
        <v>125</v>
      </c>
      <c r="AW1406" s="145">
        <v>896.07</v>
      </c>
      <c r="AX1406" s="44">
        <v>12.0</v>
      </c>
      <c r="AY1406" s="145">
        <v>893.07</v>
      </c>
      <c r="AZ1406" s="93"/>
      <c r="BA1406" s="93"/>
      <c r="BB1406" s="155"/>
      <c r="BC1406" s="93"/>
      <c r="BD1406" s="44" t="s">
        <v>105</v>
      </c>
      <c r="BE1406" s="45">
        <v>949.7060925515383</v>
      </c>
      <c r="BF1406" s="44">
        <v>11.0</v>
      </c>
      <c r="BG1406" s="145">
        <v>950.5</v>
      </c>
      <c r="BH1406" s="93"/>
      <c r="BI1406" s="93"/>
      <c r="BJ1406" s="155"/>
      <c r="BK1406" s="93"/>
    </row>
    <row r="1407">
      <c r="A1407" s="166">
        <v>44909.052656886575</v>
      </c>
      <c r="B1407" s="44" t="s">
        <v>125</v>
      </c>
      <c r="C1407" s="128">
        <v>893.067097692868</v>
      </c>
      <c r="D1407" s="128">
        <v>22.0</v>
      </c>
      <c r="E1407" s="128">
        <v>896.5672488437438</v>
      </c>
      <c r="F1407" s="44" t="s">
        <v>112</v>
      </c>
      <c r="G1407" s="128">
        <v>948.9665162031671</v>
      </c>
      <c r="H1407" s="128">
        <v>22.0</v>
      </c>
      <c r="I1407" s="128">
        <v>952.1891939672929</v>
      </c>
      <c r="J1407" s="44" t="s">
        <v>110</v>
      </c>
      <c r="K1407" s="128">
        <v>951.9546330949696</v>
      </c>
      <c r="L1407" s="128">
        <v>14.0</v>
      </c>
      <c r="M1407" s="128">
        <v>953.1650844379698</v>
      </c>
      <c r="N1407" s="44" t="s">
        <v>107</v>
      </c>
      <c r="O1407" s="128">
        <v>956.7620188331854</v>
      </c>
      <c r="P1407" s="128">
        <v>25.0</v>
      </c>
      <c r="Q1407" s="128">
        <v>960.7033577054534</v>
      </c>
      <c r="R1407" s="44" t="s">
        <v>23</v>
      </c>
      <c r="S1407" s="128">
        <v>1259.7567341507051</v>
      </c>
      <c r="T1407" s="128">
        <v>23.0</v>
      </c>
      <c r="U1407" s="128">
        <v>1262.8821150204353</v>
      </c>
      <c r="V1407" s="44" t="s">
        <v>95</v>
      </c>
      <c r="W1407" s="128">
        <v>961.8004359143848</v>
      </c>
      <c r="X1407" s="128">
        <v>12.0</v>
      </c>
      <c r="Y1407" s="128">
        <v>956.9656449095111</v>
      </c>
      <c r="Z1407" s="44" t="s">
        <v>88</v>
      </c>
      <c r="AA1407" s="128">
        <v>967.7213816149825</v>
      </c>
      <c r="AB1407" s="128">
        <v>22.0</v>
      </c>
      <c r="AC1407" s="128">
        <v>965.366885451259</v>
      </c>
      <c r="AD1407" s="44" t="s">
        <v>119</v>
      </c>
      <c r="AE1407" s="128">
        <v>968.8337315548108</v>
      </c>
      <c r="AF1407" s="128">
        <v>23.0</v>
      </c>
      <c r="AG1407" s="128">
        <v>966.7256379034915</v>
      </c>
      <c r="AH1407" s="44" t="s">
        <v>61</v>
      </c>
      <c r="AI1407" s="128">
        <v>996.8371578652451</v>
      </c>
      <c r="AJ1407" s="128">
        <v>18.0</v>
      </c>
      <c r="AK1407" s="128">
        <v>993.3991758747627</v>
      </c>
      <c r="AL1407" s="44" t="s">
        <v>43</v>
      </c>
      <c r="AM1407" s="128">
        <v>1034.294321849852</v>
      </c>
      <c r="AN1407" s="128">
        <v>23.0</v>
      </c>
      <c r="AO1407" s="128">
        <v>1032.029684660251</v>
      </c>
      <c r="AP1407" s="128">
        <v>16.0</v>
      </c>
      <c r="AQ1407" s="128">
        <v>12.0</v>
      </c>
      <c r="AT1407" s="44">
        <v>1406.0</v>
      </c>
      <c r="AU1407" s="44"/>
      <c r="AW1407" s="93"/>
      <c r="AY1407" s="93"/>
      <c r="AZ1407" s="93"/>
      <c r="BA1407" s="93"/>
      <c r="BB1407" s="155"/>
      <c r="BC1407" s="93"/>
      <c r="BE1407" s="93"/>
      <c r="BG1407" s="93"/>
      <c r="BH1407" s="93"/>
      <c r="BI1407" s="93"/>
      <c r="BJ1407" s="155"/>
      <c r="BK1407" s="93"/>
    </row>
    <row r="1408">
      <c r="A1408" s="166">
        <v>44909.11551072917</v>
      </c>
      <c r="B1408" s="44" t="s">
        <v>125</v>
      </c>
      <c r="C1408" s="128">
        <v>896.5672488437438</v>
      </c>
      <c r="D1408" s="128">
        <v>17.0</v>
      </c>
      <c r="E1408" s="128">
        <v>889.9644165371424</v>
      </c>
      <c r="F1408" s="44" t="s">
        <v>112</v>
      </c>
      <c r="G1408" s="128">
        <v>952.1891939672929</v>
      </c>
      <c r="H1408" s="128">
        <v>34.0</v>
      </c>
      <c r="I1408" s="128">
        <v>950.1138007340683</v>
      </c>
      <c r="J1408" s="44" t="s">
        <v>107</v>
      </c>
      <c r="K1408" s="128">
        <v>960.7033577054534</v>
      </c>
      <c r="L1408" s="128">
        <v>26.0</v>
      </c>
      <c r="M1408" s="128">
        <v>956.2415366490562</v>
      </c>
      <c r="N1408" s="44" t="s">
        <v>23</v>
      </c>
      <c r="O1408" s="128">
        <v>1262.8821150204353</v>
      </c>
      <c r="P1408" s="128">
        <v>40.0</v>
      </c>
      <c r="Q1408" s="128">
        <v>1262.0221616166587</v>
      </c>
      <c r="V1408" s="44" t="s">
        <v>105</v>
      </c>
      <c r="W1408" s="128">
        <v>950.5</v>
      </c>
      <c r="X1408" s="128">
        <v>22.0</v>
      </c>
      <c r="Y1408" s="128">
        <v>951.7272081892827</v>
      </c>
      <c r="Z1408" s="44" t="s">
        <v>95</v>
      </c>
      <c r="AA1408" s="128">
        <v>956.9656449095111</v>
      </c>
      <c r="AB1408" s="128">
        <v>32.0</v>
      </c>
      <c r="AC1408" s="128">
        <v>961.0673614732486</v>
      </c>
      <c r="AD1408" s="44" t="s">
        <v>119</v>
      </c>
      <c r="AE1408" s="128">
        <v>966.7256379034915</v>
      </c>
      <c r="AF1408" s="128">
        <v>28.0</v>
      </c>
      <c r="AG1408" s="128">
        <v>969.6008686493639</v>
      </c>
      <c r="AH1408" s="44" t="s">
        <v>43</v>
      </c>
      <c r="AI1408" s="128">
        <v>1032.029684660251</v>
      </c>
      <c r="AJ1408" s="128">
        <v>39.0</v>
      </c>
      <c r="AK1408" s="128">
        <v>1037.8255291613582</v>
      </c>
      <c r="AP1408" s="128">
        <v>20.0</v>
      </c>
      <c r="AQ1408" s="128">
        <v>22.0</v>
      </c>
      <c r="AS1408" s="44" t="s">
        <v>625</v>
      </c>
      <c r="AT1408" s="44">
        <v>1407.0</v>
      </c>
      <c r="AU1408" s="44"/>
      <c r="AW1408" s="93"/>
      <c r="AY1408" s="93"/>
      <c r="AZ1408" s="93"/>
      <c r="BA1408" s="93"/>
      <c r="BB1408" s="155"/>
      <c r="BC1408" s="93"/>
      <c r="BE1408" s="93"/>
      <c r="BG1408" s="93"/>
      <c r="BH1408" s="93"/>
      <c r="BI1408" s="93"/>
      <c r="BJ1408" s="155"/>
      <c r="BK1408" s="93"/>
    </row>
    <row r="1409">
      <c r="A1409" s="166">
        <v>44909.96337748843</v>
      </c>
      <c r="B1409" s="44" t="s">
        <v>123</v>
      </c>
      <c r="C1409" s="128">
        <v>906.5803161747343</v>
      </c>
      <c r="D1409" s="128">
        <v>14.0</v>
      </c>
      <c r="E1409" s="128">
        <v>910.9647893017585</v>
      </c>
      <c r="F1409" s="44" t="s">
        <v>112</v>
      </c>
      <c r="G1409" s="128">
        <v>950.1138007340683</v>
      </c>
      <c r="H1409" s="128">
        <v>18.0</v>
      </c>
      <c r="I1409" s="128">
        <v>956.8869416551215</v>
      </c>
      <c r="J1409" s="44" t="s">
        <v>38</v>
      </c>
      <c r="K1409" s="128">
        <v>992.561594934289</v>
      </c>
      <c r="L1409" s="128">
        <v>23.0</v>
      </c>
      <c r="M1409" s="128">
        <v>1002.6478158462801</v>
      </c>
      <c r="N1409" s="44" t="s">
        <v>23</v>
      </c>
      <c r="O1409" s="128">
        <v>1262.0221616166587</v>
      </c>
      <c r="P1409" s="128">
        <v>30.0</v>
      </c>
      <c r="Q1409" s="128">
        <v>1276.7783266565903</v>
      </c>
      <c r="V1409" s="44" t="s">
        <v>107</v>
      </c>
      <c r="W1409" s="128">
        <v>956.2415366490562</v>
      </c>
      <c r="X1409" s="128">
        <v>13.0</v>
      </c>
      <c r="Y1409" s="128">
        <v>946.0623499053529</v>
      </c>
      <c r="Z1409" s="44" t="s">
        <v>117</v>
      </c>
      <c r="AA1409" s="128">
        <v>988.1819948667148</v>
      </c>
      <c r="AB1409" s="128">
        <v>11.0</v>
      </c>
      <c r="AC1409" s="128">
        <v>976.2771400717478</v>
      </c>
      <c r="AD1409" s="44" t="s">
        <v>47</v>
      </c>
      <c r="AE1409" s="128">
        <v>1038.331737307737</v>
      </c>
      <c r="AF1409" s="128">
        <v>21.0</v>
      </c>
      <c r="AG1409" s="128">
        <v>1033.6882802177745</v>
      </c>
      <c r="AH1409" s="44" t="s">
        <v>34</v>
      </c>
      <c r="AI1409" s="128">
        <v>1092.337397342532</v>
      </c>
      <c r="AJ1409" s="128">
        <v>15.0</v>
      </c>
      <c r="AK1409" s="128">
        <v>1083.064895971165</v>
      </c>
      <c r="AP1409" s="128">
        <v>19.0</v>
      </c>
      <c r="AQ1409" s="128">
        <v>9.0</v>
      </c>
      <c r="AT1409" s="44">
        <v>1408.0</v>
      </c>
      <c r="AU1409" s="44"/>
      <c r="AW1409" s="93"/>
      <c r="AY1409" s="93"/>
      <c r="AZ1409" s="93"/>
      <c r="BA1409" s="93"/>
      <c r="BB1409" s="155"/>
      <c r="BC1409" s="93"/>
      <c r="BE1409" s="93"/>
      <c r="BG1409" s="93"/>
      <c r="BH1409" s="93"/>
      <c r="BI1409" s="93"/>
      <c r="BJ1409" s="155"/>
      <c r="BK1409" s="93"/>
    </row>
    <row r="1410">
      <c r="A1410" s="166">
        <v>44910.006003449074</v>
      </c>
      <c r="B1410" s="44" t="s">
        <v>123</v>
      </c>
      <c r="C1410" s="128">
        <v>910.9647893017585</v>
      </c>
      <c r="D1410" s="128">
        <v>9.0</v>
      </c>
      <c r="E1410" s="128">
        <v>902.7293908016721</v>
      </c>
      <c r="F1410" s="44" t="s">
        <v>112</v>
      </c>
      <c r="G1410" s="128">
        <v>956.8869416551215</v>
      </c>
      <c r="H1410" s="128">
        <v>16.0</v>
      </c>
      <c r="I1410" s="128">
        <v>951.2919835089915</v>
      </c>
      <c r="J1410" s="44" t="s">
        <v>92</v>
      </c>
      <c r="K1410" s="128">
        <v>992.2783826921818</v>
      </c>
      <c r="L1410" s="128">
        <v>27.0</v>
      </c>
      <c r="M1410" s="128">
        <v>991.1087393383982</v>
      </c>
      <c r="N1410" s="44"/>
      <c r="O1410" s="128"/>
      <c r="P1410" s="128"/>
      <c r="Q1410" s="128"/>
      <c r="V1410" s="44" t="s">
        <v>105</v>
      </c>
      <c r="W1410" s="128">
        <v>951.7272081892827</v>
      </c>
      <c r="X1410" s="128">
        <v>16.0</v>
      </c>
      <c r="Y1410" s="128">
        <v>955.0641066099405</v>
      </c>
      <c r="Z1410" s="44" t="s">
        <v>95</v>
      </c>
      <c r="AA1410" s="128">
        <v>961.0673614732486</v>
      </c>
      <c r="AB1410" s="128">
        <v>16.0</v>
      </c>
      <c r="AC1410" s="128">
        <v>964.3488573510633</v>
      </c>
      <c r="AD1410" s="44" t="s">
        <v>43</v>
      </c>
      <c r="AE1410" s="128">
        <v>1037.8255291613582</v>
      </c>
      <c r="AF1410" s="128">
        <v>29.0</v>
      </c>
      <c r="AG1410" s="128">
        <v>1046.2071348628858</v>
      </c>
      <c r="AH1410" s="44"/>
      <c r="AI1410" s="128"/>
      <c r="AJ1410" s="128"/>
      <c r="AK1410" s="128"/>
      <c r="AP1410" s="128">
        <v>11.0</v>
      </c>
      <c r="AQ1410" s="128">
        <v>17.0</v>
      </c>
      <c r="AT1410" s="44">
        <v>1409.0</v>
      </c>
      <c r="AU1410" s="44"/>
      <c r="AW1410" s="93"/>
      <c r="AY1410" s="93"/>
      <c r="AZ1410" s="93"/>
      <c r="BA1410" s="93"/>
      <c r="BB1410" s="155"/>
      <c r="BC1410" s="93"/>
      <c r="BE1410" s="93"/>
      <c r="BG1410" s="93"/>
      <c r="BH1410" s="93"/>
      <c r="BI1410" s="93"/>
      <c r="BJ1410" s="155"/>
      <c r="BK1410" s="93"/>
    </row>
    <row r="1411">
      <c r="A1411" s="166">
        <v>44910.05731392361</v>
      </c>
      <c r="B1411" s="44" t="s">
        <v>112</v>
      </c>
      <c r="C1411" s="128">
        <v>951.2919835089915</v>
      </c>
      <c r="D1411" s="128">
        <v>17.0</v>
      </c>
      <c r="E1411" s="128">
        <v>944.0245469342954</v>
      </c>
      <c r="F1411" s="44" t="s">
        <v>117</v>
      </c>
      <c r="G1411" s="128">
        <v>976.2771400717478</v>
      </c>
      <c r="H1411" s="128">
        <v>16.0</v>
      </c>
      <c r="I1411" s="128">
        <v>968.2658127933846</v>
      </c>
      <c r="J1411" s="44" t="s">
        <v>626</v>
      </c>
      <c r="K1411" s="128">
        <v>1000.0</v>
      </c>
      <c r="L1411" s="128">
        <v>4.0</v>
      </c>
      <c r="M1411" s="128">
        <v>985.0525410311697</v>
      </c>
      <c r="N1411" s="44" t="s">
        <v>50</v>
      </c>
      <c r="O1411" s="128">
        <v>1044.766640910941</v>
      </c>
      <c r="P1411" s="128">
        <v>22.0</v>
      </c>
      <c r="Q1411" s="128">
        <v>1039.840282360096</v>
      </c>
      <c r="R1411" s="44" t="s">
        <v>23</v>
      </c>
      <c r="S1411" s="128">
        <v>1276.7783266565903</v>
      </c>
      <c r="T1411" s="128">
        <v>33.0</v>
      </c>
      <c r="U1411" s="128">
        <v>1276.7683266565903</v>
      </c>
      <c r="V1411" s="44" t="s">
        <v>105</v>
      </c>
      <c r="W1411" s="128">
        <v>955.0641066099405</v>
      </c>
      <c r="X1411" s="128">
        <v>24.0</v>
      </c>
      <c r="Y1411" s="128">
        <v>963.3283967645493</v>
      </c>
      <c r="Z1411" s="44" t="s">
        <v>95</v>
      </c>
      <c r="AA1411" s="128">
        <v>964.3488573510633</v>
      </c>
      <c r="AB1411" s="128">
        <v>18.0</v>
      </c>
      <c r="AC1411" s="128">
        <v>969.1316841167002</v>
      </c>
      <c r="AD1411" s="44" t="s">
        <v>88</v>
      </c>
      <c r="AE1411" s="128">
        <v>965.366885451259</v>
      </c>
      <c r="AF1411" s="128">
        <v>22.0</v>
      </c>
      <c r="AG1411" s="128">
        <v>972.4078041155684</v>
      </c>
      <c r="AH1411" s="44" t="s">
        <v>38</v>
      </c>
      <c r="AI1411" s="128">
        <v>1002.6478158462801</v>
      </c>
      <c r="AJ1411" s="128">
        <v>24.0</v>
      </c>
      <c r="AK1411" s="128">
        <v>1010.5555175745401</v>
      </c>
      <c r="AL1411" s="44" t="s">
        <v>43</v>
      </c>
      <c r="AM1411" s="128">
        <v>1046.2071348628858</v>
      </c>
      <c r="AN1411" s="128">
        <v>21.0</v>
      </c>
      <c r="AO1411" s="128">
        <v>1052.2113975500706</v>
      </c>
      <c r="AP1411" s="128">
        <v>12.0</v>
      </c>
      <c r="AQ1411" s="128">
        <v>16.0</v>
      </c>
      <c r="AT1411" s="44">
        <v>1410.0</v>
      </c>
      <c r="AU1411" s="44"/>
      <c r="AW1411" s="93"/>
      <c r="AY1411" s="93"/>
      <c r="AZ1411" s="93"/>
      <c r="BA1411" s="93"/>
      <c r="BB1411" s="155"/>
      <c r="BC1411" s="93"/>
      <c r="BE1411" s="93"/>
      <c r="BG1411" s="93"/>
      <c r="BH1411" s="93"/>
      <c r="BI1411" s="93"/>
      <c r="BJ1411" s="155"/>
      <c r="BK1411" s="93"/>
    </row>
    <row r="1412">
      <c r="A1412" s="166">
        <v>44911.01442209491</v>
      </c>
      <c r="B1412" s="44" t="s">
        <v>100</v>
      </c>
      <c r="C1412" s="128">
        <v>943.55</v>
      </c>
      <c r="D1412" s="128">
        <v>24.0</v>
      </c>
      <c r="E1412" s="128">
        <v>945.9521804404595</v>
      </c>
      <c r="F1412" s="44" t="s">
        <v>88</v>
      </c>
      <c r="G1412" s="128">
        <v>972.4078041155684</v>
      </c>
      <c r="H1412" s="128">
        <v>25.0</v>
      </c>
      <c r="I1412" s="128">
        <v>974.9323062285754</v>
      </c>
      <c r="J1412" s="44" t="s">
        <v>23</v>
      </c>
      <c r="K1412" s="128">
        <v>1276.7683266565903</v>
      </c>
      <c r="L1412" s="128">
        <v>38.0</v>
      </c>
      <c r="M1412" s="128">
        <v>1282.8416441031238</v>
      </c>
      <c r="N1412" s="44"/>
      <c r="O1412" s="128"/>
      <c r="P1412" s="128"/>
      <c r="Q1412" s="128"/>
      <c r="V1412" s="44" t="s">
        <v>112</v>
      </c>
      <c r="W1412" s="128">
        <v>944.0245469342954</v>
      </c>
      <c r="X1412" s="128">
        <v>23.0</v>
      </c>
      <c r="Y1412" s="128">
        <v>939.2916510177135</v>
      </c>
      <c r="Z1412" s="44" t="s">
        <v>34</v>
      </c>
      <c r="AA1412" s="128">
        <v>1083.064895971165</v>
      </c>
      <c r="AB1412" s="128">
        <v>35.0</v>
      </c>
      <c r="AC1412" s="128">
        <v>1081.486092308846</v>
      </c>
      <c r="AD1412" s="44" t="s">
        <v>27</v>
      </c>
      <c r="AE1412" s="128">
        <v>1202.3478401842297</v>
      </c>
      <c r="AF1412" s="128">
        <v>25.0</v>
      </c>
      <c r="AG1412" s="128">
        <v>1197.6595397631304</v>
      </c>
      <c r="AH1412" s="44"/>
      <c r="AI1412" s="128"/>
      <c r="AJ1412" s="128"/>
      <c r="AK1412" s="128"/>
      <c r="AP1412" s="128">
        <v>22.0</v>
      </c>
      <c r="AQ1412" s="128">
        <v>20.0</v>
      </c>
      <c r="AT1412" s="44">
        <v>1411.0</v>
      </c>
      <c r="AU1412" s="44"/>
      <c r="AW1412" s="93"/>
      <c r="AY1412" s="93"/>
      <c r="AZ1412" s="93"/>
      <c r="BA1412" s="93"/>
      <c r="BB1412" s="155"/>
      <c r="BC1412" s="93"/>
      <c r="BE1412" s="93"/>
      <c r="BG1412" s="93"/>
      <c r="BH1412" s="93"/>
      <c r="BI1412" s="93"/>
      <c r="BJ1412" s="155"/>
      <c r="BK1412" s="93"/>
    </row>
    <row r="1413">
      <c r="A1413" s="166">
        <v>44911.0543740625</v>
      </c>
      <c r="B1413" s="44" t="s">
        <v>112</v>
      </c>
      <c r="C1413" s="128">
        <v>939.2916510177135</v>
      </c>
      <c r="D1413" s="128">
        <v>18.0</v>
      </c>
      <c r="E1413" s="128">
        <v>943.2159706087699</v>
      </c>
      <c r="F1413" s="44" t="s">
        <v>100</v>
      </c>
      <c r="G1413" s="128">
        <v>945.9521804404595</v>
      </c>
      <c r="H1413" s="128">
        <v>11.0</v>
      </c>
      <c r="I1413" s="128">
        <v>946.7634233286117</v>
      </c>
      <c r="J1413" s="44" t="s">
        <v>50</v>
      </c>
      <c r="K1413" s="128">
        <v>1039.840282360096</v>
      </c>
      <c r="L1413" s="128">
        <v>20.0</v>
      </c>
      <c r="M1413" s="128">
        <v>1044.1131866212615</v>
      </c>
      <c r="N1413" s="44" t="s">
        <v>23</v>
      </c>
      <c r="O1413" s="128">
        <v>1282.8416441031238</v>
      </c>
      <c r="P1413" s="128">
        <v>38.0</v>
      </c>
      <c r="Q1413" s="128">
        <v>1294.8331773627497</v>
      </c>
      <c r="V1413" s="44" t="s">
        <v>119</v>
      </c>
      <c r="W1413" s="128">
        <v>969.6008686493639</v>
      </c>
      <c r="X1413" s="128">
        <v>11.0</v>
      </c>
      <c r="Y1413" s="128">
        <v>961.1533366065077</v>
      </c>
      <c r="Z1413" s="44" t="s">
        <v>88</v>
      </c>
      <c r="AA1413" s="128">
        <v>974.9323062285754</v>
      </c>
      <c r="AB1413" s="128">
        <v>14.0</v>
      </c>
      <c r="AC1413" s="128">
        <v>967.7698124741194</v>
      </c>
      <c r="AD1413" s="44" t="s">
        <v>34</v>
      </c>
      <c r="AE1413" s="128">
        <v>1081.486092308846</v>
      </c>
      <c r="AF1413" s="128">
        <v>28.0</v>
      </c>
      <c r="AG1413" s="128">
        <v>1080.1308081481122</v>
      </c>
      <c r="AH1413" s="44" t="s">
        <v>27</v>
      </c>
      <c r="AI1413" s="128">
        <v>1197.6595397631304</v>
      </c>
      <c r="AJ1413" s="128">
        <v>22.0</v>
      </c>
      <c r="AK1413" s="128">
        <v>1193.6248497211766</v>
      </c>
      <c r="AP1413" s="128">
        <v>17.0</v>
      </c>
      <c r="AQ1413" s="128">
        <v>11.0</v>
      </c>
      <c r="AT1413" s="44">
        <v>1412.0</v>
      </c>
      <c r="AU1413" s="44"/>
      <c r="AW1413" s="93"/>
      <c r="AY1413" s="93"/>
      <c r="AZ1413" s="93"/>
      <c r="BA1413" s="93"/>
      <c r="BB1413" s="155"/>
      <c r="BC1413" s="93"/>
      <c r="BE1413" s="93"/>
      <c r="BG1413" s="93"/>
      <c r="BH1413" s="93"/>
      <c r="BI1413" s="93"/>
      <c r="BJ1413" s="155"/>
      <c r="BK1413" s="93"/>
    </row>
    <row r="1414">
      <c r="A1414" s="166">
        <v>44911.90589310185</v>
      </c>
      <c r="B1414" s="44" t="s">
        <v>123</v>
      </c>
      <c r="C1414" s="128">
        <v>902.7293908016721</v>
      </c>
      <c r="D1414" s="128">
        <v>7.0</v>
      </c>
      <c r="E1414" s="128">
        <v>902.7393908016721</v>
      </c>
      <c r="F1414" s="44" t="s">
        <v>38</v>
      </c>
      <c r="G1414" s="128">
        <v>1010.5555175745401</v>
      </c>
      <c r="H1414" s="128">
        <v>30.0</v>
      </c>
      <c r="I1414" s="128">
        <v>1021.4811567172076</v>
      </c>
      <c r="J1414" s="44" t="s">
        <v>23</v>
      </c>
      <c r="K1414" s="128">
        <v>1294.8331773627497</v>
      </c>
      <c r="L1414" s="128">
        <v>26.0</v>
      </c>
      <c r="M1414" s="128">
        <v>1303.3401951453823</v>
      </c>
      <c r="N1414" s="44"/>
      <c r="O1414" s="128"/>
      <c r="P1414" s="128"/>
      <c r="Q1414" s="128"/>
      <c r="V1414" s="44" t="s">
        <v>117</v>
      </c>
      <c r="W1414" s="128">
        <v>968.2658127933846</v>
      </c>
      <c r="X1414" s="128">
        <v>6.0</v>
      </c>
      <c r="Y1414" s="128">
        <v>956.8708657347182</v>
      </c>
      <c r="Z1414" s="44" t="s">
        <v>47</v>
      </c>
      <c r="AA1414" s="128">
        <v>1033.6882802177745</v>
      </c>
      <c r="AB1414" s="128">
        <v>12.0</v>
      </c>
      <c r="AC1414" s="128">
        <v>1025.2142770150085</v>
      </c>
      <c r="AD1414" s="44" t="s">
        <v>27</v>
      </c>
      <c r="AE1414" s="128">
        <v>1193.6248497211766</v>
      </c>
      <c r="AF1414" s="128">
        <v>30.0</v>
      </c>
      <c r="AG1414" s="128">
        <v>1193.6148497211766</v>
      </c>
      <c r="AH1414" s="44"/>
      <c r="AI1414" s="128"/>
      <c r="AJ1414" s="128"/>
      <c r="AK1414" s="128"/>
      <c r="AP1414" s="128">
        <v>18.0</v>
      </c>
      <c r="AQ1414" s="128">
        <v>10.0</v>
      </c>
      <c r="AT1414" s="44">
        <v>1413.0</v>
      </c>
      <c r="AU1414" s="44"/>
      <c r="AW1414" s="93"/>
      <c r="AY1414" s="93"/>
      <c r="AZ1414" s="93"/>
      <c r="BA1414" s="93"/>
      <c r="BB1414" s="155"/>
      <c r="BC1414" s="93"/>
      <c r="BE1414" s="93"/>
      <c r="BG1414" s="93"/>
      <c r="BH1414" s="93"/>
      <c r="BI1414" s="93"/>
      <c r="BJ1414" s="155"/>
      <c r="BK1414" s="93"/>
    </row>
    <row r="1415">
      <c r="A1415" s="166">
        <v>44911.94325453704</v>
      </c>
      <c r="B1415" s="44" t="s">
        <v>123</v>
      </c>
      <c r="C1415" s="128">
        <v>902.7393908016721</v>
      </c>
      <c r="D1415" s="128">
        <v>9.0</v>
      </c>
      <c r="E1415" s="128">
        <v>904.1898297331885</v>
      </c>
      <c r="F1415" s="44" t="s">
        <v>38</v>
      </c>
      <c r="G1415" s="128">
        <v>1021.4811567172076</v>
      </c>
      <c r="H1415" s="128">
        <v>26.0</v>
      </c>
      <c r="I1415" s="128">
        <v>1030.3062764391605</v>
      </c>
      <c r="J1415" s="44" t="s">
        <v>23</v>
      </c>
      <c r="K1415" s="128">
        <v>1303.3401951453823</v>
      </c>
      <c r="L1415" s="128">
        <v>22.0</v>
      </c>
      <c r="M1415" s="128">
        <v>1310.064636491913</v>
      </c>
      <c r="N1415" s="44"/>
      <c r="O1415" s="128"/>
      <c r="P1415" s="128"/>
      <c r="Q1415" s="128"/>
      <c r="V1415" s="44" t="s">
        <v>117</v>
      </c>
      <c r="W1415" s="128">
        <v>956.8708657347182</v>
      </c>
      <c r="X1415" s="128">
        <v>20.0</v>
      </c>
      <c r="Y1415" s="128">
        <v>951.7838676519027</v>
      </c>
      <c r="Z1415" s="44" t="s">
        <v>47</v>
      </c>
      <c r="AA1415" s="128">
        <v>1025.2142770150085</v>
      </c>
      <c r="AB1415" s="128">
        <v>15.0</v>
      </c>
      <c r="AC1415" s="128">
        <v>1017.4673083980866</v>
      </c>
      <c r="AD1415" s="44" t="s">
        <v>27</v>
      </c>
      <c r="AE1415" s="128">
        <v>1193.6148497211766</v>
      </c>
      <c r="AF1415" s="128">
        <v>23.0</v>
      </c>
      <c r="AG1415" s="128">
        <v>1189.448816420914</v>
      </c>
      <c r="AH1415" s="44"/>
      <c r="AI1415" s="128"/>
      <c r="AJ1415" s="128"/>
      <c r="AK1415" s="128"/>
      <c r="AP1415" s="128">
        <v>16.0</v>
      </c>
      <c r="AQ1415" s="128">
        <v>12.0</v>
      </c>
      <c r="AT1415" s="44">
        <v>1414.0</v>
      </c>
      <c r="AU1415" s="44"/>
      <c r="AW1415" s="93"/>
      <c r="AY1415" s="93"/>
      <c r="AZ1415" s="93"/>
      <c r="BA1415" s="93"/>
      <c r="BB1415" s="155"/>
      <c r="BC1415" s="93"/>
      <c r="BE1415" s="93"/>
      <c r="BG1415" s="93"/>
      <c r="BH1415" s="93"/>
      <c r="BI1415" s="93"/>
      <c r="BJ1415" s="155"/>
      <c r="BK1415" s="93"/>
    </row>
    <row r="1416">
      <c r="A1416" s="166">
        <v>44911.982147627314</v>
      </c>
      <c r="B1416" s="44" t="s">
        <v>107</v>
      </c>
      <c r="C1416" s="128">
        <v>946.0623499053529</v>
      </c>
      <c r="D1416" s="128">
        <v>9.0</v>
      </c>
      <c r="E1416" s="128">
        <v>946.1805788158566</v>
      </c>
      <c r="F1416" s="44" t="s">
        <v>38</v>
      </c>
      <c r="G1416" s="128">
        <v>1030.3062764391605</v>
      </c>
      <c r="H1416" s="128">
        <v>24.0</v>
      </c>
      <c r="I1416" s="128">
        <v>1030.8213990447452</v>
      </c>
      <c r="J1416" s="44" t="s">
        <v>27</v>
      </c>
      <c r="K1416" s="128">
        <v>1189.448816420914</v>
      </c>
      <c r="L1416" s="128">
        <v>19.0</v>
      </c>
      <c r="M1416" s="128">
        <v>1189.8154649048256</v>
      </c>
      <c r="N1416" s="44"/>
      <c r="O1416" s="128"/>
      <c r="P1416" s="128"/>
      <c r="Q1416" s="128"/>
      <c r="V1416" s="44" t="s">
        <v>125</v>
      </c>
      <c r="W1416" s="128">
        <v>889.9644165371424</v>
      </c>
      <c r="X1416" s="128">
        <v>11.0</v>
      </c>
      <c r="Y1416" s="128">
        <v>889.4508877272555</v>
      </c>
      <c r="Z1416" s="44" t="s">
        <v>47</v>
      </c>
      <c r="AA1416" s="128">
        <v>1017.4673083980866</v>
      </c>
      <c r="AB1416" s="128">
        <v>17.0</v>
      </c>
      <c r="AC1416" s="128">
        <v>1017.0778407143936</v>
      </c>
      <c r="AD1416" s="44" t="s">
        <v>23</v>
      </c>
      <c r="AE1416" s="128">
        <v>1310.064636491913</v>
      </c>
      <c r="AF1416" s="128">
        <v>28.0</v>
      </c>
      <c r="AG1416" s="128">
        <v>1309.967632985493</v>
      </c>
      <c r="AH1416" s="44"/>
      <c r="AI1416" s="128"/>
      <c r="AJ1416" s="128"/>
      <c r="AK1416" s="128"/>
      <c r="AP1416" s="128">
        <v>14.0</v>
      </c>
      <c r="AQ1416" s="128">
        <v>14.0</v>
      </c>
      <c r="AR1416" s="44" t="s">
        <v>627</v>
      </c>
      <c r="AT1416" s="44">
        <v>1415.0</v>
      </c>
      <c r="AU1416" s="44"/>
      <c r="AW1416" s="93"/>
      <c r="AY1416" s="93"/>
      <c r="AZ1416" s="93"/>
      <c r="BA1416" s="93"/>
      <c r="BB1416" s="155"/>
      <c r="BC1416" s="93"/>
      <c r="BE1416" s="93"/>
      <c r="BG1416" s="93"/>
      <c r="BH1416" s="93"/>
      <c r="BI1416" s="93"/>
      <c r="BJ1416" s="155"/>
      <c r="BK1416" s="93"/>
    </row>
    <row r="1417">
      <c r="A1417" s="166">
        <v>44912.03637450231</v>
      </c>
      <c r="B1417" s="44" t="s">
        <v>107</v>
      </c>
      <c r="C1417" s="128">
        <v>946.1805788158566</v>
      </c>
      <c r="D1417" s="128">
        <v>21.0</v>
      </c>
      <c r="E1417" s="128">
        <v>938.9810483791716</v>
      </c>
      <c r="F1417" s="44" t="s">
        <v>88</v>
      </c>
      <c r="G1417" s="128">
        <v>967.7698124741194</v>
      </c>
      <c r="H1417" s="128">
        <v>31.0</v>
      </c>
      <c r="I1417" s="128">
        <v>964.3800817793908</v>
      </c>
      <c r="J1417" s="44" t="s">
        <v>38</v>
      </c>
      <c r="K1417" s="128">
        <v>1030.8213990447452</v>
      </c>
      <c r="L1417" s="128">
        <v>22.0</v>
      </c>
      <c r="M1417" s="128">
        <v>1023.5593729378769</v>
      </c>
      <c r="N1417" s="44" t="s">
        <v>27</v>
      </c>
      <c r="O1417" s="128">
        <v>1189.8154649048256</v>
      </c>
      <c r="P1417" s="128">
        <v>38.0</v>
      </c>
      <c r="Q1417" s="128">
        <v>1188.6667521431075</v>
      </c>
      <c r="V1417" s="44" t="s">
        <v>125</v>
      </c>
      <c r="W1417" s="128">
        <v>889.4508877272555</v>
      </c>
      <c r="X1417" s="128">
        <v>11.0</v>
      </c>
      <c r="Y1417" s="128">
        <v>889.4608877272555</v>
      </c>
      <c r="Z1417" s="44" t="s">
        <v>112</v>
      </c>
      <c r="AA1417" s="128">
        <v>943.2159706087699</v>
      </c>
      <c r="AB1417" s="128">
        <v>28.0</v>
      </c>
      <c r="AC1417" s="128">
        <v>947.0609945786451</v>
      </c>
      <c r="AD1417" s="44" t="s">
        <v>47</v>
      </c>
      <c r="AE1417" s="128">
        <v>1017.0778407143936</v>
      </c>
      <c r="AF1417" s="128">
        <v>34.0</v>
      </c>
      <c r="AG1417" s="128">
        <v>1022.8203230890007</v>
      </c>
      <c r="AH1417" s="44" t="s">
        <v>23</v>
      </c>
      <c r="AI1417" s="128">
        <v>1309.967632985493</v>
      </c>
      <c r="AJ1417" s="128">
        <v>50.0</v>
      </c>
      <c r="AK1417" s="128">
        <v>1321.7327264327403</v>
      </c>
      <c r="AP1417" s="128">
        <v>17.0</v>
      </c>
      <c r="AQ1417" s="128">
        <v>25.0</v>
      </c>
      <c r="AR1417" s="44" t="s">
        <v>628</v>
      </c>
      <c r="AT1417" s="44">
        <v>1416.0</v>
      </c>
      <c r="AU1417" s="44"/>
      <c r="AW1417" s="93"/>
      <c r="AY1417" s="93"/>
      <c r="AZ1417" s="93"/>
      <c r="BA1417" s="93"/>
      <c r="BB1417" s="155"/>
      <c r="BC1417" s="93"/>
      <c r="BE1417" s="93"/>
      <c r="BG1417" s="93"/>
      <c r="BH1417" s="93"/>
      <c r="BI1417" s="93"/>
      <c r="BJ1417" s="155"/>
      <c r="BK1417" s="93"/>
    </row>
    <row r="1418">
      <c r="A1418" s="166">
        <v>44912.074492395834</v>
      </c>
      <c r="B1418" s="44" t="s">
        <v>125</v>
      </c>
      <c r="C1418" s="128">
        <v>889.4608877272555</v>
      </c>
      <c r="D1418" s="128">
        <v>9.0</v>
      </c>
      <c r="E1418" s="128">
        <v>882.1625436207222</v>
      </c>
      <c r="F1418" s="44" t="s">
        <v>107</v>
      </c>
      <c r="G1418" s="128">
        <v>938.9810483791716</v>
      </c>
      <c r="H1418" s="128">
        <v>17.0</v>
      </c>
      <c r="I1418" s="128">
        <v>934.7628122485594</v>
      </c>
      <c r="J1418" s="44" t="s">
        <v>112</v>
      </c>
      <c r="K1418" s="128">
        <v>947.0609945786451</v>
      </c>
      <c r="L1418" s="128">
        <v>17.0</v>
      </c>
      <c r="M1418" s="128">
        <v>942.8078342332933</v>
      </c>
      <c r="N1418" s="44" t="s">
        <v>23</v>
      </c>
      <c r="O1418" s="128">
        <v>1321.7327264327403</v>
      </c>
      <c r="P1418" s="128">
        <v>18.0</v>
      </c>
      <c r="Q1418" s="128">
        <v>1317.5024670152377</v>
      </c>
      <c r="V1418" s="44" t="s">
        <v>88</v>
      </c>
      <c r="W1418" s="128">
        <v>964.3800817793908</v>
      </c>
      <c r="X1418" s="128">
        <v>12.0</v>
      </c>
      <c r="Y1418" s="128">
        <v>965.3271713658335</v>
      </c>
      <c r="Z1418" s="44" t="s">
        <v>47</v>
      </c>
      <c r="AA1418" s="128">
        <v>1022.8203230890007</v>
      </c>
      <c r="AB1418" s="128">
        <v>27.0</v>
      </c>
      <c r="AC1418" s="128">
        <v>1029.7719046808515</v>
      </c>
      <c r="AD1418" s="44" t="s">
        <v>38</v>
      </c>
      <c r="AE1418" s="128">
        <v>1023.5593729378769</v>
      </c>
      <c r="AF1418" s="128">
        <v>23.0</v>
      </c>
      <c r="AG1418" s="128">
        <v>1028.8419515806822</v>
      </c>
      <c r="AH1418" s="44" t="s">
        <v>34</v>
      </c>
      <c r="AI1418" s="128">
        <v>1080.1308081481122</v>
      </c>
      <c r="AJ1418" s="128">
        <v>27.0</v>
      </c>
      <c r="AK1418" s="128">
        <v>1086.9495583270136</v>
      </c>
      <c r="AP1418" s="128">
        <v>10.0</v>
      </c>
      <c r="AQ1418" s="128">
        <v>18.0</v>
      </c>
      <c r="AT1418" s="44">
        <v>1417.0</v>
      </c>
      <c r="AU1418" s="44"/>
      <c r="AW1418" s="93"/>
      <c r="AY1418" s="93"/>
      <c r="AZ1418" s="93"/>
      <c r="BA1418" s="93"/>
      <c r="BB1418" s="155"/>
      <c r="BC1418" s="93"/>
      <c r="BE1418" s="93"/>
      <c r="BG1418" s="93"/>
      <c r="BH1418" s="93"/>
      <c r="BI1418" s="93"/>
      <c r="BJ1418" s="155"/>
      <c r="BK1418" s="93"/>
    </row>
    <row r="1419">
      <c r="A1419" s="166">
        <v>44912.47119145833</v>
      </c>
      <c r="B1419" s="44" t="s">
        <v>125</v>
      </c>
      <c r="C1419" s="128">
        <v>882.1625436207222</v>
      </c>
      <c r="D1419" s="128">
        <v>12.0</v>
      </c>
      <c r="E1419" s="128">
        <v>883.418712814112</v>
      </c>
      <c r="F1419" s="44" t="s">
        <v>107</v>
      </c>
      <c r="G1419" s="128">
        <v>934.7628122485594</v>
      </c>
      <c r="H1419" s="128">
        <v>27.0</v>
      </c>
      <c r="I1419" s="128">
        <v>941.3608972122342</v>
      </c>
      <c r="J1419" s="44" t="s">
        <v>88</v>
      </c>
      <c r="K1419" s="128">
        <v>965.3271713658335</v>
      </c>
      <c r="L1419" s="128">
        <v>24.0</v>
      </c>
      <c r="M1419" s="128">
        <v>970.5911356901992</v>
      </c>
      <c r="N1419" s="44" t="s">
        <v>47</v>
      </c>
      <c r="O1419" s="128">
        <v>1029.7719046808515</v>
      </c>
      <c r="P1419" s="128">
        <v>22.0</v>
      </c>
      <c r="Q1419" s="128">
        <v>1034.0045128969934</v>
      </c>
      <c r="R1419" s="44" t="s">
        <v>34</v>
      </c>
      <c r="S1419" s="128">
        <v>1086.9495583270136</v>
      </c>
      <c r="T1419" s="128">
        <v>26.0</v>
      </c>
      <c r="U1419" s="128">
        <v>1092.5987316294413</v>
      </c>
      <c r="V1419" s="44" t="s">
        <v>117</v>
      </c>
      <c r="W1419" s="128">
        <v>951.7838676519027</v>
      </c>
      <c r="X1419" s="128">
        <v>26.0</v>
      </c>
      <c r="Y1419" s="128">
        <v>950.7053493621848</v>
      </c>
      <c r="Z1419" s="44" t="s">
        <v>40</v>
      </c>
      <c r="AA1419" s="128">
        <v>1000.0</v>
      </c>
      <c r="AB1419" s="128">
        <v>22.0</v>
      </c>
      <c r="AC1419" s="128">
        <v>997.2060242026645</v>
      </c>
      <c r="AD1419" s="44" t="s">
        <v>76</v>
      </c>
      <c r="AE1419" s="128">
        <v>1000.0</v>
      </c>
      <c r="AF1419" s="128">
        <v>13.0</v>
      </c>
      <c r="AG1419" s="128">
        <v>993.7560242026644</v>
      </c>
      <c r="AH1419" s="44" t="s">
        <v>86</v>
      </c>
      <c r="AI1419" s="128">
        <v>1000.0</v>
      </c>
      <c r="AJ1419" s="128">
        <v>15.0</v>
      </c>
      <c r="AK1419" s="128">
        <v>994.5226908693311</v>
      </c>
      <c r="AL1419" s="44" t="s">
        <v>74</v>
      </c>
      <c r="AM1419" s="128">
        <v>1004.10623098381</v>
      </c>
      <c r="AN1419" s="128">
        <v>10.0</v>
      </c>
      <c r="AO1419" s="128">
        <v>996.7000099988677</v>
      </c>
      <c r="AP1419" s="128">
        <v>17.0</v>
      </c>
      <c r="AQ1419" s="128">
        <v>11.0</v>
      </c>
      <c r="AT1419" s="44">
        <v>1418.0</v>
      </c>
      <c r="AU1419" s="44"/>
      <c r="AW1419" s="93"/>
      <c r="AY1419" s="93"/>
      <c r="AZ1419" s="93"/>
      <c r="BA1419" s="93"/>
      <c r="BB1419" s="155"/>
      <c r="BC1419" s="93"/>
      <c r="BE1419" s="93"/>
      <c r="BG1419" s="93"/>
      <c r="BH1419" s="93"/>
      <c r="BI1419" s="93"/>
      <c r="BJ1419" s="155"/>
      <c r="BK1419" s="93"/>
    </row>
    <row r="1420">
      <c r="A1420" s="166">
        <v>44912.69074755787</v>
      </c>
      <c r="B1420" s="44" t="s">
        <v>125</v>
      </c>
      <c r="C1420" s="128">
        <v>883.418712814112</v>
      </c>
      <c r="D1420" s="128">
        <v>24.0</v>
      </c>
      <c r="E1420" s="128">
        <v>883.428712814112</v>
      </c>
      <c r="F1420" s="44" t="s">
        <v>23</v>
      </c>
      <c r="G1420" s="128">
        <v>1317.5024670152377</v>
      </c>
      <c r="H1420" s="128">
        <v>67.0</v>
      </c>
      <c r="I1420" s="128">
        <v>1329.0393368057375</v>
      </c>
      <c r="J1420" s="44"/>
      <c r="K1420" s="128"/>
      <c r="L1420" s="128"/>
      <c r="M1420" s="128"/>
      <c r="N1420" s="44"/>
      <c r="O1420" s="128"/>
      <c r="P1420" s="128"/>
      <c r="Q1420" s="128"/>
      <c r="V1420" s="44" t="s">
        <v>117</v>
      </c>
      <c r="W1420" s="128">
        <v>950.7053493621848</v>
      </c>
      <c r="X1420" s="128">
        <v>29.0</v>
      </c>
      <c r="Y1420" s="128">
        <v>942.5973493230359</v>
      </c>
      <c r="Z1420" s="44" t="s">
        <v>50</v>
      </c>
      <c r="AA1420" s="128">
        <v>1044.1131866212615</v>
      </c>
      <c r="AB1420" s="128">
        <v>50.0</v>
      </c>
      <c r="AC1420" s="128">
        <v>1043.2211866604105</v>
      </c>
      <c r="AD1420" s="44"/>
      <c r="AE1420" s="128"/>
      <c r="AF1420" s="128"/>
      <c r="AG1420" s="128"/>
      <c r="AH1420" s="44"/>
      <c r="AI1420" s="128"/>
      <c r="AJ1420" s="128"/>
      <c r="AK1420" s="128"/>
      <c r="AP1420" s="128">
        <v>40.0</v>
      </c>
      <c r="AQ1420" s="128">
        <v>30.0</v>
      </c>
      <c r="AR1420" s="44" t="s">
        <v>629</v>
      </c>
      <c r="AS1420" s="44" t="s">
        <v>630</v>
      </c>
      <c r="AT1420" s="44">
        <v>1419.0</v>
      </c>
      <c r="AU1420" s="44"/>
      <c r="AW1420" s="93"/>
      <c r="AY1420" s="93"/>
      <c r="AZ1420" s="93"/>
      <c r="BA1420" s="93"/>
      <c r="BB1420" s="155"/>
      <c r="BC1420" s="93"/>
      <c r="BE1420" s="93"/>
      <c r="BG1420" s="93"/>
      <c r="BH1420" s="93"/>
      <c r="BI1420" s="93"/>
      <c r="BJ1420" s="155"/>
      <c r="BK1420" s="93"/>
    </row>
    <row r="1421">
      <c r="A1421" s="166">
        <v>44912.89803864583</v>
      </c>
      <c r="B1421" s="44" t="s">
        <v>125</v>
      </c>
      <c r="C1421" s="128">
        <v>883.428712814112</v>
      </c>
      <c r="D1421" s="128">
        <v>13.0</v>
      </c>
      <c r="E1421" s="128">
        <v>885.643158697201</v>
      </c>
      <c r="F1421" s="44" t="s">
        <v>23</v>
      </c>
      <c r="G1421" s="128">
        <v>1329.0393368057375</v>
      </c>
      <c r="H1421" s="128">
        <v>26.0</v>
      </c>
      <c r="I1421" s="128">
        <v>1334.8248909226486</v>
      </c>
      <c r="J1421" s="44"/>
      <c r="K1421" s="128"/>
      <c r="L1421" s="128"/>
      <c r="M1421" s="128"/>
      <c r="N1421" s="44"/>
      <c r="O1421" s="128"/>
      <c r="P1421" s="128"/>
      <c r="Q1421" s="128"/>
      <c r="V1421" s="44" t="s">
        <v>117</v>
      </c>
      <c r="W1421" s="128">
        <v>942.5973493230359</v>
      </c>
      <c r="X1421" s="128">
        <v>14.0</v>
      </c>
      <c r="Y1421" s="128">
        <v>938.2166181418337</v>
      </c>
      <c r="Z1421" s="44" t="s">
        <v>47</v>
      </c>
      <c r="AA1421" s="128">
        <v>1034.0045128969934</v>
      </c>
      <c r="AB1421" s="128">
        <v>17.0</v>
      </c>
      <c r="AC1421" s="128">
        <v>1030.3852440781957</v>
      </c>
      <c r="AD1421" s="44"/>
      <c r="AE1421" s="128"/>
      <c r="AF1421" s="128"/>
      <c r="AG1421" s="128"/>
      <c r="AH1421" s="44"/>
      <c r="AI1421" s="128"/>
      <c r="AJ1421" s="128"/>
      <c r="AK1421" s="128"/>
      <c r="AP1421" s="128">
        <v>17.0</v>
      </c>
      <c r="AQ1421" s="128">
        <v>11.0</v>
      </c>
      <c r="AT1421" s="44">
        <v>1420.0</v>
      </c>
      <c r="AU1421" s="44"/>
      <c r="AW1421" s="93"/>
      <c r="AY1421" s="93"/>
      <c r="AZ1421" s="93"/>
      <c r="BA1421" s="93"/>
      <c r="BB1421" s="155"/>
      <c r="BC1421" s="93"/>
      <c r="BE1421" s="93"/>
      <c r="BG1421" s="93"/>
      <c r="BH1421" s="93"/>
      <c r="BI1421" s="93"/>
      <c r="BJ1421" s="155"/>
      <c r="BK1421" s="93"/>
    </row>
    <row r="1422">
      <c r="A1422" s="166">
        <v>44913.01514083333</v>
      </c>
      <c r="B1422" s="44" t="s">
        <v>125</v>
      </c>
      <c r="C1422" s="128">
        <v>885.643158697201</v>
      </c>
      <c r="D1422" s="128">
        <v>12.0</v>
      </c>
      <c r="E1422" s="128">
        <v>886.4022379626754</v>
      </c>
      <c r="F1422" s="44" t="s">
        <v>117</v>
      </c>
      <c r="G1422" s="128">
        <v>938.2166181418337</v>
      </c>
      <c r="H1422" s="128">
        <v>19.0</v>
      </c>
      <c r="I1422" s="128">
        <v>939.8874655222231</v>
      </c>
      <c r="J1422" s="44" t="s">
        <v>119</v>
      </c>
      <c r="K1422" s="128">
        <v>961.1533366065077</v>
      </c>
      <c r="L1422" s="128">
        <v>11.0</v>
      </c>
      <c r="M1422" s="128">
        <v>961.5762436418814</v>
      </c>
      <c r="N1422" s="44" t="s">
        <v>31</v>
      </c>
      <c r="O1422" s="128">
        <v>1016.4086682879646</v>
      </c>
      <c r="P1422" s="128">
        <v>28.0</v>
      </c>
      <c r="Q1422" s="128">
        <v>1019.2961794300472</v>
      </c>
      <c r="R1422" s="44" t="s">
        <v>23</v>
      </c>
      <c r="S1422" s="128">
        <v>1334.8248909226486</v>
      </c>
      <c r="T1422" s="128">
        <v>31.0</v>
      </c>
      <c r="U1422" s="128">
        <v>1338.0845460993282</v>
      </c>
      <c r="V1422" s="44" t="s">
        <v>92</v>
      </c>
      <c r="W1422" s="128">
        <v>991.1087393383982</v>
      </c>
      <c r="X1422" s="128">
        <v>19.0</v>
      </c>
      <c r="Y1422" s="128">
        <v>989.1894120146395</v>
      </c>
      <c r="Z1422" s="44" t="s">
        <v>61</v>
      </c>
      <c r="AA1422" s="128">
        <v>993.3991758747627</v>
      </c>
      <c r="AB1422" s="128">
        <v>13.0</v>
      </c>
      <c r="AC1422" s="128">
        <v>990.5765470644633</v>
      </c>
      <c r="AD1422" s="44" t="s">
        <v>54</v>
      </c>
      <c r="AE1422" s="128">
        <v>1026.118407127556</v>
      </c>
      <c r="AF1422" s="128">
        <v>24.0</v>
      </c>
      <c r="AG1422" s="128">
        <v>1024.9057887709453</v>
      </c>
      <c r="AH1422" s="44" t="s">
        <v>47</v>
      </c>
      <c r="AI1422" s="128">
        <v>1030.3852440781957</v>
      </c>
      <c r="AJ1422" s="128">
        <v>24.0</v>
      </c>
      <c r="AK1422" s="128">
        <v>1029.168352349996</v>
      </c>
      <c r="AL1422" s="44" t="s">
        <v>50</v>
      </c>
      <c r="AM1422" s="128">
        <v>1043.2211866604105</v>
      </c>
      <c r="AN1422" s="128">
        <v>20.0</v>
      </c>
      <c r="AO1422" s="128">
        <v>1041.392652879279</v>
      </c>
      <c r="AP1422" s="128">
        <v>15.0</v>
      </c>
      <c r="AQ1422" s="128">
        <v>13.0</v>
      </c>
      <c r="AS1422" s="44" t="s">
        <v>243</v>
      </c>
      <c r="AT1422" s="44">
        <v>1421.0</v>
      </c>
      <c r="AU1422" s="44"/>
      <c r="AV1422" s="44" t="s">
        <v>105</v>
      </c>
      <c r="AW1422" s="45">
        <v>963.3283967645493</v>
      </c>
      <c r="AX1422" s="44">
        <v>16.0</v>
      </c>
      <c r="AY1422" s="145">
        <v>964.88</v>
      </c>
      <c r="AZ1422" s="93"/>
      <c r="BA1422" s="93"/>
      <c r="BB1422" s="155"/>
      <c r="BC1422" s="93"/>
      <c r="BD1422" s="44" t="s">
        <v>112</v>
      </c>
      <c r="BE1422" s="12">
        <v>942.8078342332933</v>
      </c>
      <c r="BF1422" s="44">
        <v>20.0</v>
      </c>
      <c r="BG1422" s="145">
        <v>941.5</v>
      </c>
      <c r="BH1422" s="93"/>
      <c r="BI1422" s="93"/>
      <c r="BJ1422" s="155"/>
      <c r="BK1422" s="93"/>
    </row>
    <row r="1423">
      <c r="A1423" s="166">
        <v>44913.06181226852</v>
      </c>
      <c r="B1423" s="44" t="s">
        <v>125</v>
      </c>
      <c r="C1423" s="128">
        <v>886.4022379626754</v>
      </c>
      <c r="D1423" s="128">
        <v>13.0</v>
      </c>
      <c r="E1423" s="128">
        <v>881.2167024792294</v>
      </c>
      <c r="F1423" s="44" t="s">
        <v>88</v>
      </c>
      <c r="G1423" s="128">
        <v>970.5911356901992</v>
      </c>
      <c r="H1423" s="128">
        <v>16.0</v>
      </c>
      <c r="I1423" s="128">
        <v>966.0180820053007</v>
      </c>
      <c r="J1423" s="44" t="s">
        <v>92</v>
      </c>
      <c r="K1423" s="128">
        <v>989.1894120146395</v>
      </c>
      <c r="L1423" s="128">
        <v>20.0</v>
      </c>
      <c r="M1423" s="128">
        <v>985.8900891029481</v>
      </c>
      <c r="N1423" s="44" t="s">
        <v>50</v>
      </c>
      <c r="O1423" s="128">
        <v>1041.392652879279</v>
      </c>
      <c r="P1423" s="128">
        <v>17.0</v>
      </c>
      <c r="Q1423" s="128">
        <v>1036.9723161186507</v>
      </c>
      <c r="R1423" s="44" t="s">
        <v>23</v>
      </c>
      <c r="S1423" s="128">
        <v>1338.0845460993282</v>
      </c>
      <c r="T1423" s="128">
        <v>23.0</v>
      </c>
      <c r="U1423" s="128">
        <v>1335.5627949399925</v>
      </c>
      <c r="V1423" s="44" t="s">
        <v>119</v>
      </c>
      <c r="W1423" s="128">
        <v>961.5762436418814</v>
      </c>
      <c r="X1423" s="128">
        <v>17.0</v>
      </c>
      <c r="Y1423" s="128">
        <v>964.1812585445742</v>
      </c>
      <c r="Z1423" s="44" t="s">
        <v>31</v>
      </c>
      <c r="AA1423" s="128">
        <v>1019.2961794300472</v>
      </c>
      <c r="AB1423" s="128">
        <v>33.0</v>
      </c>
      <c r="AC1423" s="128">
        <v>1027.030762282854</v>
      </c>
      <c r="AD1423" s="44" t="s">
        <v>54</v>
      </c>
      <c r="AE1423" s="128">
        <v>1024.9057887709453</v>
      </c>
      <c r="AF1423" s="128">
        <v>16.0</v>
      </c>
      <c r="AG1423" s="128">
        <v>1026.9592263768868</v>
      </c>
      <c r="AH1423" s="44" t="s">
        <v>47</v>
      </c>
      <c r="AI1423" s="128">
        <v>1029.168352349996</v>
      </c>
      <c r="AJ1423" s="128">
        <v>19.0</v>
      </c>
      <c r="AK1423" s="128">
        <v>1032.2113692206292</v>
      </c>
      <c r="AL1423" s="44" t="s">
        <v>27</v>
      </c>
      <c r="AM1423" s="128">
        <v>1188.6667521431075</v>
      </c>
      <c r="AN1423" s="128">
        <v>24.0</v>
      </c>
      <c r="AO1423" s="128">
        <v>1193.230699911033</v>
      </c>
      <c r="AP1423" s="128">
        <v>10.0</v>
      </c>
      <c r="AQ1423" s="128">
        <v>18.0</v>
      </c>
      <c r="AS1423" s="44" t="s">
        <v>271</v>
      </c>
      <c r="AT1423" s="44">
        <v>1422.0</v>
      </c>
      <c r="AU1423" s="44"/>
      <c r="AV1423" s="44" t="s">
        <v>107</v>
      </c>
      <c r="AW1423" s="12">
        <v>941.3608972122342</v>
      </c>
      <c r="AX1423" s="44">
        <v>17.0</v>
      </c>
      <c r="AY1423" s="145">
        <v>937.36</v>
      </c>
      <c r="AZ1423" s="93"/>
      <c r="BA1423" s="93"/>
      <c r="BB1423" s="155"/>
      <c r="BC1423" s="93"/>
      <c r="BD1423" s="44" t="s">
        <v>112</v>
      </c>
      <c r="BE1423" s="145">
        <v>941.5</v>
      </c>
      <c r="BF1423" s="44">
        <v>29.0</v>
      </c>
      <c r="BG1423" s="145">
        <v>948.99</v>
      </c>
      <c r="BH1423" s="93"/>
      <c r="BI1423" s="93"/>
      <c r="BJ1423" s="155"/>
      <c r="BK1423" s="93"/>
    </row>
    <row r="1424">
      <c r="A1424" s="166">
        <v>44913.116914074075</v>
      </c>
      <c r="B1424" s="44" t="s">
        <v>119</v>
      </c>
      <c r="C1424" s="128">
        <v>964.1812585445742</v>
      </c>
      <c r="D1424" s="128">
        <v>15.0</v>
      </c>
      <c r="E1424" s="128">
        <v>941.6286761078852</v>
      </c>
      <c r="F1424" s="44" t="s">
        <v>88</v>
      </c>
      <c r="G1424" s="128">
        <v>966.0180820053007</v>
      </c>
      <c r="H1424" s="128">
        <v>27.0</v>
      </c>
      <c r="I1424" s="128">
        <v>955.4367399600362</v>
      </c>
      <c r="J1424" s="44" t="s">
        <v>27</v>
      </c>
      <c r="K1424" s="128">
        <v>1193.230699911033</v>
      </c>
      <c r="L1424" s="128">
        <v>36.0</v>
      </c>
      <c r="M1424" s="128">
        <v>1190.3646243929866</v>
      </c>
      <c r="N1424" s="44"/>
      <c r="O1424" s="128"/>
      <c r="P1424" s="128"/>
      <c r="Q1424" s="128"/>
      <c r="V1424" s="44" t="s">
        <v>125</v>
      </c>
      <c r="W1424" s="128">
        <v>881.2167024792294</v>
      </c>
      <c r="X1424" s="128">
        <v>30.0</v>
      </c>
      <c r="Y1424" s="128">
        <v>891.7714836315977</v>
      </c>
      <c r="Z1424" s="44" t="s">
        <v>107</v>
      </c>
      <c r="AA1424" s="128">
        <v>937.36</v>
      </c>
      <c r="AB1424" s="128">
        <v>27.0</v>
      </c>
      <c r="AC1424" s="128">
        <v>943.2631072733104</v>
      </c>
      <c r="AD1424" s="44" t="s">
        <v>23</v>
      </c>
      <c r="AE1424" s="128">
        <v>1335.5627949399925</v>
      </c>
      <c r="AF1424" s="128">
        <v>43.0</v>
      </c>
      <c r="AG1424" s="128">
        <v>1355.1049065143138</v>
      </c>
      <c r="AH1424" s="44"/>
      <c r="AI1424" s="128"/>
      <c r="AJ1424" s="128"/>
      <c r="AK1424" s="128"/>
      <c r="AP1424" s="128">
        <v>13.0</v>
      </c>
      <c r="AQ1424" s="128">
        <v>29.0</v>
      </c>
      <c r="AT1424" s="44">
        <v>1423.0</v>
      </c>
      <c r="AU1424" s="44"/>
      <c r="AW1424" s="93"/>
      <c r="AY1424" s="93"/>
      <c r="AZ1424" s="93"/>
      <c r="BA1424" s="93"/>
      <c r="BB1424" s="155"/>
      <c r="BC1424" s="93"/>
      <c r="BE1424" s="93"/>
      <c r="BG1424" s="93"/>
      <c r="BH1424" s="93"/>
      <c r="BI1424" s="93"/>
      <c r="BJ1424" s="155"/>
      <c r="BK1424" s="93"/>
    </row>
    <row r="1425">
      <c r="A1425" s="166">
        <v>44914.003599814816</v>
      </c>
      <c r="B1425" s="44" t="s">
        <v>125</v>
      </c>
      <c r="C1425" s="128">
        <v>891.7714836315977</v>
      </c>
      <c r="D1425" s="128">
        <v>24.0</v>
      </c>
      <c r="E1425" s="128">
        <v>893.21838104408</v>
      </c>
      <c r="F1425" s="44" t="s">
        <v>88</v>
      </c>
      <c r="G1425" s="128">
        <v>955.4367399600362</v>
      </c>
      <c r="H1425" s="128">
        <v>26.0</v>
      </c>
      <c r="I1425" s="128">
        <v>956.9904200375529</v>
      </c>
      <c r="J1425" s="44" t="s">
        <v>61</v>
      </c>
      <c r="K1425" s="128">
        <v>990.5765470644633</v>
      </c>
      <c r="L1425" s="128">
        <v>31.0</v>
      </c>
      <c r="M1425" s="128">
        <v>993.0484508471587</v>
      </c>
      <c r="N1425" s="44" t="s">
        <v>23</v>
      </c>
      <c r="O1425" s="128">
        <v>1355.1049065143138</v>
      </c>
      <c r="P1425" s="128">
        <v>42.0</v>
      </c>
      <c r="Q1425" s="128">
        <v>1359.6324252416193</v>
      </c>
      <c r="V1425" s="44" t="s">
        <v>107</v>
      </c>
      <c r="W1425" s="128">
        <v>943.2631072733104</v>
      </c>
      <c r="X1425" s="128">
        <v>15.0</v>
      </c>
      <c r="Y1425" s="128">
        <v>938.1150641345744</v>
      </c>
      <c r="Z1425" s="44" t="s">
        <v>31</v>
      </c>
      <c r="AA1425" s="128">
        <v>1027.030762282854</v>
      </c>
      <c r="AB1425" s="128">
        <v>31.0</v>
      </c>
      <c r="AC1425" s="128">
        <v>1024.970588830286</v>
      </c>
      <c r="AD1425" s="44" t="s">
        <v>38</v>
      </c>
      <c r="AE1425" s="128">
        <v>1028.8419515806822</v>
      </c>
      <c r="AF1425" s="128">
        <v>31.0</v>
      </c>
      <c r="AG1425" s="128">
        <v>1026.7782520320457</v>
      </c>
      <c r="AH1425" s="44" t="s">
        <v>27</v>
      </c>
      <c r="AI1425" s="128">
        <v>1190.3646243929866</v>
      </c>
      <c r="AJ1425" s="128">
        <v>38.0</v>
      </c>
      <c r="AK1425" s="128">
        <v>1189.6365405329273</v>
      </c>
      <c r="AP1425" s="128">
        <v>22.0</v>
      </c>
      <c r="AQ1425" s="128">
        <v>20.0</v>
      </c>
      <c r="AT1425" s="44">
        <v>1424.0</v>
      </c>
      <c r="AU1425" s="44"/>
      <c r="AW1425" s="93"/>
      <c r="AY1425" s="93"/>
      <c r="AZ1425" s="93"/>
      <c r="BA1425" s="93"/>
      <c r="BB1425" s="155"/>
      <c r="BC1425" s="93"/>
      <c r="BE1425" s="93"/>
      <c r="BG1425" s="93"/>
      <c r="BH1425" s="93"/>
      <c r="BI1425" s="93"/>
      <c r="BJ1425" s="155"/>
      <c r="BK1425" s="93"/>
    </row>
    <row r="1426">
      <c r="A1426" s="166">
        <v>44914.02720824074</v>
      </c>
      <c r="B1426" s="44" t="s">
        <v>125</v>
      </c>
      <c r="C1426" s="128">
        <v>893.21838104408</v>
      </c>
      <c r="D1426" s="128">
        <v>16.0</v>
      </c>
      <c r="E1426" s="128">
        <v>887.1399416392226</v>
      </c>
      <c r="F1426" s="44" t="s">
        <v>88</v>
      </c>
      <c r="G1426" s="128">
        <v>956.9904200375529</v>
      </c>
      <c r="H1426" s="128">
        <v>14.0</v>
      </c>
      <c r="I1426" s="128">
        <v>949.445231033117</v>
      </c>
      <c r="J1426" s="44" t="s">
        <v>27</v>
      </c>
      <c r="K1426" s="128">
        <v>1189.6365405329273</v>
      </c>
      <c r="L1426" s="128">
        <v>19.0</v>
      </c>
      <c r="M1426" s="128">
        <v>1184.2601689422206</v>
      </c>
      <c r="N1426" s="44"/>
      <c r="O1426" s="128"/>
      <c r="P1426" s="128"/>
      <c r="Q1426" s="128"/>
      <c r="V1426" s="44" t="s">
        <v>61</v>
      </c>
      <c r="W1426" s="128">
        <v>993.0484508471587</v>
      </c>
      <c r="X1426" s="128">
        <v>18.0</v>
      </c>
      <c r="Y1426" s="128">
        <v>997.7325504329301</v>
      </c>
      <c r="Z1426" s="44" t="s">
        <v>38</v>
      </c>
      <c r="AA1426" s="128">
        <v>1026.7782520320457</v>
      </c>
      <c r="AB1426" s="128">
        <v>22.0</v>
      </c>
      <c r="AC1426" s="128">
        <v>1033.426191270986</v>
      </c>
      <c r="AD1426" s="44" t="s">
        <v>50</v>
      </c>
      <c r="AE1426" s="128">
        <v>1036.9723161186507</v>
      </c>
      <c r="AF1426" s="128">
        <v>24.0</v>
      </c>
      <c r="AG1426" s="128">
        <v>1044.6402772939389</v>
      </c>
      <c r="AH1426" s="44"/>
      <c r="AI1426" s="128"/>
      <c r="AJ1426" s="128"/>
      <c r="AK1426" s="128"/>
      <c r="AP1426" s="128">
        <v>10.0</v>
      </c>
      <c r="AQ1426" s="128">
        <v>18.0</v>
      </c>
      <c r="AT1426" s="44">
        <v>1425.0</v>
      </c>
      <c r="AU1426" s="44"/>
      <c r="AW1426" s="93"/>
      <c r="AY1426" s="93"/>
      <c r="AZ1426" s="93"/>
      <c r="BA1426" s="93"/>
      <c r="BB1426" s="155"/>
      <c r="BC1426" s="93"/>
      <c r="BE1426" s="93"/>
      <c r="BG1426" s="93"/>
      <c r="BH1426" s="93"/>
      <c r="BI1426" s="93"/>
      <c r="BJ1426" s="155"/>
      <c r="BK1426" s="93"/>
    </row>
    <row r="1427">
      <c r="A1427" s="166">
        <v>44914.96951059028</v>
      </c>
      <c r="B1427" s="44" t="s">
        <v>125</v>
      </c>
      <c r="C1427" s="128">
        <v>887.1399416392226</v>
      </c>
      <c r="D1427" s="128">
        <v>11.0</v>
      </c>
      <c r="E1427" s="128">
        <v>876.1836672243426</v>
      </c>
      <c r="F1427" s="44" t="s">
        <v>47</v>
      </c>
      <c r="G1427" s="128">
        <v>1032.2113692206292</v>
      </c>
      <c r="H1427" s="128">
        <v>27.0</v>
      </c>
      <c r="I1427" s="128">
        <v>1030.070758683172</v>
      </c>
      <c r="J1427" s="44" t="s">
        <v>50</v>
      </c>
      <c r="K1427" s="128">
        <v>1044.6402772939389</v>
      </c>
      <c r="L1427" s="128">
        <v>16.0</v>
      </c>
      <c r="M1427" s="128">
        <v>1035.737162246276</v>
      </c>
      <c r="N1427" s="44"/>
      <c r="O1427" s="128"/>
      <c r="P1427" s="128"/>
      <c r="Q1427" s="128"/>
      <c r="V1427" s="44" t="s">
        <v>88</v>
      </c>
      <c r="W1427" s="128">
        <v>949.445231033117</v>
      </c>
      <c r="X1427" s="128">
        <v>28.0</v>
      </c>
      <c r="Y1427" s="128">
        <v>962.4588328815871</v>
      </c>
      <c r="Z1427" s="44" t="s">
        <v>92</v>
      </c>
      <c r="AA1427" s="128">
        <v>985.8900891029481</v>
      </c>
      <c r="AB1427" s="128">
        <v>16.0</v>
      </c>
      <c r="AC1427" s="128">
        <v>991.3319150075811</v>
      </c>
      <c r="AD1427" s="44" t="s">
        <v>61</v>
      </c>
      <c r="AE1427" s="128">
        <v>997.7325504329301</v>
      </c>
      <c r="AF1427" s="128">
        <v>13.0</v>
      </c>
      <c r="AG1427" s="128">
        <v>1001.277122679827</v>
      </c>
      <c r="AH1427" s="44"/>
      <c r="AI1427" s="128"/>
      <c r="AJ1427" s="128"/>
      <c r="AK1427" s="128"/>
      <c r="AP1427" s="128">
        <v>12.0</v>
      </c>
      <c r="AQ1427" s="128">
        <v>16.0</v>
      </c>
      <c r="AS1427" s="44" t="s">
        <v>232</v>
      </c>
      <c r="AT1427" s="44">
        <v>1426.0</v>
      </c>
      <c r="AU1427" s="44"/>
      <c r="AW1427" s="93"/>
      <c r="AY1427" s="93"/>
      <c r="AZ1427" s="93"/>
      <c r="BA1427" s="93"/>
      <c r="BB1427" s="155"/>
      <c r="BC1427" s="93"/>
      <c r="BE1427" s="93"/>
      <c r="BG1427" s="93"/>
      <c r="BH1427" s="93"/>
      <c r="BI1427" s="93"/>
      <c r="BJ1427" s="155"/>
      <c r="BK1427" s="93"/>
    </row>
    <row r="1428">
      <c r="A1428" s="166">
        <v>44915.01272763889</v>
      </c>
      <c r="B1428" s="44" t="s">
        <v>125</v>
      </c>
      <c r="C1428" s="128">
        <v>876.1836672243426</v>
      </c>
      <c r="D1428" s="128">
        <v>19.0</v>
      </c>
      <c r="E1428" s="128">
        <v>879.8302779544227</v>
      </c>
      <c r="F1428" s="44" t="s">
        <v>112</v>
      </c>
      <c r="G1428" s="128">
        <v>948.99</v>
      </c>
      <c r="H1428" s="128">
        <v>21.0</v>
      </c>
      <c r="I1428" s="128">
        <v>952.8814431326066</v>
      </c>
      <c r="J1428" s="44" t="s">
        <v>92</v>
      </c>
      <c r="K1428" s="128">
        <v>991.3319150075811</v>
      </c>
      <c r="L1428" s="128">
        <v>25.0</v>
      </c>
      <c r="M1428" s="128">
        <v>996.3862358987805</v>
      </c>
      <c r="N1428" s="44" t="s">
        <v>47</v>
      </c>
      <c r="O1428" s="128">
        <v>1030.070758683172</v>
      </c>
      <c r="P1428" s="128">
        <v>23.0</v>
      </c>
      <c r="Q1428" s="128">
        <v>1034.3479745182024</v>
      </c>
      <c r="R1428" s="44" t="s">
        <v>27</v>
      </c>
      <c r="S1428" s="128">
        <v>1184.2601689422206</v>
      </c>
      <c r="T1428" s="128">
        <v>20.0</v>
      </c>
      <c r="U1428" s="128">
        <v>1187.3905783533041</v>
      </c>
      <c r="V1428" s="44" t="s">
        <v>107</v>
      </c>
      <c r="W1428" s="128">
        <v>938.1150641345744</v>
      </c>
      <c r="X1428" s="128">
        <v>20.0</v>
      </c>
      <c r="Y1428" s="128">
        <v>935.8104293672594</v>
      </c>
      <c r="Z1428" s="44" t="s">
        <v>88</v>
      </c>
      <c r="AA1428" s="128">
        <v>962.4588328815871</v>
      </c>
      <c r="AB1428" s="128">
        <v>10.0</v>
      </c>
      <c r="AC1428" s="128">
        <v>956.7414185265648</v>
      </c>
      <c r="AD1428" s="44" t="s">
        <v>61</v>
      </c>
      <c r="AE1428" s="128">
        <v>1001.277122679827</v>
      </c>
      <c r="AF1428" s="128">
        <v>12.0</v>
      </c>
      <c r="AG1428" s="128">
        <v>996.1258704333527</v>
      </c>
      <c r="AH1428" s="44" t="s">
        <v>50</v>
      </c>
      <c r="AI1428" s="128">
        <v>1035.737162246276</v>
      </c>
      <c r="AJ1428" s="128">
        <v>18.0</v>
      </c>
      <c r="AK1428" s="128">
        <v>1032.5218396136765</v>
      </c>
      <c r="AL1428" s="44" t="s">
        <v>34</v>
      </c>
      <c r="AM1428" s="128">
        <v>1092.5987316294413</v>
      </c>
      <c r="AN1428" s="128">
        <v>17.0</v>
      </c>
      <c r="AO1428" s="128">
        <v>1088.9873556308523</v>
      </c>
      <c r="AP1428" s="128">
        <v>18.0</v>
      </c>
      <c r="AQ1428" s="128">
        <v>10.0</v>
      </c>
      <c r="AS1428" s="44" t="s">
        <v>244</v>
      </c>
      <c r="AT1428" s="44">
        <v>1427.0</v>
      </c>
      <c r="AU1428" s="44"/>
      <c r="AW1428" s="93"/>
      <c r="AY1428" s="93"/>
      <c r="AZ1428" s="93"/>
      <c r="BA1428" s="93"/>
      <c r="BB1428" s="155"/>
      <c r="BC1428" s="93"/>
      <c r="BE1428" s="93"/>
      <c r="BG1428" s="93"/>
      <c r="BH1428" s="93"/>
      <c r="BI1428" s="93"/>
      <c r="BJ1428" s="155"/>
      <c r="BK1428" s="93"/>
    </row>
    <row r="1429">
      <c r="A1429" s="166">
        <v>44915.05408480324</v>
      </c>
      <c r="B1429" s="44" t="s">
        <v>125</v>
      </c>
      <c r="C1429" s="128">
        <v>879.8302779544227</v>
      </c>
      <c r="D1429" s="128">
        <v>18.0</v>
      </c>
      <c r="E1429" s="128">
        <v>880.3660633061297</v>
      </c>
      <c r="F1429" s="44" t="s">
        <v>107</v>
      </c>
      <c r="G1429" s="128">
        <v>935.8104293672594</v>
      </c>
      <c r="H1429" s="128">
        <v>30.0</v>
      </c>
      <c r="I1429" s="128">
        <v>938.3446236461035</v>
      </c>
      <c r="J1429" s="44" t="s">
        <v>50</v>
      </c>
      <c r="K1429" s="128">
        <v>1032.5218396136765</v>
      </c>
      <c r="L1429" s="128">
        <v>36.0</v>
      </c>
      <c r="M1429" s="128">
        <v>1035.9155595425864</v>
      </c>
      <c r="N1429" s="44" t="s">
        <v>27</v>
      </c>
      <c r="O1429" s="128">
        <v>1187.3905783533041</v>
      </c>
      <c r="P1429" s="128">
        <v>32.0</v>
      </c>
      <c r="Q1429" s="128">
        <v>1189.9268787938433</v>
      </c>
      <c r="V1429" s="44" t="s">
        <v>112</v>
      </c>
      <c r="W1429" s="128">
        <v>952.8814431326066</v>
      </c>
      <c r="X1429" s="128">
        <v>29.0</v>
      </c>
      <c r="Y1429" s="128">
        <v>950.946766507441</v>
      </c>
      <c r="Z1429" s="44" t="s">
        <v>92</v>
      </c>
      <c r="AA1429" s="128">
        <v>996.3862358987805</v>
      </c>
      <c r="AB1429" s="128">
        <v>25.0</v>
      </c>
      <c r="AC1429" s="128">
        <v>993.5801157671035</v>
      </c>
      <c r="AD1429" s="44" t="s">
        <v>38</v>
      </c>
      <c r="AE1429" s="128">
        <v>1033.426191270986</v>
      </c>
      <c r="AF1429" s="128">
        <v>26.0</v>
      </c>
      <c r="AG1429" s="128">
        <v>1030.7348299750263</v>
      </c>
      <c r="AH1429" s="44" t="s">
        <v>47</v>
      </c>
      <c r="AI1429" s="128">
        <v>1034.3479745182024</v>
      </c>
      <c r="AJ1429" s="128">
        <v>32.0</v>
      </c>
      <c r="AK1429" s="128">
        <v>1032.7801325710045</v>
      </c>
      <c r="AP1429" s="128">
        <v>22.0</v>
      </c>
      <c r="AQ1429" s="128">
        <v>20.0</v>
      </c>
      <c r="AS1429" s="44" t="s">
        <v>631</v>
      </c>
      <c r="AT1429" s="44">
        <v>1428.0</v>
      </c>
      <c r="AU1429" s="44"/>
      <c r="AW1429" s="93"/>
      <c r="AY1429" s="93"/>
      <c r="AZ1429" s="93"/>
      <c r="BA1429" s="93"/>
      <c r="BB1429" s="155"/>
      <c r="BC1429" s="93"/>
      <c r="BE1429" s="93"/>
      <c r="BG1429" s="93"/>
      <c r="BH1429" s="93"/>
      <c r="BI1429" s="93"/>
      <c r="BJ1429" s="155"/>
      <c r="BK1429" s="93"/>
    </row>
    <row r="1430">
      <c r="A1430" s="166">
        <v>44915.07704621528</v>
      </c>
      <c r="B1430" s="44" t="s">
        <v>125</v>
      </c>
      <c r="C1430" s="128">
        <v>880.3660633061297</v>
      </c>
      <c r="D1430" s="128">
        <v>10.0</v>
      </c>
      <c r="E1430" s="128">
        <v>871.4576551558432</v>
      </c>
      <c r="F1430" s="44" t="s">
        <v>112</v>
      </c>
      <c r="G1430" s="128">
        <v>950.946766507441</v>
      </c>
      <c r="H1430" s="128">
        <v>24.0</v>
      </c>
      <c r="I1430" s="128">
        <v>948.5678976088427</v>
      </c>
      <c r="J1430" s="44" t="s">
        <v>50</v>
      </c>
      <c r="K1430" s="128">
        <v>1035.9155595425864</v>
      </c>
      <c r="L1430" s="128">
        <v>16.0</v>
      </c>
      <c r="M1430" s="128">
        <v>1029.2028365914712</v>
      </c>
      <c r="N1430" s="44"/>
      <c r="O1430" s="128"/>
      <c r="P1430" s="128"/>
      <c r="Q1430" s="128"/>
      <c r="V1430" s="44" t="s">
        <v>107</v>
      </c>
      <c r="W1430" s="128">
        <v>938.3446236461035</v>
      </c>
      <c r="X1430" s="128">
        <v>19.0</v>
      </c>
      <c r="Y1430" s="128">
        <v>944.4983836729693</v>
      </c>
      <c r="Z1430" s="44" t="s">
        <v>119</v>
      </c>
      <c r="AA1430" s="128">
        <v>941.6286761078852</v>
      </c>
      <c r="AB1430" s="128">
        <v>16.0</v>
      </c>
      <c r="AC1430" s="128">
        <v>946.2610415997592</v>
      </c>
      <c r="AD1430" s="44" t="s">
        <v>38</v>
      </c>
      <c r="AE1430" s="128">
        <v>1030.7348299750263</v>
      </c>
      <c r="AF1430" s="128">
        <v>22.0</v>
      </c>
      <c r="AG1430" s="128">
        <v>1037.9487044562864</v>
      </c>
      <c r="AH1430" s="44"/>
      <c r="AI1430" s="128"/>
      <c r="AJ1430" s="128"/>
      <c r="AK1430" s="128"/>
      <c r="AP1430" s="128">
        <v>10.0</v>
      </c>
      <c r="AQ1430" s="128">
        <v>18.0</v>
      </c>
      <c r="AS1430" s="44" t="s">
        <v>400</v>
      </c>
      <c r="AT1430" s="44">
        <v>1429.0</v>
      </c>
      <c r="AU1430" s="44"/>
      <c r="AW1430" s="93"/>
      <c r="AY1430" s="93"/>
      <c r="AZ1430" s="93"/>
      <c r="BA1430" s="93"/>
      <c r="BB1430" s="155"/>
      <c r="BC1430" s="93"/>
      <c r="BE1430" s="93"/>
      <c r="BG1430" s="93"/>
      <c r="BH1430" s="93"/>
      <c r="BI1430" s="93"/>
      <c r="BJ1430" s="155"/>
      <c r="BK1430" s="93"/>
    </row>
    <row r="1431">
      <c r="A1431" s="166">
        <v>44915.96887560185</v>
      </c>
      <c r="B1431" s="44" t="s">
        <v>125</v>
      </c>
      <c r="C1431" s="128">
        <v>871.4576551558432</v>
      </c>
      <c r="D1431" s="128">
        <v>16.0</v>
      </c>
      <c r="E1431" s="128">
        <v>877.3203724540298</v>
      </c>
      <c r="F1431" s="44" t="s">
        <v>92</v>
      </c>
      <c r="G1431" s="128">
        <v>993.5801157671035</v>
      </c>
      <c r="H1431" s="128">
        <v>19.0</v>
      </c>
      <c r="I1431" s="128">
        <v>1000.2872009961825</v>
      </c>
      <c r="J1431" s="44" t="s">
        <v>38</v>
      </c>
      <c r="K1431" s="128">
        <v>1037.9487044562864</v>
      </c>
      <c r="L1431" s="128">
        <v>24.0</v>
      </c>
      <c r="M1431" s="128">
        <v>1048.506807679301</v>
      </c>
      <c r="N1431" s="44" t="s">
        <v>23</v>
      </c>
      <c r="O1431" s="128">
        <v>1359.6324252416193</v>
      </c>
      <c r="P1431" s="128">
        <v>32.0</v>
      </c>
      <c r="Q1431" s="128">
        <v>1376.5045194913391</v>
      </c>
      <c r="V1431" s="44" t="s">
        <v>112</v>
      </c>
      <c r="W1431" s="128">
        <v>948.5678976088427</v>
      </c>
      <c r="X1431" s="128">
        <v>17.0</v>
      </c>
      <c r="Y1431" s="128">
        <v>939.8972311702553</v>
      </c>
      <c r="Z1431" s="44" t="s">
        <v>47</v>
      </c>
      <c r="AA1431" s="128">
        <v>1032.7801325710045</v>
      </c>
      <c r="AB1431" s="128">
        <v>18.0</v>
      </c>
      <c r="AC1431" s="128">
        <v>1024.421903538174</v>
      </c>
      <c r="AD1431" s="44" t="s">
        <v>34</v>
      </c>
      <c r="AE1431" s="128">
        <v>1088.9873556308523</v>
      </c>
      <c r="AF1431" s="128">
        <v>18.0</v>
      </c>
      <c r="AG1431" s="128">
        <v>1080.4633708035083</v>
      </c>
      <c r="AH1431" s="44" t="s">
        <v>27</v>
      </c>
      <c r="AI1431" s="128">
        <v>1189.9268787938433</v>
      </c>
      <c r="AJ1431" s="128">
        <v>11.0</v>
      </c>
      <c r="AK1431" s="128">
        <v>1175.479759092605</v>
      </c>
      <c r="AP1431" s="128">
        <v>19.0</v>
      </c>
      <c r="AQ1431" s="128">
        <v>9.0</v>
      </c>
      <c r="AT1431" s="44">
        <v>1430.0</v>
      </c>
      <c r="AU1431" s="44"/>
      <c r="AW1431" s="93"/>
      <c r="AY1431" s="93"/>
      <c r="AZ1431" s="93"/>
      <c r="BA1431" s="93"/>
      <c r="BB1431" s="155"/>
      <c r="BC1431" s="93"/>
      <c r="BH1431" s="93"/>
      <c r="BI1431" s="93"/>
      <c r="BJ1431" s="155"/>
      <c r="BK1431" s="93"/>
    </row>
    <row r="1432">
      <c r="A1432" s="166">
        <v>44916.01551848379</v>
      </c>
      <c r="B1432" s="44" t="s">
        <v>125</v>
      </c>
      <c r="C1432" s="128">
        <v>877.3203724540298</v>
      </c>
      <c r="D1432" s="128">
        <v>9.0</v>
      </c>
      <c r="E1432" s="128">
        <v>870.3209820043442</v>
      </c>
      <c r="F1432" s="44" t="s">
        <v>105</v>
      </c>
      <c r="G1432" s="128">
        <v>964.88</v>
      </c>
      <c r="H1432" s="128">
        <v>12.0</v>
      </c>
      <c r="I1432" s="128">
        <v>958.4597875996004</v>
      </c>
      <c r="J1432" s="44" t="s">
        <v>92</v>
      </c>
      <c r="K1432" s="128">
        <v>1000.2872009961825</v>
      </c>
      <c r="L1432" s="128">
        <v>23.0</v>
      </c>
      <c r="M1432" s="128">
        <v>997.4206271735868</v>
      </c>
      <c r="N1432" s="44" t="s">
        <v>38</v>
      </c>
      <c r="O1432" s="128">
        <v>1048.506807679301</v>
      </c>
      <c r="P1432" s="128">
        <v>30.0</v>
      </c>
      <c r="Q1432" s="128">
        <v>1047.8678586155152</v>
      </c>
      <c r="R1432" s="44" t="s">
        <v>23</v>
      </c>
      <c r="S1432" s="128">
        <v>1376.5045194913391</v>
      </c>
      <c r="T1432" s="128">
        <v>23.0</v>
      </c>
      <c r="U1432" s="128">
        <v>1373.4296452278056</v>
      </c>
      <c r="V1432" s="44" t="s">
        <v>88</v>
      </c>
      <c r="W1432" s="128">
        <v>956.7414185265648</v>
      </c>
      <c r="X1432" s="128">
        <v>23.0</v>
      </c>
      <c r="Y1432" s="128">
        <v>961.3091577471683</v>
      </c>
      <c r="Z1432" s="44" t="s">
        <v>47</v>
      </c>
      <c r="AA1432" s="128">
        <v>1024.421903538174</v>
      </c>
      <c r="AB1432" s="128">
        <v>24.0</v>
      </c>
      <c r="AC1432" s="128">
        <v>1029.0974631110885</v>
      </c>
      <c r="AD1432" s="44" t="s">
        <v>50</v>
      </c>
      <c r="AE1432" s="128">
        <v>1029.2028365914712</v>
      </c>
      <c r="AF1432" s="128">
        <v>21.0</v>
      </c>
      <c r="AG1432" s="128">
        <v>1032.8670857948496</v>
      </c>
      <c r="AH1432" s="44" t="s">
        <v>34</v>
      </c>
      <c r="AI1432" s="128">
        <v>1080.4633708035083</v>
      </c>
      <c r="AJ1432" s="128">
        <v>20.0</v>
      </c>
      <c r="AK1432" s="128">
        <v>1083.7052606741977</v>
      </c>
      <c r="AL1432" s="44" t="s">
        <v>27</v>
      </c>
      <c r="AM1432" s="128">
        <v>1175.479759092605</v>
      </c>
      <c r="AN1432" s="128">
        <v>22.0</v>
      </c>
      <c r="AO1432" s="128">
        <v>1179.3303212250191</v>
      </c>
      <c r="AP1432" s="128">
        <v>10.0</v>
      </c>
      <c r="AQ1432" s="128">
        <v>18.0</v>
      </c>
      <c r="AT1432" s="44">
        <v>1431.0</v>
      </c>
      <c r="AU1432" s="44"/>
      <c r="AV1432" s="44" t="s">
        <v>112</v>
      </c>
      <c r="AW1432" s="145">
        <v>939.9</v>
      </c>
      <c r="AX1432" s="44">
        <v>19.0</v>
      </c>
      <c r="AY1432" s="145">
        <v>936.48</v>
      </c>
      <c r="AZ1432" s="93"/>
      <c r="BA1432" s="93"/>
      <c r="BB1432" s="155"/>
      <c r="BC1432" s="93"/>
      <c r="BD1432" s="44" t="s">
        <v>119</v>
      </c>
      <c r="BE1432" s="145">
        <v>946.26</v>
      </c>
      <c r="BF1432" s="44">
        <v>17.0</v>
      </c>
      <c r="BG1432" s="145">
        <v>948.55</v>
      </c>
      <c r="BH1432" s="93"/>
      <c r="BI1432" s="93"/>
      <c r="BJ1432" s="155"/>
      <c r="BK1432" s="93"/>
    </row>
    <row r="1433">
      <c r="A1433" s="166">
        <v>44916.06321619213</v>
      </c>
      <c r="B1433" s="44" t="s">
        <v>105</v>
      </c>
      <c r="C1433" s="128">
        <v>958.4597875996004</v>
      </c>
      <c r="D1433" s="128">
        <v>23.0</v>
      </c>
      <c r="E1433" s="128">
        <v>958.8180366562794</v>
      </c>
      <c r="F1433" s="44" t="s">
        <v>88</v>
      </c>
      <c r="G1433" s="128">
        <v>961.3091577471683</v>
      </c>
      <c r="H1433" s="128">
        <v>20.0</v>
      </c>
      <c r="I1433" s="128">
        <v>961.6042818883157</v>
      </c>
      <c r="J1433" s="44" t="s">
        <v>34</v>
      </c>
      <c r="K1433" s="128">
        <v>1083.7052606741977</v>
      </c>
      <c r="L1433" s="128">
        <v>14.0</v>
      </c>
      <c r="M1433" s="128">
        <v>1083.8591711183115</v>
      </c>
      <c r="N1433" s="44" t="s">
        <v>27</v>
      </c>
      <c r="O1433" s="128">
        <v>1179.3303212250191</v>
      </c>
      <c r="P1433" s="128">
        <v>16.0</v>
      </c>
      <c r="Q1433" s="128">
        <v>1179.523037583079</v>
      </c>
      <c r="V1433" s="44" t="s">
        <v>125</v>
      </c>
      <c r="W1433" s="128">
        <v>870.3209820043442</v>
      </c>
      <c r="X1433" s="128">
        <v>8.0</v>
      </c>
      <c r="Y1433" s="128">
        <v>869.8653460936911</v>
      </c>
      <c r="Z1433" s="44" t="s">
        <v>119</v>
      </c>
      <c r="AA1433" s="128">
        <v>948.55</v>
      </c>
      <c r="AB1433" s="128">
        <v>13.0</v>
      </c>
      <c r="AC1433" s="128">
        <v>948.1735020719851</v>
      </c>
      <c r="AD1433" s="44" t="s">
        <v>50</v>
      </c>
      <c r="AE1433" s="128">
        <v>1032.8670857948496</v>
      </c>
      <c r="AF1433" s="128">
        <v>21.0</v>
      </c>
      <c r="AG1433" s="128">
        <v>1032.6414198619257</v>
      </c>
      <c r="AH1433" s="44" t="s">
        <v>23</v>
      </c>
      <c r="AI1433" s="128">
        <v>1373.4296452278056</v>
      </c>
      <c r="AJ1433" s="128">
        <v>35.0</v>
      </c>
      <c r="AK1433" s="128">
        <v>1373.4196452278056</v>
      </c>
      <c r="AP1433" s="128">
        <v>14.0</v>
      </c>
      <c r="AQ1433" s="128">
        <v>14.0</v>
      </c>
      <c r="AT1433" s="44">
        <v>1432.0</v>
      </c>
      <c r="AU1433" s="44"/>
      <c r="AW1433" s="93"/>
      <c r="AY1433" s="93"/>
      <c r="AZ1433" s="93"/>
      <c r="BA1433" s="93"/>
      <c r="BB1433" s="155"/>
      <c r="BC1433" s="93"/>
      <c r="BE1433" s="93"/>
      <c r="BG1433" s="93"/>
      <c r="BH1433" s="93"/>
      <c r="BI1433" s="93"/>
      <c r="BJ1433" s="155"/>
      <c r="BK1433" s="93"/>
    </row>
    <row r="1434">
      <c r="A1434" s="166">
        <v>44916.6921405787</v>
      </c>
      <c r="B1434" s="44" t="s">
        <v>117</v>
      </c>
      <c r="C1434" s="128">
        <v>939.8874655222231</v>
      </c>
      <c r="D1434" s="128">
        <v>17.0</v>
      </c>
      <c r="E1434" s="128">
        <v>942.7400384746387</v>
      </c>
      <c r="F1434" s="44" t="s">
        <v>50</v>
      </c>
      <c r="G1434" s="128">
        <v>1032.6414198619257</v>
      </c>
      <c r="H1434" s="128">
        <v>19.0</v>
      </c>
      <c r="I1434" s="128">
        <v>1035.78884690951</v>
      </c>
      <c r="J1434" s="44"/>
      <c r="K1434" s="128"/>
      <c r="L1434" s="128"/>
      <c r="M1434" s="128"/>
      <c r="N1434" s="44"/>
      <c r="O1434" s="128"/>
      <c r="P1434" s="128"/>
      <c r="Q1434" s="128"/>
      <c r="V1434" s="44" t="s">
        <v>123</v>
      </c>
      <c r="W1434" s="128">
        <v>904.1898297331885</v>
      </c>
      <c r="X1434" s="128">
        <v>9.0</v>
      </c>
      <c r="Y1434" s="128">
        <v>899.6146179320796</v>
      </c>
      <c r="Z1434" s="44" t="s">
        <v>112</v>
      </c>
      <c r="AA1434" s="128">
        <v>936.48</v>
      </c>
      <c r="AB1434" s="128">
        <v>22.0</v>
      </c>
      <c r="AC1434" s="128">
        <v>935.055211801109</v>
      </c>
      <c r="AD1434" s="44"/>
      <c r="AE1434" s="128"/>
      <c r="AF1434" s="128"/>
      <c r="AG1434" s="128"/>
      <c r="AH1434" s="44"/>
      <c r="AI1434" s="128"/>
      <c r="AJ1434" s="128"/>
      <c r="AK1434" s="128"/>
      <c r="AP1434" s="128">
        <v>15.0</v>
      </c>
      <c r="AQ1434" s="128">
        <v>13.0</v>
      </c>
      <c r="AS1434" s="44" t="s">
        <v>268</v>
      </c>
      <c r="AT1434" s="44">
        <v>1433.0</v>
      </c>
      <c r="AU1434" s="44"/>
      <c r="AW1434" s="93"/>
      <c r="AY1434" s="93"/>
      <c r="AZ1434" s="93"/>
      <c r="BA1434" s="93"/>
      <c r="BB1434" s="155"/>
      <c r="BC1434" s="93"/>
      <c r="BE1434" s="93"/>
      <c r="BG1434" s="93"/>
      <c r="BH1434" s="93"/>
      <c r="BI1434" s="93"/>
      <c r="BJ1434" s="155"/>
      <c r="BK1434" s="93"/>
    </row>
    <row r="1435">
      <c r="A1435" s="166">
        <v>44916.97207920139</v>
      </c>
      <c r="B1435" s="44" t="s">
        <v>125</v>
      </c>
      <c r="C1435" s="128">
        <v>869.8653460936911</v>
      </c>
      <c r="D1435" s="128">
        <v>17.0</v>
      </c>
      <c r="E1435" s="128">
        <v>863.8079843689766</v>
      </c>
      <c r="F1435" s="44" t="s">
        <v>110</v>
      </c>
      <c r="G1435" s="128">
        <v>953.1650844379698</v>
      </c>
      <c r="H1435" s="128">
        <v>14.0</v>
      </c>
      <c r="I1435" s="128">
        <v>944.7978248240448</v>
      </c>
      <c r="J1435" s="44" t="s">
        <v>27</v>
      </c>
      <c r="K1435" s="128">
        <v>1179.523037583079</v>
      </c>
      <c r="L1435" s="128">
        <v>20.0</v>
      </c>
      <c r="M1435" s="128">
        <v>1173.9476589217186</v>
      </c>
      <c r="N1435" s="44"/>
      <c r="O1435" s="128"/>
      <c r="P1435" s="128"/>
      <c r="Q1435" s="128"/>
      <c r="V1435" s="44" t="s">
        <v>88</v>
      </c>
      <c r="W1435" s="128">
        <v>961.6042818883157</v>
      </c>
      <c r="X1435" s="128">
        <v>19.0</v>
      </c>
      <c r="Y1435" s="128">
        <v>967.9139427714787</v>
      </c>
      <c r="Z1435" s="44" t="s">
        <v>61</v>
      </c>
      <c r="AA1435" s="128">
        <v>996.1258704333527</v>
      </c>
      <c r="AB1435" s="128">
        <v>22.0</v>
      </c>
      <c r="AC1435" s="128">
        <v>1003.9048237707865</v>
      </c>
      <c r="AD1435" s="44" t="s">
        <v>38</v>
      </c>
      <c r="AE1435" s="128">
        <v>1047.8678586155152</v>
      </c>
      <c r="AF1435" s="128">
        <v>19.0</v>
      </c>
      <c r="AG1435" s="128">
        <v>1053.7792443949184</v>
      </c>
      <c r="AH1435" s="44"/>
      <c r="AI1435" s="128"/>
      <c r="AJ1435" s="128"/>
      <c r="AK1435" s="128"/>
      <c r="AP1435" s="128">
        <v>11.0</v>
      </c>
      <c r="AQ1435" s="128">
        <v>17.0</v>
      </c>
      <c r="AT1435" s="44">
        <v>1434.0</v>
      </c>
      <c r="AU1435" s="44"/>
      <c r="AW1435" s="93"/>
      <c r="AY1435" s="93"/>
      <c r="AZ1435" s="93"/>
      <c r="BA1435" s="93"/>
      <c r="BB1435" s="155"/>
      <c r="BC1435" s="93"/>
      <c r="BE1435" s="93"/>
      <c r="BG1435" s="93"/>
      <c r="BH1435" s="93"/>
      <c r="BI1435" s="93"/>
      <c r="BJ1435" s="155"/>
      <c r="BK1435" s="93"/>
    </row>
    <row r="1436">
      <c r="A1436" s="166">
        <v>44917.02141035879</v>
      </c>
      <c r="B1436" s="44" t="s">
        <v>125</v>
      </c>
      <c r="C1436" s="128">
        <v>863.8079843689766</v>
      </c>
      <c r="D1436" s="128">
        <v>10.0</v>
      </c>
      <c r="E1436" s="128">
        <v>864.2810064142831</v>
      </c>
      <c r="F1436" s="44" t="s">
        <v>88</v>
      </c>
      <c r="G1436" s="128">
        <v>967.9139427714787</v>
      </c>
      <c r="H1436" s="128">
        <v>16.0</v>
      </c>
      <c r="I1436" s="128">
        <v>969.1128614441603</v>
      </c>
      <c r="J1436" s="44" t="s">
        <v>86</v>
      </c>
      <c r="K1436" s="128">
        <v>994.5226908693311</v>
      </c>
      <c r="L1436" s="128">
        <v>23.0</v>
      </c>
      <c r="M1436" s="128">
        <v>996.8424331265479</v>
      </c>
      <c r="N1436" s="44" t="s">
        <v>61</v>
      </c>
      <c r="O1436" s="128">
        <v>1003.9048237707865</v>
      </c>
      <c r="P1436" s="128">
        <v>24.0</v>
      </c>
      <c r="Q1436" s="128">
        <v>1006.377314409579</v>
      </c>
      <c r="R1436" s="44" t="s">
        <v>27</v>
      </c>
      <c r="S1436" s="128">
        <v>1173.9476589217186</v>
      </c>
      <c r="T1436" s="128">
        <v>31.0</v>
      </c>
      <c r="U1436" s="128">
        <v>1177.4834853077211</v>
      </c>
      <c r="V1436" s="44" t="s">
        <v>107</v>
      </c>
      <c r="W1436" s="128">
        <v>944.4983836729693</v>
      </c>
      <c r="X1436" s="128">
        <v>15.0</v>
      </c>
      <c r="Y1436" s="128">
        <v>941.7524834208723</v>
      </c>
      <c r="Z1436" s="44" t="s">
        <v>95</v>
      </c>
      <c r="AA1436" s="128">
        <v>969.1316841167002</v>
      </c>
      <c r="AB1436" s="128">
        <v>16.0</v>
      </c>
      <c r="AC1436" s="128">
        <v>966.5043013923904</v>
      </c>
      <c r="AD1436" s="44" t="s">
        <v>40</v>
      </c>
      <c r="AE1436" s="128">
        <v>997.2060242026645</v>
      </c>
      <c r="AF1436" s="128">
        <v>24.0</v>
      </c>
      <c r="AG1436" s="128">
        <v>995.86675884047</v>
      </c>
      <c r="AH1436" s="44" t="s">
        <v>50</v>
      </c>
      <c r="AI1436" s="128">
        <v>1035.78884690951</v>
      </c>
      <c r="AJ1436" s="128">
        <v>26.0</v>
      </c>
      <c r="AK1436" s="128">
        <v>1034.7364755669523</v>
      </c>
      <c r="AL1436" s="44" t="s">
        <v>38</v>
      </c>
      <c r="AM1436" s="128">
        <v>1053.7792443949184</v>
      </c>
      <c r="AN1436" s="128">
        <v>19.0</v>
      </c>
      <c r="AO1436" s="128">
        <v>1051.5441640760773</v>
      </c>
      <c r="AP1436" s="128">
        <v>15.0</v>
      </c>
      <c r="AQ1436" s="128">
        <v>13.0</v>
      </c>
      <c r="AS1436" s="44" t="s">
        <v>229</v>
      </c>
      <c r="AT1436" s="44">
        <v>1435.0</v>
      </c>
      <c r="AU1436" s="44"/>
      <c r="AW1436" s="93"/>
      <c r="AY1436" s="93"/>
      <c r="AZ1436" s="93"/>
      <c r="BA1436" s="93"/>
      <c r="BB1436" s="155"/>
      <c r="BC1436" s="93"/>
      <c r="BE1436" s="93"/>
      <c r="BG1436" s="93"/>
      <c r="BH1436" s="93"/>
      <c r="BI1436" s="93"/>
      <c r="BJ1436" s="155"/>
      <c r="BK1436" s="93"/>
    </row>
    <row r="1437">
      <c r="A1437" s="166">
        <v>44917.063634363425</v>
      </c>
      <c r="B1437" s="44" t="s">
        <v>125</v>
      </c>
      <c r="C1437" s="128">
        <v>864.2810064142831</v>
      </c>
      <c r="D1437" s="128">
        <v>16.0</v>
      </c>
      <c r="E1437" s="128">
        <v>861.8176739992812</v>
      </c>
      <c r="F1437" s="44" t="s">
        <v>112</v>
      </c>
      <c r="G1437" s="128">
        <v>935.055211801109</v>
      </c>
      <c r="H1437" s="128">
        <v>24.0</v>
      </c>
      <c r="I1437" s="128">
        <v>933.7279431623838</v>
      </c>
      <c r="J1437" s="44" t="s">
        <v>105</v>
      </c>
      <c r="K1437" s="128">
        <v>958.8180366562794</v>
      </c>
      <c r="L1437" s="128">
        <v>24.0</v>
      </c>
      <c r="M1437" s="128">
        <v>957.4398438940274</v>
      </c>
      <c r="N1437" s="44" t="s">
        <v>50</v>
      </c>
      <c r="O1437" s="128">
        <v>1034.7364755669523</v>
      </c>
      <c r="P1437" s="128">
        <v>19.0</v>
      </c>
      <c r="Q1437" s="128">
        <v>1032.4120682763064</v>
      </c>
      <c r="R1437" s="44" t="s">
        <v>38</v>
      </c>
      <c r="S1437" s="128">
        <v>1051.5441640760773</v>
      </c>
      <c r="T1437" s="128">
        <v>18.0</v>
      </c>
      <c r="U1437" s="128">
        <v>1049.0373651827024</v>
      </c>
      <c r="V1437" s="44" t="s">
        <v>107</v>
      </c>
      <c r="W1437" s="128">
        <v>941.7524834208723</v>
      </c>
      <c r="X1437" s="128">
        <v>23.0</v>
      </c>
      <c r="Y1437" s="128">
        <v>944.0422098008131</v>
      </c>
      <c r="Z1437" s="44" t="s">
        <v>119</v>
      </c>
      <c r="AA1437" s="128">
        <v>948.1735020719851</v>
      </c>
      <c r="AB1437" s="128">
        <v>14.0</v>
      </c>
      <c r="AC1437" s="128">
        <v>948.9484563998734</v>
      </c>
      <c r="AD1437" s="44" t="s">
        <v>95</v>
      </c>
      <c r="AE1437" s="128">
        <v>966.5043013923904</v>
      </c>
      <c r="AF1437" s="128">
        <v>29.0</v>
      </c>
      <c r="AG1437" s="128">
        <v>969.7403721409328</v>
      </c>
      <c r="AH1437" s="44" t="s">
        <v>40</v>
      </c>
      <c r="AI1437" s="128">
        <v>995.86675884047</v>
      </c>
      <c r="AJ1437" s="128">
        <v>16.0</v>
      </c>
      <c r="AK1437" s="128">
        <v>996.8838173661769</v>
      </c>
      <c r="AL1437" s="44" t="s">
        <v>86</v>
      </c>
      <c r="AM1437" s="128">
        <v>996.8424331265479</v>
      </c>
      <c r="AN1437" s="128">
        <v>26.0</v>
      </c>
      <c r="AO1437" s="128">
        <v>999.5246231444694</v>
      </c>
      <c r="AP1437" s="128">
        <v>13.0</v>
      </c>
      <c r="AQ1437" s="128">
        <v>15.0</v>
      </c>
      <c r="AS1437" s="44" t="s">
        <v>253</v>
      </c>
      <c r="AT1437" s="44">
        <v>1436.0</v>
      </c>
      <c r="AU1437" s="44"/>
      <c r="AW1437" s="93"/>
      <c r="AY1437" s="93"/>
      <c r="AZ1437" s="93"/>
      <c r="BA1437" s="93"/>
      <c r="BB1437" s="155"/>
      <c r="BC1437" s="93"/>
      <c r="BE1437" s="93"/>
      <c r="BG1437" s="93"/>
      <c r="BH1437" s="93"/>
      <c r="BI1437" s="93"/>
      <c r="BJ1437" s="155"/>
      <c r="BK1437" s="93"/>
    </row>
    <row r="1438">
      <c r="A1438" s="166">
        <v>44917.12745054398</v>
      </c>
      <c r="B1438" s="44" t="s">
        <v>105</v>
      </c>
      <c r="C1438" s="128">
        <v>957.4398438940274</v>
      </c>
      <c r="D1438" s="128">
        <v>10.0</v>
      </c>
      <c r="E1438" s="128">
        <v>958.4299533215406</v>
      </c>
      <c r="F1438" s="44" t="s">
        <v>31</v>
      </c>
      <c r="G1438" s="128">
        <v>1024.970588830286</v>
      </c>
      <c r="H1438" s="128">
        <v>31.0</v>
      </c>
      <c r="I1438" s="128">
        <v>1035.5841036896893</v>
      </c>
      <c r="J1438" s="44" t="s">
        <v>50</v>
      </c>
      <c r="K1438" s="128">
        <v>1032.4120682763064</v>
      </c>
      <c r="L1438" s="128">
        <v>20.0</v>
      </c>
      <c r="M1438" s="128">
        <v>1037.8084439893898</v>
      </c>
      <c r="N1438" s="44"/>
      <c r="O1438" s="128"/>
      <c r="P1438" s="128"/>
      <c r="Q1438" s="128"/>
      <c r="V1438" s="44" t="s">
        <v>95</v>
      </c>
      <c r="W1438" s="128">
        <v>969.7403721409328</v>
      </c>
      <c r="X1438" s="128">
        <v>11.0</v>
      </c>
      <c r="Y1438" s="128">
        <v>961.937470442788</v>
      </c>
      <c r="Z1438" s="44" t="s">
        <v>40</v>
      </c>
      <c r="AA1438" s="128">
        <v>996.8838173661769</v>
      </c>
      <c r="AB1438" s="128">
        <v>26.0</v>
      </c>
      <c r="AC1438" s="128">
        <v>996.067214747001</v>
      </c>
      <c r="AD1438" s="44" t="s">
        <v>86</v>
      </c>
      <c r="AE1438" s="128">
        <v>999.5246231444694</v>
      </c>
      <c r="AF1438" s="128">
        <v>10.0</v>
      </c>
      <c r="AG1438" s="128">
        <v>991.14412746179</v>
      </c>
      <c r="AH1438" s="44"/>
      <c r="AI1438" s="128"/>
      <c r="AJ1438" s="128"/>
      <c r="AK1438" s="128"/>
      <c r="AP1438" s="128">
        <v>17.0</v>
      </c>
      <c r="AQ1438" s="128">
        <v>11.0</v>
      </c>
      <c r="AT1438" s="44">
        <v>1437.0</v>
      </c>
      <c r="AU1438" s="44"/>
      <c r="AW1438" s="93"/>
      <c r="AY1438" s="93"/>
      <c r="AZ1438" s="93"/>
      <c r="BA1438" s="93"/>
      <c r="BB1438" s="155"/>
      <c r="BC1438" s="93"/>
      <c r="BE1438" s="93"/>
      <c r="BG1438" s="93"/>
      <c r="BH1438" s="93"/>
      <c r="BI1438" s="93"/>
      <c r="BJ1438" s="155"/>
      <c r="BK1438" s="93"/>
    </row>
    <row r="1439">
      <c r="A1439" s="166">
        <v>44917.213361111106</v>
      </c>
      <c r="B1439" s="44" t="s">
        <v>117</v>
      </c>
      <c r="C1439" s="128">
        <v>942.7400384746387</v>
      </c>
      <c r="D1439" s="128">
        <v>11.0</v>
      </c>
      <c r="E1439" s="128">
        <v>924.6778906843548</v>
      </c>
      <c r="F1439" s="44" t="s">
        <v>100</v>
      </c>
      <c r="G1439" s="128">
        <v>946.7634233286117</v>
      </c>
      <c r="H1439" s="128">
        <v>18.0</v>
      </c>
      <c r="I1439" s="128">
        <v>937.2607376617824</v>
      </c>
      <c r="J1439" s="44" t="s">
        <v>121</v>
      </c>
      <c r="K1439" s="128">
        <v>980.015448318964</v>
      </c>
      <c r="L1439" s="128">
        <v>3.0</v>
      </c>
      <c r="M1439" s="128">
        <v>951.7492685499275</v>
      </c>
      <c r="N1439" s="44" t="s">
        <v>23</v>
      </c>
      <c r="O1439" s="128">
        <v>1373.4196452278056</v>
      </c>
      <c r="P1439" s="128">
        <v>24.0</v>
      </c>
      <c r="Q1439" s="128">
        <v>1370.2506584539553</v>
      </c>
      <c r="V1439" s="44" t="s">
        <v>40</v>
      </c>
      <c r="W1439" s="128">
        <v>996.067214747001</v>
      </c>
      <c r="X1439" s="128">
        <v>21.0</v>
      </c>
      <c r="Y1439" s="128">
        <v>1009.4709991577599</v>
      </c>
      <c r="Z1439" s="44" t="s">
        <v>115</v>
      </c>
      <c r="AA1439" s="128">
        <v>998.6638927557113</v>
      </c>
      <c r="AB1439" s="128">
        <v>9.0</v>
      </c>
      <c r="AC1439" s="128">
        <v>998.6738927557113</v>
      </c>
      <c r="AD1439" s="44" t="s">
        <v>47</v>
      </c>
      <c r="AE1439" s="128">
        <v>1029.0974631110885</v>
      </c>
      <c r="AF1439" s="128">
        <v>17.0</v>
      </c>
      <c r="AG1439" s="128">
        <v>1037.2464741822293</v>
      </c>
      <c r="AH1439" s="44" t="s">
        <v>31</v>
      </c>
      <c r="AI1439" s="128">
        <v>1035.5841036896893</v>
      </c>
      <c r="AJ1439" s="128">
        <v>42.0</v>
      </c>
      <c r="AK1439" s="128">
        <v>1074.4080185254538</v>
      </c>
      <c r="AP1439" s="128">
        <v>6.0</v>
      </c>
      <c r="AQ1439" s="128">
        <v>22.0</v>
      </c>
      <c r="AT1439" s="44">
        <v>1438.0</v>
      </c>
      <c r="AU1439" s="44"/>
      <c r="AW1439" s="93"/>
      <c r="AY1439" s="93"/>
      <c r="AZ1439" s="93"/>
      <c r="BA1439" s="93"/>
      <c r="BB1439" s="155"/>
      <c r="BC1439" s="93"/>
      <c r="BE1439" s="93"/>
      <c r="BG1439" s="93"/>
      <c r="BH1439" s="93"/>
      <c r="BI1439" s="93"/>
      <c r="BJ1439" s="155"/>
      <c r="BK1439" s="93"/>
    </row>
    <row r="1440">
      <c r="A1440" s="166">
        <v>44918.00166140046</v>
      </c>
      <c r="B1440" s="44" t="s">
        <v>125</v>
      </c>
      <c r="C1440" s="128">
        <v>861.8176739992812</v>
      </c>
      <c r="D1440" s="128">
        <v>22.0</v>
      </c>
      <c r="E1440" s="128">
        <v>868.3045453068285</v>
      </c>
      <c r="F1440" s="44" t="s">
        <v>105</v>
      </c>
      <c r="G1440" s="128">
        <v>958.4299533215406</v>
      </c>
      <c r="H1440" s="128">
        <v>13.0</v>
      </c>
      <c r="I1440" s="128">
        <v>960.2907528369722</v>
      </c>
      <c r="J1440" s="44" t="s">
        <v>61</v>
      </c>
      <c r="K1440" s="128">
        <v>1006.377314409579</v>
      </c>
      <c r="L1440" s="128">
        <v>28.0</v>
      </c>
      <c r="M1440" s="128">
        <v>1014.5853129013011</v>
      </c>
      <c r="N1440" s="44" t="s">
        <v>27</v>
      </c>
      <c r="O1440" s="128">
        <v>1177.4834853077211</v>
      </c>
      <c r="P1440" s="128">
        <v>20.0</v>
      </c>
      <c r="Q1440" s="128">
        <v>1181.9278159930202</v>
      </c>
      <c r="V1440" s="44" t="s">
        <v>119</v>
      </c>
      <c r="W1440" s="128">
        <v>948.9484563998734</v>
      </c>
      <c r="X1440" s="128">
        <v>17.0</v>
      </c>
      <c r="Y1440" s="128">
        <v>943.8859074792671</v>
      </c>
      <c r="Z1440" s="44" t="s">
        <v>92</v>
      </c>
      <c r="AA1440" s="128">
        <v>997.4206271735868</v>
      </c>
      <c r="AB1440" s="128">
        <v>17.0</v>
      </c>
      <c r="AC1440" s="128">
        <v>992.1704264898292</v>
      </c>
      <c r="AD1440" s="44" t="s">
        <v>115</v>
      </c>
      <c r="AE1440" s="128">
        <v>998.6738927557113</v>
      </c>
      <c r="AF1440" s="128">
        <v>10.0</v>
      </c>
      <c r="AG1440" s="128">
        <v>990.3572263295843</v>
      </c>
      <c r="AH1440" s="44" t="s">
        <v>34</v>
      </c>
      <c r="AI1440" s="128">
        <v>1083.8591711183115</v>
      </c>
      <c r="AJ1440" s="128">
        <v>24.0</v>
      </c>
      <c r="AK1440" s="128">
        <v>1081.4885871488023</v>
      </c>
      <c r="AP1440" s="128">
        <v>17.0</v>
      </c>
      <c r="AQ1440" s="128">
        <v>11.0</v>
      </c>
      <c r="AT1440" s="44">
        <v>1439.0</v>
      </c>
      <c r="AU1440" s="44"/>
      <c r="AW1440" s="93"/>
      <c r="AY1440" s="93"/>
      <c r="AZ1440" s="93"/>
      <c r="BA1440" s="93"/>
      <c r="BB1440" s="155"/>
      <c r="BC1440" s="93"/>
      <c r="BE1440" s="93"/>
      <c r="BG1440" s="93"/>
      <c r="BH1440" s="93"/>
      <c r="BI1440" s="93"/>
      <c r="BJ1440" s="155"/>
      <c r="BK1440" s="93"/>
    </row>
    <row r="1441">
      <c r="A1441" s="166">
        <v>44918.04464126157</v>
      </c>
      <c r="B1441" s="44" t="s">
        <v>125</v>
      </c>
      <c r="C1441" s="128">
        <v>868.3045453068285</v>
      </c>
      <c r="D1441" s="128">
        <v>18.0</v>
      </c>
      <c r="E1441" s="128">
        <v>864.6296077236946</v>
      </c>
      <c r="F1441" s="44" t="s">
        <v>112</v>
      </c>
      <c r="G1441" s="128">
        <v>933.7279431623838</v>
      </c>
      <c r="H1441" s="128">
        <v>18.0</v>
      </c>
      <c r="I1441" s="128">
        <v>929.7277250517722</v>
      </c>
      <c r="J1441" s="44" t="s">
        <v>119</v>
      </c>
      <c r="K1441" s="128">
        <v>943.8859074792671</v>
      </c>
      <c r="L1441" s="128">
        <v>13.0</v>
      </c>
      <c r="M1441" s="128">
        <v>938.1778945374731</v>
      </c>
      <c r="N1441" s="44" t="s">
        <v>86</v>
      </c>
      <c r="O1441" s="128">
        <v>991.14412746179</v>
      </c>
      <c r="P1441" s="128">
        <v>17.0</v>
      </c>
      <c r="Q1441" s="128">
        <v>986.611140259788</v>
      </c>
      <c r="R1441" s="44" t="s">
        <v>27</v>
      </c>
      <c r="S1441" s="128">
        <v>1181.9278159930202</v>
      </c>
      <c r="T1441" s="128">
        <v>25.0</v>
      </c>
      <c r="U1441" s="128">
        <v>1179.8439718305617</v>
      </c>
      <c r="V1441" s="44" t="s">
        <v>107</v>
      </c>
      <c r="W1441" s="128">
        <v>944.0422098008131</v>
      </c>
      <c r="X1441" s="128">
        <v>18.0</v>
      </c>
      <c r="Y1441" s="128">
        <v>947.637623392359</v>
      </c>
      <c r="Z1441" s="44" t="s">
        <v>105</v>
      </c>
      <c r="AA1441" s="128">
        <v>960.2907528369722</v>
      </c>
      <c r="AB1441" s="128">
        <v>22.0</v>
      </c>
      <c r="AC1441" s="128">
        <v>965.1554192363328</v>
      </c>
      <c r="AD1441" s="44" t="s">
        <v>95</v>
      </c>
      <c r="AE1441" s="128">
        <v>961.937470442788</v>
      </c>
      <c r="AF1441" s="128">
        <v>25.0</v>
      </c>
      <c r="AG1441" s="128">
        <v>967.7960241730267</v>
      </c>
      <c r="AH1441" s="44" t="s">
        <v>61</v>
      </c>
      <c r="AI1441" s="128">
        <v>1014.5853129013011</v>
      </c>
      <c r="AJ1441" s="128">
        <v>13.0</v>
      </c>
      <c r="AK1441" s="128">
        <v>1016.2842098165123</v>
      </c>
      <c r="AL1441" s="44" t="s">
        <v>50</v>
      </c>
      <c r="AM1441" s="128">
        <v>1037.8084439893898</v>
      </c>
      <c r="AN1441" s="128">
        <v>20.0</v>
      </c>
      <c r="AO1441" s="128">
        <v>1041.7909133530334</v>
      </c>
      <c r="AP1441" s="128">
        <v>11.0</v>
      </c>
      <c r="AQ1441" s="128">
        <v>17.0</v>
      </c>
      <c r="AT1441" s="44">
        <v>1440.0</v>
      </c>
      <c r="AU1441" s="44"/>
      <c r="AW1441" s="93"/>
      <c r="AY1441" s="93"/>
      <c r="AZ1441" s="93"/>
      <c r="BA1441" s="93"/>
      <c r="BB1441" s="155"/>
      <c r="BC1441" s="93"/>
      <c r="BE1441" s="93"/>
      <c r="BG1441" s="93"/>
      <c r="BH1441" s="93"/>
      <c r="BI1441" s="93"/>
      <c r="BJ1441" s="155"/>
      <c r="BK1441" s="93"/>
    </row>
    <row r="1442">
      <c r="A1442" s="166">
        <v>44918.1103271412</v>
      </c>
      <c r="B1442" s="44" t="s">
        <v>125</v>
      </c>
      <c r="C1442" s="128">
        <v>864.6296077236946</v>
      </c>
      <c r="D1442" s="128">
        <v>17.0</v>
      </c>
      <c r="E1442" s="128">
        <v>865.045959989888</v>
      </c>
      <c r="F1442" s="44" t="s">
        <v>50</v>
      </c>
      <c r="G1442" s="128">
        <v>1041.7909133530334</v>
      </c>
      <c r="H1442" s="128">
        <v>23.0</v>
      </c>
      <c r="I1442" s="128">
        <v>1042.853181842157</v>
      </c>
      <c r="J1442" s="44" t="s">
        <v>31</v>
      </c>
      <c r="K1442" s="128">
        <v>1074.4080185254538</v>
      </c>
      <c r="L1442" s="128">
        <v>52.0</v>
      </c>
      <c r="M1442" s="128">
        <v>1082.065131786728</v>
      </c>
      <c r="N1442" s="44" t="s">
        <v>27</v>
      </c>
      <c r="O1442" s="128">
        <v>1179.8439718305617</v>
      </c>
      <c r="P1442" s="128">
        <v>27.0</v>
      </c>
      <c r="Q1442" s="128">
        <v>1181.7082378139703</v>
      </c>
      <c r="V1442" s="44" t="s">
        <v>112</v>
      </c>
      <c r="W1442" s="128">
        <v>929.7277250517722</v>
      </c>
      <c r="X1442" s="128">
        <v>31.0</v>
      </c>
      <c r="Y1442" s="128">
        <v>927.9950283597573</v>
      </c>
      <c r="Z1442" s="44" t="s">
        <v>119</v>
      </c>
      <c r="AA1442" s="128">
        <v>938.1778945374731</v>
      </c>
      <c r="AB1442" s="128">
        <v>13.0</v>
      </c>
      <c r="AC1442" s="128">
        <v>932.2842203919336</v>
      </c>
      <c r="AD1442" s="44" t="s">
        <v>95</v>
      </c>
      <c r="AE1442" s="128">
        <v>967.7960241730267</v>
      </c>
      <c r="AF1442" s="128">
        <v>26.0</v>
      </c>
      <c r="AG1442" s="128">
        <v>964.7695878205691</v>
      </c>
      <c r="AH1442" s="44" t="s">
        <v>23</v>
      </c>
      <c r="AI1442" s="128">
        <v>1370.2506584539553</v>
      </c>
      <c r="AJ1442" s="128">
        <v>39.0</v>
      </c>
      <c r="AK1442" s="128">
        <v>1369.9034656439674</v>
      </c>
      <c r="AP1442" s="128">
        <v>22.0</v>
      </c>
      <c r="AQ1442" s="128">
        <v>20.0</v>
      </c>
      <c r="AT1442" s="44">
        <v>1441.0</v>
      </c>
      <c r="AU1442" s="44"/>
      <c r="AW1442" s="93"/>
      <c r="AY1442" s="93"/>
      <c r="AZ1442" s="93"/>
      <c r="BA1442" s="93"/>
      <c r="BB1442" s="155"/>
      <c r="BC1442" s="93"/>
      <c r="BE1442" s="93"/>
      <c r="BG1442" s="93"/>
      <c r="BH1442" s="93"/>
      <c r="BI1442" s="93"/>
      <c r="BJ1442" s="155"/>
      <c r="BK1442" s="93"/>
    </row>
    <row r="1443">
      <c r="A1443" s="166">
        <v>44918.83752641204</v>
      </c>
      <c r="B1443" s="44" t="s">
        <v>117</v>
      </c>
      <c r="C1443" s="128">
        <v>924.6778906843548</v>
      </c>
      <c r="D1443" s="128">
        <v>7.0</v>
      </c>
      <c r="E1443" s="128">
        <v>914.0563897355194</v>
      </c>
      <c r="F1443" s="44" t="s">
        <v>115</v>
      </c>
      <c r="G1443" s="128">
        <v>990.3572263295843</v>
      </c>
      <c r="H1443" s="128">
        <v>19.0</v>
      </c>
      <c r="I1443" s="128">
        <v>985.7537344683325</v>
      </c>
      <c r="J1443" s="44" t="s">
        <v>31</v>
      </c>
      <c r="K1443" s="128">
        <v>1082.065131786728</v>
      </c>
      <c r="L1443" s="128">
        <v>21.0</v>
      </c>
      <c r="M1443" s="128">
        <v>1078.290124596815</v>
      </c>
      <c r="N1443" s="44"/>
      <c r="O1443" s="128"/>
      <c r="P1443" s="128"/>
      <c r="Q1443" s="128"/>
      <c r="V1443" s="44" t="s">
        <v>100</v>
      </c>
      <c r="W1443" s="128">
        <v>937.2607376617824</v>
      </c>
      <c r="X1443" s="128">
        <v>20.0</v>
      </c>
      <c r="Y1443" s="128">
        <v>943.7461714881017</v>
      </c>
      <c r="Z1443" s="44" t="s">
        <v>54</v>
      </c>
      <c r="AA1443" s="128">
        <v>1026.9592263768868</v>
      </c>
      <c r="AB1443" s="128">
        <v>20.0</v>
      </c>
      <c r="AC1443" s="128">
        <v>1032.977947792687</v>
      </c>
      <c r="AD1443" s="44" t="s">
        <v>50</v>
      </c>
      <c r="AE1443" s="128">
        <v>1042.853181842157</v>
      </c>
      <c r="AF1443" s="128">
        <v>21.0</v>
      </c>
      <c r="AG1443" s="128">
        <v>1049.3490266000374</v>
      </c>
      <c r="AH1443" s="44"/>
      <c r="AI1443" s="128"/>
      <c r="AJ1443" s="128"/>
      <c r="AK1443" s="128"/>
      <c r="AP1443" s="128">
        <v>12.0</v>
      </c>
      <c r="AQ1443" s="128">
        <v>16.0</v>
      </c>
      <c r="AT1443" s="44">
        <v>1442.0</v>
      </c>
      <c r="AU1443" s="44"/>
      <c r="AW1443" s="93"/>
      <c r="AY1443" s="93"/>
      <c r="AZ1443" s="93"/>
      <c r="BA1443" s="93"/>
      <c r="BB1443" s="155"/>
      <c r="BC1443" s="93"/>
      <c r="BE1443" s="93"/>
      <c r="BG1443" s="93"/>
      <c r="BH1443" s="93"/>
      <c r="BI1443" s="93"/>
      <c r="BJ1443" s="155"/>
      <c r="BK1443" s="93"/>
    </row>
    <row r="1444">
      <c r="A1444" s="166">
        <v>44918.87128777777</v>
      </c>
      <c r="B1444" s="44" t="s">
        <v>117</v>
      </c>
      <c r="C1444" s="128">
        <v>914.0563897355194</v>
      </c>
      <c r="D1444" s="128">
        <v>10.0</v>
      </c>
      <c r="E1444" s="128">
        <v>907.6894944220553</v>
      </c>
      <c r="F1444" s="44" t="s">
        <v>50</v>
      </c>
      <c r="G1444" s="128">
        <v>1049.3490266000374</v>
      </c>
      <c r="H1444" s="128">
        <v>21.0</v>
      </c>
      <c r="I1444" s="128">
        <v>1046.7159219135015</v>
      </c>
      <c r="J1444" s="44"/>
      <c r="K1444" s="128"/>
      <c r="L1444" s="128"/>
      <c r="M1444" s="128"/>
      <c r="N1444" s="44"/>
      <c r="O1444" s="128"/>
      <c r="P1444" s="128"/>
      <c r="Q1444" s="128"/>
      <c r="V1444" s="44" t="s">
        <v>100</v>
      </c>
      <c r="W1444" s="128">
        <v>943.7461714881017</v>
      </c>
      <c r="X1444" s="128">
        <v>13.0</v>
      </c>
      <c r="Y1444" s="128">
        <v>947.0757129867131</v>
      </c>
      <c r="Z1444" s="44" t="s">
        <v>38</v>
      </c>
      <c r="AA1444" s="128">
        <v>1049.0373651827024</v>
      </c>
      <c r="AB1444" s="128">
        <v>20.0</v>
      </c>
      <c r="AC1444" s="128">
        <v>1054.707823684091</v>
      </c>
      <c r="AD1444" s="44"/>
      <c r="AE1444" s="128"/>
      <c r="AF1444" s="128"/>
      <c r="AG1444" s="128"/>
      <c r="AH1444" s="44"/>
      <c r="AI1444" s="128"/>
      <c r="AJ1444" s="128"/>
      <c r="AK1444" s="128"/>
      <c r="AP1444" s="128">
        <v>13.0</v>
      </c>
      <c r="AQ1444" s="128">
        <v>15.0</v>
      </c>
      <c r="AT1444" s="44">
        <v>1443.0</v>
      </c>
      <c r="AU1444" s="44"/>
      <c r="AW1444" s="93"/>
      <c r="AY1444" s="93"/>
      <c r="AZ1444" s="93"/>
      <c r="BA1444" s="93"/>
      <c r="BB1444" s="155"/>
      <c r="BC1444" s="93"/>
      <c r="BE1444" s="93"/>
      <c r="BG1444" s="93"/>
      <c r="BH1444" s="93"/>
      <c r="BI1444" s="93"/>
      <c r="BJ1444" s="155"/>
      <c r="BK1444" s="93"/>
    </row>
    <row r="1445">
      <c r="A1445" s="166">
        <v>44918.966432511574</v>
      </c>
      <c r="B1445" s="44" t="s">
        <v>115</v>
      </c>
      <c r="C1445" s="128">
        <v>985.7537344683325</v>
      </c>
      <c r="D1445" s="128">
        <v>14.0</v>
      </c>
      <c r="E1445" s="128">
        <v>982.9670115262315</v>
      </c>
      <c r="F1445" s="44" t="s">
        <v>58</v>
      </c>
      <c r="G1445" s="128">
        <v>1030.5281034433128</v>
      </c>
      <c r="H1445" s="128">
        <v>20.0</v>
      </c>
      <c r="I1445" s="128">
        <v>1028.4880482787948</v>
      </c>
      <c r="J1445" s="44" t="s">
        <v>38</v>
      </c>
      <c r="K1445" s="128">
        <v>1054.707823684091</v>
      </c>
      <c r="L1445" s="128">
        <v>21.0</v>
      </c>
      <c r="M1445" s="128">
        <v>1052.7808377549404</v>
      </c>
      <c r="N1445" s="44" t="s">
        <v>31</v>
      </c>
      <c r="O1445" s="128">
        <v>1078.290124596815</v>
      </c>
      <c r="P1445" s="128">
        <v>32.0</v>
      </c>
      <c r="Q1445" s="128">
        <v>1077.814983026999</v>
      </c>
      <c r="R1445" s="44" t="s">
        <v>23</v>
      </c>
      <c r="S1445" s="128">
        <v>1369.9034656439674</v>
      </c>
      <c r="T1445" s="128">
        <v>30.0</v>
      </c>
      <c r="U1445" s="128">
        <v>1369.1323712495528</v>
      </c>
      <c r="V1445" s="44" t="s">
        <v>117</v>
      </c>
      <c r="W1445" s="128">
        <v>907.6894944220553</v>
      </c>
      <c r="X1445" s="128">
        <v>19.0</v>
      </c>
      <c r="Y1445" s="128">
        <v>908.8858109100039</v>
      </c>
      <c r="Z1445" s="44" t="s">
        <v>100</v>
      </c>
      <c r="AA1445" s="128">
        <v>947.0757129867131</v>
      </c>
      <c r="AB1445" s="128">
        <v>21.0</v>
      </c>
      <c r="AC1445" s="128">
        <v>948.4534270399612</v>
      </c>
      <c r="AD1445" s="44" t="s">
        <v>47</v>
      </c>
      <c r="AE1445" s="128">
        <v>1037.2464741822293</v>
      </c>
      <c r="AF1445" s="128">
        <v>24.0</v>
      </c>
      <c r="AG1445" s="128">
        <v>1038.8987449498811</v>
      </c>
      <c r="AH1445" s="44" t="s">
        <v>50</v>
      </c>
      <c r="AI1445" s="128">
        <v>1046.7159219135015</v>
      </c>
      <c r="AJ1445" s="128">
        <v>27.0</v>
      </c>
      <c r="AK1445" s="128">
        <v>1048.7601203484949</v>
      </c>
      <c r="AL1445" s="44" t="s">
        <v>27</v>
      </c>
      <c r="AM1445" s="128">
        <v>1181.7082378139703</v>
      </c>
      <c r="AN1445" s="128">
        <v>25.0</v>
      </c>
      <c r="AO1445" s="128">
        <v>1183.4377380701285</v>
      </c>
      <c r="AP1445" s="128">
        <v>14.0</v>
      </c>
      <c r="AQ1445" s="128">
        <v>14.0</v>
      </c>
      <c r="AT1445" s="44">
        <v>1444.0</v>
      </c>
      <c r="AU1445" s="44"/>
      <c r="AV1445" s="44" t="s">
        <v>121</v>
      </c>
      <c r="AW1445" s="12">
        <v>951.7492685499275</v>
      </c>
      <c r="AX1445" s="44">
        <v>11.0</v>
      </c>
      <c r="AY1445" s="12">
        <v>951.0</v>
      </c>
      <c r="AZ1445" s="145" t="s">
        <v>98</v>
      </c>
      <c r="BA1445" s="12">
        <v>970.7631471503696</v>
      </c>
      <c r="BB1445" s="146" t="s">
        <v>632</v>
      </c>
      <c r="BC1445" s="12">
        <v>970.0</v>
      </c>
      <c r="BD1445" s="44" t="s">
        <v>127</v>
      </c>
      <c r="BE1445" s="89">
        <v>772.9732041694213</v>
      </c>
      <c r="BF1445" s="44">
        <v>10.0</v>
      </c>
      <c r="BG1445" s="89">
        <v>774.0</v>
      </c>
      <c r="BH1445" s="145" t="s">
        <v>125</v>
      </c>
      <c r="BI1445" s="145">
        <v>865.05</v>
      </c>
      <c r="BJ1445" s="146" t="s">
        <v>633</v>
      </c>
      <c r="BK1445" s="145">
        <v>867.0</v>
      </c>
    </row>
    <row r="1446">
      <c r="A1446" s="166">
        <v>44919.020771157404</v>
      </c>
      <c r="B1446" s="44" t="s">
        <v>112</v>
      </c>
      <c r="C1446" s="128">
        <v>927.9950283597573</v>
      </c>
      <c r="D1446" s="128">
        <v>27.0</v>
      </c>
      <c r="E1446" s="128">
        <v>930.8334609757942</v>
      </c>
      <c r="F1446" s="44" t="s">
        <v>100</v>
      </c>
      <c r="G1446" s="128">
        <v>948.4534270399612</v>
      </c>
      <c r="H1446" s="128">
        <v>16.0</v>
      </c>
      <c r="I1446" s="128">
        <v>949.4075497800942</v>
      </c>
      <c r="J1446" s="44" t="s">
        <v>61</v>
      </c>
      <c r="K1446" s="128">
        <v>1016.2842098165123</v>
      </c>
      <c r="L1446" s="128">
        <v>17.0</v>
      </c>
      <c r="M1446" s="128">
        <v>1017.2801633363877</v>
      </c>
      <c r="N1446" s="44" t="s">
        <v>58</v>
      </c>
      <c r="O1446" s="128">
        <v>1028.4880482787948</v>
      </c>
      <c r="P1446" s="128">
        <v>22.0</v>
      </c>
      <c r="Q1446" s="128">
        <v>1030.301632288929</v>
      </c>
      <c r="R1446" s="44" t="s">
        <v>23</v>
      </c>
      <c r="S1446" s="128">
        <v>1369.1323712495528</v>
      </c>
      <c r="T1446" s="128">
        <v>32.0</v>
      </c>
      <c r="U1446" s="128">
        <v>1372.5302783633733</v>
      </c>
      <c r="V1446" s="44" t="s">
        <v>98</v>
      </c>
      <c r="W1446" s="128">
        <v>970.0</v>
      </c>
      <c r="X1446" s="128">
        <v>13.0</v>
      </c>
      <c r="Y1446" s="128">
        <v>966.402830546336</v>
      </c>
      <c r="Z1446" s="44" t="s">
        <v>47</v>
      </c>
      <c r="AA1446" s="128">
        <v>1038.8987449498811</v>
      </c>
      <c r="AB1446" s="128">
        <v>22.0</v>
      </c>
      <c r="AC1446" s="128">
        <v>1036.695871520604</v>
      </c>
      <c r="AD1446" s="44" t="s">
        <v>50</v>
      </c>
      <c r="AE1446" s="128">
        <v>1048.7601203484949</v>
      </c>
      <c r="AF1446" s="128">
        <v>28.0</v>
      </c>
      <c r="AG1446" s="128">
        <v>1047.5471321057598</v>
      </c>
      <c r="AH1446" s="44" t="s">
        <v>38</v>
      </c>
      <c r="AI1446" s="128">
        <v>1052.7808377549404</v>
      </c>
      <c r="AJ1446" s="128">
        <v>19.0</v>
      </c>
      <c r="AK1446" s="128">
        <v>1050.064044011059</v>
      </c>
      <c r="AL1446" s="44" t="s">
        <v>27</v>
      </c>
      <c r="AM1446" s="128">
        <v>1183.4377380701285</v>
      </c>
      <c r="AN1446" s="128">
        <v>34.0</v>
      </c>
      <c r="AO1446" s="128">
        <v>1183.1675629396861</v>
      </c>
      <c r="AP1446" s="128">
        <v>15.0</v>
      </c>
      <c r="AQ1446" s="128">
        <v>13.0</v>
      </c>
      <c r="AT1446" s="44">
        <v>1445.0</v>
      </c>
      <c r="AU1446" s="44"/>
      <c r="AV1446" s="44" t="s">
        <v>125</v>
      </c>
      <c r="AW1446" s="12">
        <v>867.0</v>
      </c>
      <c r="AX1446" s="44">
        <v>18.0</v>
      </c>
      <c r="AY1446" s="145">
        <v>868.5</v>
      </c>
      <c r="AZ1446" s="93"/>
      <c r="BA1446" s="93"/>
      <c r="BB1446" s="155"/>
      <c r="BC1446" s="93"/>
      <c r="BD1446" s="44" t="s">
        <v>127</v>
      </c>
      <c r="BE1446" s="89">
        <v>774.0</v>
      </c>
      <c r="BF1446" s="44">
        <v>1.0</v>
      </c>
      <c r="BG1446" s="145">
        <v>767.5</v>
      </c>
      <c r="BH1446" s="93"/>
      <c r="BI1446" s="93"/>
      <c r="BJ1446" s="155"/>
      <c r="BK1446" s="93"/>
    </row>
    <row r="1447">
      <c r="A1447" s="166">
        <v>44919.07711950231</v>
      </c>
      <c r="B1447" s="44" t="s">
        <v>127</v>
      </c>
      <c r="C1447" s="128">
        <v>767.5</v>
      </c>
      <c r="D1447" s="128">
        <v>8.0</v>
      </c>
      <c r="E1447" s="128">
        <v>767.7838806861065</v>
      </c>
      <c r="F1447" s="44" t="s">
        <v>125</v>
      </c>
      <c r="G1447" s="128">
        <v>868.5</v>
      </c>
      <c r="H1447" s="128">
        <v>14.0</v>
      </c>
      <c r="I1447" s="128">
        <v>870.254600823152</v>
      </c>
      <c r="J1447" s="44" t="s">
        <v>100</v>
      </c>
      <c r="K1447" s="128">
        <v>949.4075497800942</v>
      </c>
      <c r="L1447" s="128">
        <v>28.0</v>
      </c>
      <c r="M1447" s="128">
        <v>956.6372179830018</v>
      </c>
      <c r="N1447" s="44" t="s">
        <v>40</v>
      </c>
      <c r="O1447" s="128">
        <v>1009.4709991577599</v>
      </c>
      <c r="P1447" s="128">
        <v>39.0</v>
      </c>
      <c r="Q1447" s="128">
        <v>1021.2028494455936</v>
      </c>
      <c r="V1447" s="44" t="s">
        <v>129</v>
      </c>
      <c r="W1447" s="128">
        <v>673.6590372917551</v>
      </c>
      <c r="X1447" s="128">
        <v>12.0</v>
      </c>
      <c r="Y1447" s="128">
        <v>668.0914132851824</v>
      </c>
      <c r="Z1447" s="44" t="s">
        <v>112</v>
      </c>
      <c r="AA1447" s="128">
        <v>930.8334609757942</v>
      </c>
      <c r="AB1447" s="128">
        <v>20.0</v>
      </c>
      <c r="AC1447" s="128">
        <v>926.4408039807228</v>
      </c>
      <c r="AD1447" s="44" t="s">
        <v>119</v>
      </c>
      <c r="AE1447" s="128">
        <v>932.2842203919336</v>
      </c>
      <c r="AF1447" s="128">
        <v>17.0</v>
      </c>
      <c r="AG1447" s="128">
        <v>926.5710385574263</v>
      </c>
      <c r="AH1447" s="44" t="s">
        <v>34</v>
      </c>
      <c r="AI1447" s="128">
        <v>1081.4885871488023</v>
      </c>
      <c r="AJ1447" s="128">
        <v>19.0</v>
      </c>
      <c r="AK1447" s="128">
        <v>1076.1620499849537</v>
      </c>
      <c r="AP1447" s="128">
        <v>18.0</v>
      </c>
      <c r="AQ1447" s="128">
        <v>10.0</v>
      </c>
      <c r="AT1447" s="44">
        <v>1446.0</v>
      </c>
      <c r="AU1447" s="44"/>
      <c r="AW1447" s="93"/>
      <c r="AY1447" s="93"/>
      <c r="AZ1447" s="93"/>
      <c r="BA1447" s="93"/>
      <c r="BB1447" s="155"/>
      <c r="BC1447" s="93"/>
      <c r="BE1447" s="93"/>
      <c r="BG1447" s="93"/>
      <c r="BH1447" s="93"/>
      <c r="BI1447" s="93"/>
      <c r="BJ1447" s="155"/>
      <c r="BK1447" s="93"/>
    </row>
    <row r="1448">
      <c r="A1448" s="166">
        <v>44919.07783609953</v>
      </c>
      <c r="B1448" s="44" t="s">
        <v>61</v>
      </c>
      <c r="C1448" s="128">
        <v>1017.2801633363877</v>
      </c>
      <c r="D1448" s="128">
        <v>19.0</v>
      </c>
      <c r="E1448" s="128">
        <v>1020.2521310842277</v>
      </c>
      <c r="F1448" s="44" t="s">
        <v>54</v>
      </c>
      <c r="G1448" s="128">
        <v>1032.977947792687</v>
      </c>
      <c r="H1448" s="128">
        <v>18.0</v>
      </c>
      <c r="I1448" s="128">
        <v>1035.5467473846036</v>
      </c>
      <c r="J1448" s="44" t="s">
        <v>23</v>
      </c>
      <c r="K1448" s="128">
        <v>1372.5302783633733</v>
      </c>
      <c r="L1448" s="128">
        <v>32.0</v>
      </c>
      <c r="M1448" s="128">
        <v>1379.9895110236168</v>
      </c>
      <c r="N1448" s="44"/>
      <c r="O1448" s="128"/>
      <c r="P1448" s="128"/>
      <c r="Q1448" s="128"/>
      <c r="V1448" s="44" t="s">
        <v>47</v>
      </c>
      <c r="W1448" s="128">
        <v>1036.695871520604</v>
      </c>
      <c r="X1448" s="128">
        <v>18.0</v>
      </c>
      <c r="Y1448" s="128">
        <v>1034.418455120604</v>
      </c>
      <c r="Z1448" s="44" t="s">
        <v>50</v>
      </c>
      <c r="AA1448" s="128">
        <v>1047.5471321057598</v>
      </c>
      <c r="AB1448" s="128">
        <v>7.0</v>
      </c>
      <c r="AC1448" s="128">
        <v>1041.2844624367785</v>
      </c>
      <c r="AD1448" s="44" t="s">
        <v>38</v>
      </c>
      <c r="AE1448" s="128">
        <v>1050.064044011059</v>
      </c>
      <c r="AF1448" s="128">
        <v>12.0</v>
      </c>
      <c r="AG1448" s="128">
        <v>1045.6041300800405</v>
      </c>
      <c r="AH1448" s="44"/>
      <c r="AI1448" s="128"/>
      <c r="AJ1448" s="128"/>
      <c r="AK1448" s="128"/>
      <c r="AP1448" s="128">
        <v>22.0</v>
      </c>
      <c r="AQ1448" s="128">
        <v>6.0</v>
      </c>
      <c r="AT1448" s="44">
        <v>1447.0</v>
      </c>
      <c r="AU1448" s="44"/>
      <c r="AW1448" s="93"/>
      <c r="AY1448" s="93"/>
      <c r="AZ1448" s="93"/>
      <c r="BA1448" s="93"/>
      <c r="BB1448" s="155"/>
      <c r="BC1448" s="93"/>
      <c r="BE1448" s="93"/>
      <c r="BG1448" s="93"/>
      <c r="BH1448" s="93"/>
      <c r="BI1448" s="93"/>
      <c r="BJ1448" s="155"/>
      <c r="BK1448" s="93"/>
    </row>
    <row r="1449">
      <c r="A1449" s="166">
        <v>44919.11375</v>
      </c>
      <c r="B1449" s="44" t="s">
        <v>125</v>
      </c>
      <c r="C1449" s="128">
        <v>870.254600823152</v>
      </c>
      <c r="D1449" s="128">
        <v>10.0</v>
      </c>
      <c r="E1449" s="128">
        <v>863.3808675964191</v>
      </c>
      <c r="F1449" s="44" t="s">
        <v>119</v>
      </c>
      <c r="G1449" s="128">
        <v>926.5710385574263</v>
      </c>
      <c r="H1449" s="128">
        <v>11.0</v>
      </c>
      <c r="I1449" s="128">
        <v>919.7455418750112</v>
      </c>
      <c r="J1449" s="44" t="s">
        <v>61</v>
      </c>
      <c r="K1449" s="128">
        <v>1020.2521310842277</v>
      </c>
      <c r="L1449" s="128">
        <v>21.0</v>
      </c>
      <c r="M1449" s="128">
        <v>1016.6046235884136</v>
      </c>
      <c r="N1449" s="44" t="s">
        <v>50</v>
      </c>
      <c r="O1449" s="128">
        <v>1041.2844624367785</v>
      </c>
      <c r="P1449" s="128">
        <v>22.0</v>
      </c>
      <c r="Q1449" s="128">
        <v>1037.943372616394</v>
      </c>
      <c r="R1449" s="44" t="s">
        <v>23</v>
      </c>
      <c r="S1449" s="128">
        <v>1379.9895110236168</v>
      </c>
      <c r="T1449" s="128">
        <v>31.0</v>
      </c>
      <c r="U1449" s="128">
        <v>1379.6773382489635</v>
      </c>
      <c r="V1449" s="44" t="s">
        <v>40</v>
      </c>
      <c r="W1449" s="128">
        <v>1021.2028494455936</v>
      </c>
      <c r="X1449" s="128">
        <v>24.0</v>
      </c>
      <c r="Y1449" s="128">
        <v>1025.7308740738256</v>
      </c>
      <c r="Z1449" s="44" t="s">
        <v>47</v>
      </c>
      <c r="AA1449" s="128">
        <v>1034.418455120604</v>
      </c>
      <c r="AB1449" s="128">
        <v>19.0</v>
      </c>
      <c r="AC1449" s="128">
        <v>1037.1629906659764</v>
      </c>
      <c r="AD1449" s="44" t="s">
        <v>54</v>
      </c>
      <c r="AE1449" s="128">
        <v>1035.5467473846036</v>
      </c>
      <c r="AF1449" s="128">
        <v>24.0</v>
      </c>
      <c r="AG1449" s="128">
        <v>1040.0386291880482</v>
      </c>
      <c r="AH1449" s="44" t="s">
        <v>38</v>
      </c>
      <c r="AI1449" s="128">
        <v>1045.6041300800405</v>
      </c>
      <c r="AJ1449" s="128">
        <v>22.0</v>
      </c>
      <c r="AK1449" s="128">
        <v>1049.3737314861355</v>
      </c>
      <c r="AL1449" s="44" t="s">
        <v>34</v>
      </c>
      <c r="AM1449" s="128">
        <v>1076.1620499849537</v>
      </c>
      <c r="AN1449" s="128">
        <v>27.0</v>
      </c>
      <c r="AO1449" s="128">
        <v>1081.6280066018098</v>
      </c>
      <c r="AP1449" s="128">
        <v>12.0</v>
      </c>
      <c r="AQ1449" s="128">
        <v>16.0</v>
      </c>
      <c r="AT1449" s="44">
        <v>1448.0</v>
      </c>
      <c r="AU1449" s="44"/>
      <c r="AV1449" s="44" t="s">
        <v>129</v>
      </c>
      <c r="AW1449" s="45">
        <v>668.0914132851824</v>
      </c>
      <c r="AX1449" s="44">
        <v>11.0</v>
      </c>
      <c r="AY1449" s="145">
        <v>662.01</v>
      </c>
      <c r="AZ1449" s="93"/>
      <c r="BA1449" s="93"/>
      <c r="BB1449" s="155"/>
      <c r="BC1449" s="93"/>
      <c r="BD1449" s="44" t="s">
        <v>127</v>
      </c>
      <c r="BE1449" s="89">
        <v>767.7838806861065</v>
      </c>
      <c r="BF1449" s="44">
        <v>6.0</v>
      </c>
      <c r="BG1449" s="145">
        <v>768.0</v>
      </c>
      <c r="BH1449" s="93"/>
      <c r="BI1449" s="93"/>
      <c r="BJ1449" s="155"/>
      <c r="BK1449" s="93"/>
    </row>
    <row r="1450">
      <c r="A1450" s="166">
        <v>44921.95657769676</v>
      </c>
      <c r="B1450" s="44" t="s">
        <v>129</v>
      </c>
      <c r="C1450" s="128">
        <v>662.01</v>
      </c>
      <c r="D1450" s="128">
        <v>18.0</v>
      </c>
      <c r="E1450" s="128">
        <v>686.6969033933711</v>
      </c>
      <c r="F1450" s="44" t="s">
        <v>117</v>
      </c>
      <c r="G1450" s="128">
        <v>908.8858109100039</v>
      </c>
      <c r="H1450" s="128">
        <v>29.0</v>
      </c>
      <c r="I1450" s="128">
        <v>940.1989075166327</v>
      </c>
      <c r="J1450" s="44"/>
      <c r="K1450" s="128"/>
      <c r="L1450" s="128"/>
      <c r="M1450" s="128"/>
      <c r="N1450" s="44"/>
      <c r="O1450" s="128"/>
      <c r="P1450" s="128"/>
      <c r="Q1450" s="128"/>
      <c r="V1450" s="44" t="s">
        <v>127</v>
      </c>
      <c r="W1450" s="128">
        <v>768.0</v>
      </c>
      <c r="X1450" s="128">
        <v>17.0</v>
      </c>
      <c r="Y1450" s="128">
        <v>750.1009013518616</v>
      </c>
      <c r="Z1450" s="44" t="s">
        <v>121</v>
      </c>
      <c r="AA1450" s="128">
        <v>951.0</v>
      </c>
      <c r="AB1450" s="128">
        <v>11.0</v>
      </c>
      <c r="AC1450" s="128">
        <v>912.8990986481384</v>
      </c>
      <c r="AD1450" s="44"/>
      <c r="AE1450" s="128"/>
      <c r="AF1450" s="128"/>
      <c r="AG1450" s="128"/>
      <c r="AH1450" s="44"/>
      <c r="AI1450" s="128"/>
      <c r="AJ1450" s="128"/>
      <c r="AK1450" s="128"/>
      <c r="AP1450" s="128">
        <v>19.0</v>
      </c>
      <c r="AQ1450" s="128">
        <v>8.0</v>
      </c>
      <c r="AT1450" s="44">
        <v>1449.0</v>
      </c>
      <c r="AU1450" s="44"/>
      <c r="AW1450" s="93"/>
      <c r="AY1450" s="93"/>
      <c r="AZ1450" s="93"/>
      <c r="BA1450" s="93"/>
      <c r="BB1450" s="155"/>
      <c r="BC1450" s="93"/>
      <c r="BE1450" s="93"/>
      <c r="BG1450" s="93"/>
      <c r="BH1450" s="93"/>
      <c r="BI1450" s="93"/>
      <c r="BJ1450" s="155"/>
      <c r="BK1450" s="93"/>
    </row>
    <row r="1451">
      <c r="A1451" s="166">
        <v>44922.936914687496</v>
      </c>
      <c r="B1451" s="44" t="s">
        <v>107</v>
      </c>
      <c r="C1451" s="128">
        <v>947.637623392359</v>
      </c>
      <c r="D1451" s="128">
        <v>14.0</v>
      </c>
      <c r="E1451" s="128">
        <v>938.9615315900252</v>
      </c>
      <c r="F1451" s="44" t="s">
        <v>92</v>
      </c>
      <c r="G1451" s="128">
        <v>992.1704264898292</v>
      </c>
      <c r="H1451" s="128">
        <v>20.0</v>
      </c>
      <c r="I1451" s="128">
        <v>986.5909124419633</v>
      </c>
      <c r="J1451" s="44" t="s">
        <v>47</v>
      </c>
      <c r="K1451" s="128">
        <v>1037.1629906659764</v>
      </c>
      <c r="L1451" s="128">
        <v>20.0</v>
      </c>
      <c r="M1451" s="128">
        <v>1031.4185965161762</v>
      </c>
      <c r="N1451" s="44"/>
      <c r="O1451" s="128"/>
      <c r="P1451" s="128"/>
      <c r="Q1451" s="128"/>
      <c r="V1451" s="44" t="s">
        <v>117</v>
      </c>
      <c r="W1451" s="128">
        <v>940.1989075166327</v>
      </c>
      <c r="X1451" s="128">
        <v>8.0</v>
      </c>
      <c r="Y1451" s="128">
        <v>940.8365811339514</v>
      </c>
      <c r="Z1451" s="44" t="s">
        <v>35</v>
      </c>
      <c r="AA1451" s="128">
        <v>1000.0</v>
      </c>
      <c r="AB1451" s="128">
        <v>37.0</v>
      </c>
      <c r="AC1451" s="128">
        <v>1016.4071650012796</v>
      </c>
      <c r="AD1451" s="44" t="s">
        <v>58</v>
      </c>
      <c r="AE1451" s="128">
        <v>1030.301632288929</v>
      </c>
      <c r="AF1451" s="128">
        <v>13.0</v>
      </c>
      <c r="AG1451" s="128">
        <v>1033.2567936703308</v>
      </c>
      <c r="AH1451" s="44"/>
      <c r="AI1451" s="128"/>
      <c r="AJ1451" s="128"/>
      <c r="AK1451" s="128"/>
      <c r="AP1451" s="128">
        <v>12.0</v>
      </c>
      <c r="AQ1451" s="128">
        <v>16.0</v>
      </c>
      <c r="AT1451" s="44">
        <v>1450.0</v>
      </c>
      <c r="AU1451" s="44"/>
      <c r="AW1451" s="93"/>
      <c r="AY1451" s="93"/>
      <c r="AZ1451" s="93"/>
      <c r="BA1451" s="93"/>
      <c r="BB1451" s="155"/>
      <c r="BC1451" s="93"/>
      <c r="BE1451" s="93"/>
      <c r="BG1451" s="93"/>
      <c r="BH1451" s="93"/>
      <c r="BI1451" s="93"/>
      <c r="BJ1451" s="155"/>
      <c r="BK1451" s="93"/>
    </row>
    <row r="1452">
      <c r="A1452" s="166">
        <v>44923.00044310185</v>
      </c>
      <c r="B1452" s="44" t="s">
        <v>35</v>
      </c>
      <c r="C1452" s="128">
        <v>1016.4071650012796</v>
      </c>
      <c r="D1452" s="128">
        <v>25.0</v>
      </c>
      <c r="E1452" s="128">
        <v>1021.5253149235572</v>
      </c>
      <c r="F1452" s="44" t="s">
        <v>47</v>
      </c>
      <c r="G1452" s="128">
        <v>1031.4185965161762</v>
      </c>
      <c r="H1452" s="128">
        <v>16.0</v>
      </c>
      <c r="I1452" s="128">
        <v>1034.011241073098</v>
      </c>
      <c r="J1452" s="44" t="s">
        <v>38</v>
      </c>
      <c r="K1452" s="128">
        <v>1049.3737314861355</v>
      </c>
      <c r="L1452" s="128">
        <v>15.0</v>
      </c>
      <c r="M1452" s="128">
        <v>1051.6629370069363</v>
      </c>
      <c r="N1452" s="44"/>
      <c r="O1452" s="128"/>
      <c r="P1452" s="128"/>
      <c r="Q1452" s="128"/>
      <c r="V1452" s="44" t="s">
        <v>112</v>
      </c>
      <c r="W1452" s="128">
        <v>926.4408039807228</v>
      </c>
      <c r="X1452" s="128">
        <v>22.0</v>
      </c>
      <c r="Y1452" s="128">
        <v>924.2186865288173</v>
      </c>
      <c r="Z1452" s="44" t="s">
        <v>92</v>
      </c>
      <c r="AA1452" s="128">
        <v>986.5909124419633</v>
      </c>
      <c r="AB1452" s="128">
        <v>14.0</v>
      </c>
      <c r="AC1452" s="128">
        <v>981.965127907253</v>
      </c>
      <c r="AD1452" s="44" t="s">
        <v>27</v>
      </c>
      <c r="AE1452" s="128">
        <v>1183.1675629396861</v>
      </c>
      <c r="AF1452" s="128">
        <v>20.0</v>
      </c>
      <c r="AG1452" s="128">
        <v>1180.015464926302</v>
      </c>
      <c r="AH1452" s="44"/>
      <c r="AI1452" s="128"/>
      <c r="AJ1452" s="128"/>
      <c r="AK1452" s="128"/>
      <c r="AP1452" s="128">
        <v>15.0</v>
      </c>
      <c r="AQ1452" s="128">
        <v>13.0</v>
      </c>
      <c r="AS1452" s="44" t="s">
        <v>295</v>
      </c>
      <c r="AT1452" s="44">
        <v>1451.0</v>
      </c>
      <c r="AU1452" s="44"/>
      <c r="AW1452" s="93"/>
      <c r="AY1452" s="93"/>
      <c r="AZ1452" s="93"/>
      <c r="BA1452" s="93"/>
      <c r="BB1452" s="155"/>
      <c r="BC1452" s="93"/>
      <c r="BE1452" s="93"/>
      <c r="BG1452" s="93"/>
      <c r="BH1452" s="93"/>
      <c r="BI1452" s="93"/>
      <c r="BJ1452" s="155"/>
      <c r="BK1452" s="93"/>
    </row>
    <row r="1453">
      <c r="A1453" s="166">
        <v>44923.039247673616</v>
      </c>
      <c r="B1453" s="44" t="s">
        <v>88</v>
      </c>
      <c r="C1453" s="128">
        <v>969.1128614441603</v>
      </c>
      <c r="D1453" s="128">
        <v>21.0</v>
      </c>
      <c r="E1453" s="128">
        <v>979.6083406638498</v>
      </c>
      <c r="F1453" s="44" t="s">
        <v>35</v>
      </c>
      <c r="G1453" s="128">
        <v>1021.5253149235572</v>
      </c>
      <c r="H1453" s="128">
        <v>25.0</v>
      </c>
      <c r="I1453" s="128">
        <v>1034.895242766688</v>
      </c>
      <c r="J1453" s="44" t="s">
        <v>50</v>
      </c>
      <c r="K1453" s="128">
        <v>1037.943372616394</v>
      </c>
      <c r="L1453" s="128">
        <v>13.0</v>
      </c>
      <c r="M1453" s="128">
        <v>1041.478317916274</v>
      </c>
      <c r="N1453" s="44" t="s">
        <v>38</v>
      </c>
      <c r="O1453" s="128">
        <v>1051.6629370069363</v>
      </c>
      <c r="P1453" s="128">
        <v>23.0</v>
      </c>
      <c r="Q1453" s="128">
        <v>1063.262584644236</v>
      </c>
      <c r="V1453" s="44" t="s">
        <v>112</v>
      </c>
      <c r="W1453" s="128">
        <v>924.2186865288173</v>
      </c>
      <c r="X1453" s="128">
        <v>16.0</v>
      </c>
      <c r="Y1453" s="128">
        <v>914.5427594126052</v>
      </c>
      <c r="Z1453" s="44" t="s">
        <v>92</v>
      </c>
      <c r="AA1453" s="128">
        <v>981.965127907253</v>
      </c>
      <c r="AB1453" s="128">
        <v>16.0</v>
      </c>
      <c r="AC1453" s="128">
        <v>971.8270472016803</v>
      </c>
      <c r="AD1453" s="44" t="s">
        <v>115</v>
      </c>
      <c r="AE1453" s="128">
        <v>982.9670115262315</v>
      </c>
      <c r="AF1453" s="128">
        <v>9.0</v>
      </c>
      <c r="AG1453" s="128">
        <v>967.1349485146575</v>
      </c>
      <c r="AH1453" s="44" t="s">
        <v>27</v>
      </c>
      <c r="AI1453" s="128">
        <v>1180.015464926302</v>
      </c>
      <c r="AJ1453" s="128">
        <v>25.0</v>
      </c>
      <c r="AK1453" s="128">
        <v>1176.6615357596609</v>
      </c>
      <c r="AP1453" s="128">
        <v>19.0</v>
      </c>
      <c r="AQ1453" s="128">
        <v>9.0</v>
      </c>
      <c r="AS1453" s="44" t="s">
        <v>433</v>
      </c>
      <c r="AT1453" s="44">
        <v>1452.0</v>
      </c>
      <c r="AU1453" s="44"/>
      <c r="AW1453" s="93"/>
      <c r="AY1453" s="93"/>
      <c r="AZ1453" s="93"/>
      <c r="BA1453" s="93"/>
      <c r="BB1453" s="155"/>
      <c r="BC1453" s="93"/>
      <c r="BE1453" s="93"/>
      <c r="BG1453" s="93"/>
      <c r="BH1453" s="93"/>
      <c r="BI1453" s="93"/>
      <c r="BJ1453" s="155"/>
      <c r="BK1453" s="93"/>
    </row>
    <row r="1454">
      <c r="A1454" s="166">
        <v>44923.070770289356</v>
      </c>
      <c r="B1454" s="44" t="s">
        <v>88</v>
      </c>
      <c r="C1454" s="128">
        <v>979.6083406638498</v>
      </c>
      <c r="D1454" s="128">
        <v>12.0</v>
      </c>
      <c r="E1454" s="128">
        <v>981.0322042367685</v>
      </c>
      <c r="F1454" s="44" t="s">
        <v>40</v>
      </c>
      <c r="G1454" s="128">
        <v>1025.7308740738256</v>
      </c>
      <c r="H1454" s="128">
        <v>30.0</v>
      </c>
      <c r="I1454" s="128">
        <v>1031.568558749939</v>
      </c>
      <c r="J1454" s="44" t="s">
        <v>27</v>
      </c>
      <c r="K1454" s="128">
        <v>1176.6615357596609</v>
      </c>
      <c r="L1454" s="128">
        <v>14.0</v>
      </c>
      <c r="M1454" s="128">
        <v>1178.3999875106288</v>
      </c>
      <c r="N1454" s="44"/>
      <c r="O1454" s="128"/>
      <c r="P1454" s="128"/>
      <c r="Q1454" s="128"/>
      <c r="V1454" s="44" t="s">
        <v>35</v>
      </c>
      <c r="W1454" s="128">
        <v>1034.895242766688</v>
      </c>
      <c r="X1454" s="128">
        <v>26.0</v>
      </c>
      <c r="Y1454" s="128">
        <v>1033.908606925958</v>
      </c>
      <c r="Z1454" s="44" t="s">
        <v>50</v>
      </c>
      <c r="AA1454" s="128">
        <v>1041.478317916274</v>
      </c>
      <c r="AB1454" s="128">
        <v>17.0</v>
      </c>
      <c r="AC1454" s="128">
        <v>1038.2333668435579</v>
      </c>
      <c r="AD1454" s="44" t="s">
        <v>38</v>
      </c>
      <c r="AE1454" s="128">
        <v>1063.262584644236</v>
      </c>
      <c r="AF1454" s="128">
        <v>11.0</v>
      </c>
      <c r="AG1454" s="128">
        <v>1058.494171557682</v>
      </c>
      <c r="AH1454" s="44"/>
      <c r="AI1454" s="128"/>
      <c r="AJ1454" s="128"/>
      <c r="AK1454" s="128"/>
      <c r="AP1454" s="128">
        <v>15.0</v>
      </c>
      <c r="AQ1454" s="128">
        <v>13.0</v>
      </c>
      <c r="AT1454" s="44">
        <v>1453.0</v>
      </c>
      <c r="AU1454" s="44"/>
      <c r="AW1454" s="93"/>
      <c r="AY1454" s="93"/>
      <c r="AZ1454" s="93"/>
      <c r="BA1454" s="93"/>
      <c r="BB1454" s="155"/>
      <c r="BC1454" s="93"/>
      <c r="BE1454" s="93"/>
      <c r="BG1454" s="93"/>
      <c r="BH1454" s="93"/>
      <c r="BI1454" s="93"/>
      <c r="BJ1454" s="155"/>
      <c r="BK1454" s="93"/>
    </row>
    <row r="1455">
      <c r="A1455" s="166">
        <v>44923.94562179398</v>
      </c>
      <c r="B1455" s="44" t="s">
        <v>92</v>
      </c>
      <c r="C1455" s="128">
        <v>971.8270472016803</v>
      </c>
      <c r="D1455" s="128">
        <v>21.0</v>
      </c>
      <c r="E1455" s="128">
        <v>973.5615842688281</v>
      </c>
      <c r="F1455" s="44" t="s">
        <v>88</v>
      </c>
      <c r="G1455" s="128">
        <v>981.0322042367685</v>
      </c>
      <c r="H1455" s="128">
        <v>13.0</v>
      </c>
      <c r="I1455" s="128">
        <v>981.6873853367209</v>
      </c>
      <c r="J1455" s="44" t="s">
        <v>58</v>
      </c>
      <c r="K1455" s="128">
        <v>1033.2567936703308</v>
      </c>
      <c r="L1455" s="128">
        <v>14.0</v>
      </c>
      <c r="M1455" s="128">
        <v>1033.9895288831074</v>
      </c>
      <c r="N1455" s="44" t="s">
        <v>35</v>
      </c>
      <c r="O1455" s="128">
        <v>1033.908606925958</v>
      </c>
      <c r="P1455" s="128">
        <v>30.0</v>
      </c>
      <c r="Q1455" s="128">
        <v>1036.7741425220465</v>
      </c>
      <c r="R1455" s="44" t="s">
        <v>23</v>
      </c>
      <c r="S1455" s="128">
        <v>1379.6773382489635</v>
      </c>
      <c r="T1455" s="128">
        <v>24.0</v>
      </c>
      <c r="U1455" s="128">
        <v>1381.689349272998</v>
      </c>
      <c r="V1455" s="44" t="s">
        <v>78</v>
      </c>
      <c r="W1455" s="128">
        <v>998.5799556539263</v>
      </c>
      <c r="X1455" s="128">
        <v>6.0</v>
      </c>
      <c r="Y1455" s="128">
        <v>995.1824373839869</v>
      </c>
      <c r="Z1455" s="44" t="s">
        <v>47</v>
      </c>
      <c r="AA1455" s="128">
        <v>1034.011241073098</v>
      </c>
      <c r="AB1455" s="128">
        <v>21.0</v>
      </c>
      <c r="AC1455" s="128">
        <v>1032.5803852036095</v>
      </c>
      <c r="AD1455" s="44" t="s">
        <v>50</v>
      </c>
      <c r="AE1455" s="128">
        <v>1038.2333668435579</v>
      </c>
      <c r="AF1455" s="128">
        <v>11.0</v>
      </c>
      <c r="AG1455" s="128">
        <v>1035.4659466725238</v>
      </c>
      <c r="AH1455" s="44" t="s">
        <v>31</v>
      </c>
      <c r="AI1455" s="128">
        <v>1077.814983026999</v>
      </c>
      <c r="AJ1455" s="128">
        <v>32.0</v>
      </c>
      <c r="AK1455" s="128">
        <v>1077.804983026999</v>
      </c>
      <c r="AL1455" s="44" t="s">
        <v>27</v>
      </c>
      <c r="AM1455" s="128">
        <v>1178.3999875106288</v>
      </c>
      <c r="AN1455" s="128">
        <v>29.0</v>
      </c>
      <c r="AO1455" s="128">
        <v>1177.9867654544248</v>
      </c>
      <c r="AP1455" s="128">
        <v>15.0</v>
      </c>
      <c r="AQ1455" s="128">
        <v>13.0</v>
      </c>
      <c r="AT1455" s="44">
        <v>1454.0</v>
      </c>
      <c r="AU1455" s="44"/>
      <c r="AV1455" s="44" t="s">
        <v>117</v>
      </c>
      <c r="AW1455" s="145">
        <v>940.84</v>
      </c>
      <c r="AX1455" s="44">
        <v>11.0</v>
      </c>
      <c r="AY1455" s="145">
        <v>941.27</v>
      </c>
      <c r="AZ1455" s="93"/>
      <c r="BA1455" s="93"/>
      <c r="BB1455" s="155"/>
      <c r="BC1455" s="93"/>
      <c r="BD1455" s="44" t="s">
        <v>105</v>
      </c>
      <c r="BE1455" s="145">
        <v>965.36</v>
      </c>
      <c r="BF1455" s="44">
        <v>14.0</v>
      </c>
      <c r="BG1455" s="145">
        <v>963.36</v>
      </c>
      <c r="BH1455" s="93"/>
      <c r="BI1455" s="93"/>
      <c r="BJ1455" s="155"/>
      <c r="BK1455" s="93"/>
    </row>
    <row r="1456">
      <c r="A1456" s="166">
        <v>44923.98742740741</v>
      </c>
      <c r="B1456" s="44" t="s">
        <v>112</v>
      </c>
      <c r="C1456" s="128">
        <v>914.5427594126052</v>
      </c>
      <c r="D1456" s="128">
        <v>25.0</v>
      </c>
      <c r="E1456" s="128">
        <v>919.3451715569511</v>
      </c>
      <c r="F1456" s="44" t="s">
        <v>119</v>
      </c>
      <c r="G1456" s="128">
        <v>919.7455418750112</v>
      </c>
      <c r="H1456" s="128">
        <v>19.0</v>
      </c>
      <c r="I1456" s="128">
        <v>922.7735277693776</v>
      </c>
      <c r="J1456" s="44" t="s">
        <v>107</v>
      </c>
      <c r="K1456" s="128">
        <v>938.9615315900252</v>
      </c>
      <c r="L1456" s="128">
        <v>25.0</v>
      </c>
      <c r="M1456" s="128">
        <v>943.6552459109814</v>
      </c>
      <c r="N1456" s="44" t="s">
        <v>117</v>
      </c>
      <c r="O1456" s="128">
        <v>941.27</v>
      </c>
      <c r="P1456" s="128">
        <v>14.0</v>
      </c>
      <c r="Q1456" s="128">
        <v>942.7458876403316</v>
      </c>
      <c r="V1456" s="44" t="s">
        <v>129</v>
      </c>
      <c r="W1456" s="128">
        <v>686.6969033933711</v>
      </c>
      <c r="X1456" s="128">
        <v>13.0</v>
      </c>
      <c r="Y1456" s="128">
        <v>683.068512016268</v>
      </c>
      <c r="Z1456" s="44" t="s">
        <v>105</v>
      </c>
      <c r="AA1456" s="128">
        <v>962.36</v>
      </c>
      <c r="AB1456" s="128">
        <v>21.0</v>
      </c>
      <c r="AC1456" s="128">
        <v>959.4195589802789</v>
      </c>
      <c r="AD1456" s="44" t="s">
        <v>92</v>
      </c>
      <c r="AE1456" s="128">
        <v>973.5615842688281</v>
      </c>
      <c r="AF1456" s="128">
        <v>21.0</v>
      </c>
      <c r="AG1456" s="128">
        <v>970.586765947446</v>
      </c>
      <c r="AH1456" s="44" t="s">
        <v>88</v>
      </c>
      <c r="AI1456" s="128">
        <v>981.6873853367209</v>
      </c>
      <c r="AJ1456" s="128">
        <v>16.0</v>
      </c>
      <c r="AK1456" s="128">
        <v>977.2310360549274</v>
      </c>
      <c r="AP1456" s="128">
        <v>17.0</v>
      </c>
      <c r="AQ1456" s="128">
        <v>11.0</v>
      </c>
      <c r="AT1456" s="44">
        <v>1455.0</v>
      </c>
      <c r="AU1456" s="44"/>
      <c r="AW1456" s="93"/>
      <c r="AY1456" s="93"/>
      <c r="AZ1456" s="93"/>
      <c r="BA1456" s="93"/>
      <c r="BB1456" s="155"/>
      <c r="BC1456" s="93"/>
      <c r="BE1456" s="93"/>
      <c r="BG1456" s="93"/>
      <c r="BH1456" s="93"/>
      <c r="BI1456" s="93"/>
      <c r="BJ1456" s="155"/>
      <c r="BK1456" s="93"/>
    </row>
    <row r="1457">
      <c r="A1457" s="166">
        <v>44923.988543750005</v>
      </c>
      <c r="B1457" s="44" t="s">
        <v>47</v>
      </c>
      <c r="C1457" s="128">
        <v>1032.5803852036095</v>
      </c>
      <c r="D1457" s="128">
        <v>10.0</v>
      </c>
      <c r="E1457" s="128">
        <v>1016.291119930728</v>
      </c>
      <c r="F1457" s="44" t="s">
        <v>58</v>
      </c>
      <c r="G1457" s="128">
        <v>1033.9895288831074</v>
      </c>
      <c r="H1457" s="128">
        <v>23.0</v>
      </c>
      <c r="I1457" s="128">
        <v>1028.5274275485538</v>
      </c>
      <c r="J1457" s="44" t="s">
        <v>23</v>
      </c>
      <c r="K1457" s="128">
        <v>1381.689349272998</v>
      </c>
      <c r="L1457" s="128">
        <v>20.0</v>
      </c>
      <c r="M1457" s="128">
        <v>1373.4407158804331</v>
      </c>
      <c r="N1457" s="44"/>
      <c r="O1457" s="128"/>
      <c r="P1457" s="128"/>
      <c r="Q1457" s="128"/>
      <c r="V1457" s="44" t="s">
        <v>50</v>
      </c>
      <c r="W1457" s="128">
        <v>1035.4659466725238</v>
      </c>
      <c r="X1457" s="128">
        <v>19.0</v>
      </c>
      <c r="Y1457" s="128">
        <v>1043.9070566543544</v>
      </c>
      <c r="Z1457" s="44" t="s">
        <v>35</v>
      </c>
      <c r="AA1457" s="128">
        <v>1036.7741425220465</v>
      </c>
      <c r="AB1457" s="128">
        <v>21.0</v>
      </c>
      <c r="AC1457" s="128">
        <v>1046.8753182683056</v>
      </c>
      <c r="AD1457" s="44" t="s">
        <v>27</v>
      </c>
      <c r="AE1457" s="128">
        <v>1177.9867654544248</v>
      </c>
      <c r="AF1457" s="128">
        <v>23.0</v>
      </c>
      <c r="AG1457" s="128">
        <v>1189.4444797263352</v>
      </c>
      <c r="AH1457" s="44"/>
      <c r="AI1457" s="128"/>
      <c r="AJ1457" s="128"/>
      <c r="AK1457" s="128"/>
      <c r="AP1457" s="128">
        <v>12.0</v>
      </c>
      <c r="AQ1457" s="128">
        <v>16.0</v>
      </c>
      <c r="AT1457" s="44">
        <v>1456.0</v>
      </c>
      <c r="AU1457" s="44"/>
      <c r="AW1457" s="93"/>
      <c r="BB1457" s="155"/>
      <c r="BC1457" s="93"/>
      <c r="BE1457" s="93"/>
      <c r="BG1457" s="93"/>
      <c r="BH1457" s="93"/>
      <c r="BI1457" s="93"/>
      <c r="BJ1457" s="155"/>
      <c r="BK1457" s="93"/>
    </row>
    <row r="1458">
      <c r="A1458" s="166">
        <v>44924.07327576389</v>
      </c>
      <c r="B1458" s="44" t="s">
        <v>107</v>
      </c>
      <c r="C1458" s="128">
        <v>943.6552459109814</v>
      </c>
      <c r="D1458" s="128">
        <v>48.0</v>
      </c>
      <c r="E1458" s="128">
        <v>941.6892976681083</v>
      </c>
      <c r="F1458" s="44" t="s">
        <v>105</v>
      </c>
      <c r="G1458" s="128">
        <v>959.4195589802789</v>
      </c>
      <c r="H1458" s="128">
        <v>47.0</v>
      </c>
      <c r="I1458" s="128">
        <v>956.9819423147321</v>
      </c>
      <c r="J1458" s="44" t="s">
        <v>92</v>
      </c>
      <c r="K1458" s="128">
        <v>970.586765947446</v>
      </c>
      <c r="L1458" s="128">
        <v>41.0</v>
      </c>
      <c r="M1458" s="128">
        <v>966.0598358876152</v>
      </c>
      <c r="N1458" s="44" t="s">
        <v>58</v>
      </c>
      <c r="O1458" s="128">
        <v>1028.5274275485538</v>
      </c>
      <c r="P1458" s="128">
        <v>34.0</v>
      </c>
      <c r="Q1458" s="128">
        <v>1021.3139508000563</v>
      </c>
      <c r="R1458" s="44" t="s">
        <v>23</v>
      </c>
      <c r="S1458" s="128">
        <v>1373.4407158804331</v>
      </c>
      <c r="T1458" s="128">
        <v>45.0</v>
      </c>
      <c r="U1458" s="128">
        <v>1369.5846875971813</v>
      </c>
      <c r="V1458" s="44" t="s">
        <v>88</v>
      </c>
      <c r="W1458" s="128">
        <v>977.2310360549274</v>
      </c>
      <c r="X1458" s="128">
        <v>33.0</v>
      </c>
      <c r="Y1458" s="128">
        <v>977.2410360549273</v>
      </c>
      <c r="Z1458" s="44" t="s">
        <v>47</v>
      </c>
      <c r="AA1458" s="128">
        <v>1016.291119930728</v>
      </c>
      <c r="AB1458" s="128">
        <v>68.0</v>
      </c>
      <c r="AC1458" s="128">
        <v>1025.117459035529</v>
      </c>
      <c r="AD1458" s="44" t="s">
        <v>50</v>
      </c>
      <c r="AE1458" s="128">
        <v>1043.9070566543544</v>
      </c>
      <c r="AF1458" s="128">
        <v>42.0</v>
      </c>
      <c r="AG1458" s="128">
        <v>1043.9126762559497</v>
      </c>
      <c r="AH1458" s="44" t="s">
        <v>35</v>
      </c>
      <c r="AI1458" s="128">
        <v>1046.8753182683056</v>
      </c>
      <c r="AJ1458" s="128">
        <v>76.0</v>
      </c>
      <c r="AK1458" s="128">
        <v>1058.2003125771562</v>
      </c>
      <c r="AL1458" s="44" t="s">
        <v>27</v>
      </c>
      <c r="AM1458" s="128">
        <v>1189.4444797263352</v>
      </c>
      <c r="AN1458" s="128">
        <v>50.0</v>
      </c>
      <c r="AO1458" s="128">
        <v>1191.8279735456513</v>
      </c>
      <c r="AP1458" s="128">
        <v>24.0</v>
      </c>
      <c r="AQ1458" s="128">
        <v>32.0</v>
      </c>
      <c r="AT1458" s="44">
        <v>1457.0</v>
      </c>
      <c r="AU1458" s="44"/>
      <c r="AV1458" s="44" t="s">
        <v>112</v>
      </c>
      <c r="AW1458" s="12">
        <v>919.3451715569511</v>
      </c>
      <c r="AX1458" s="44">
        <v>46.0</v>
      </c>
      <c r="AY1458" s="145">
        <v>915.5</v>
      </c>
      <c r="AZ1458" s="145" t="s">
        <v>119</v>
      </c>
      <c r="BA1458" s="12">
        <v>922.7735277693776</v>
      </c>
      <c r="BB1458" s="146" t="s">
        <v>634</v>
      </c>
      <c r="BC1458" s="145">
        <v>915.99</v>
      </c>
      <c r="BD1458" s="68" t="s">
        <v>127</v>
      </c>
      <c r="BE1458" s="89">
        <v>750.1009013518616</v>
      </c>
      <c r="BF1458" s="170">
        <v>18.0</v>
      </c>
      <c r="BG1458" s="89">
        <v>750.11</v>
      </c>
      <c r="BH1458" s="44" t="s">
        <v>129</v>
      </c>
      <c r="BI1458" s="45">
        <v>683.068512016268</v>
      </c>
      <c r="BJ1458" s="171" t="s">
        <v>633</v>
      </c>
      <c r="BK1458" s="45">
        <v>683.08</v>
      </c>
    </row>
    <row r="1459">
      <c r="A1459" s="166">
        <v>44924.56382728009</v>
      </c>
      <c r="B1459" s="44" t="s">
        <v>123</v>
      </c>
      <c r="C1459" s="128">
        <v>899.6146179320796</v>
      </c>
      <c r="D1459" s="128">
        <v>10.0</v>
      </c>
      <c r="E1459" s="128">
        <v>889.8154538356736</v>
      </c>
      <c r="F1459" s="44" t="s">
        <v>117</v>
      </c>
      <c r="G1459" s="128">
        <v>942.7458876403316</v>
      </c>
      <c r="H1459" s="128">
        <v>14.0</v>
      </c>
      <c r="I1459" s="128">
        <v>934.8761894593905</v>
      </c>
      <c r="J1459" s="44" t="s">
        <v>27</v>
      </c>
      <c r="K1459" s="128">
        <v>1191.8279735456513</v>
      </c>
      <c r="L1459" s="128">
        <v>25.0</v>
      </c>
      <c r="M1459" s="128">
        <v>1189.4968358229983</v>
      </c>
      <c r="N1459" s="44"/>
      <c r="O1459" s="128"/>
      <c r="P1459" s="128"/>
      <c r="Q1459" s="128"/>
      <c r="V1459" s="44" t="s">
        <v>112</v>
      </c>
      <c r="W1459" s="128">
        <v>915.5</v>
      </c>
      <c r="X1459" s="128">
        <v>16.0</v>
      </c>
      <c r="Y1459" s="128">
        <v>920.8044984014307</v>
      </c>
      <c r="Z1459" s="44" t="s">
        <v>54</v>
      </c>
      <c r="AA1459" s="128">
        <v>1040.0386291880482</v>
      </c>
      <c r="AB1459" s="128">
        <v>20.0</v>
      </c>
      <c r="AC1459" s="128">
        <v>1046.8804576546381</v>
      </c>
      <c r="AD1459" s="44" t="s">
        <v>34</v>
      </c>
      <c r="AE1459" s="128">
        <v>1081.6280066018098</v>
      </c>
      <c r="AF1459" s="128">
        <v>22.0</v>
      </c>
      <c r="AG1459" s="128">
        <v>1089.4816797337892</v>
      </c>
      <c r="AH1459" s="44"/>
      <c r="AI1459" s="128"/>
      <c r="AJ1459" s="128"/>
      <c r="AK1459" s="128"/>
      <c r="AP1459" s="128">
        <v>12.0</v>
      </c>
      <c r="AQ1459" s="128">
        <v>16.0</v>
      </c>
      <c r="AS1459" s="44" t="s">
        <v>229</v>
      </c>
      <c r="AT1459" s="44">
        <v>1458.0</v>
      </c>
      <c r="AU1459" s="44"/>
      <c r="AW1459" s="93"/>
      <c r="AY1459" s="93"/>
      <c r="AZ1459" s="93"/>
      <c r="BA1459" s="93"/>
      <c r="BB1459" s="155"/>
      <c r="BC1459" s="93"/>
      <c r="BE1459" s="93"/>
      <c r="BG1459" s="93"/>
      <c r="BH1459" s="93"/>
      <c r="BI1459" s="93"/>
      <c r="BJ1459" s="155"/>
      <c r="BK1459" s="93"/>
    </row>
    <row r="1460">
      <c r="A1460" s="166">
        <v>44924.60555503472</v>
      </c>
      <c r="B1460" s="44" t="s">
        <v>123</v>
      </c>
      <c r="C1460" s="128">
        <v>889.8154538356736</v>
      </c>
      <c r="D1460" s="128">
        <v>4.0</v>
      </c>
      <c r="E1460" s="128">
        <v>889.8254538356736</v>
      </c>
      <c r="F1460" s="44" t="s">
        <v>54</v>
      </c>
      <c r="G1460" s="128">
        <v>1046.8804576546381</v>
      </c>
      <c r="H1460" s="128">
        <v>22.0</v>
      </c>
      <c r="I1460" s="128">
        <v>1047.2450665623815</v>
      </c>
      <c r="J1460" s="44" t="s">
        <v>31</v>
      </c>
      <c r="K1460" s="128">
        <v>1077.804983026999</v>
      </c>
      <c r="L1460" s="128">
        <v>35.0</v>
      </c>
      <c r="M1460" s="128">
        <v>1078.526884694869</v>
      </c>
      <c r="N1460" s="44"/>
      <c r="O1460" s="128"/>
      <c r="P1460" s="128"/>
      <c r="Q1460" s="128"/>
      <c r="V1460" s="44" t="s">
        <v>112</v>
      </c>
      <c r="W1460" s="128">
        <v>920.8044984014307</v>
      </c>
      <c r="X1460" s="128">
        <v>23.0</v>
      </c>
      <c r="Y1460" s="128">
        <v>920.5887626262366</v>
      </c>
      <c r="Z1460" s="44" t="s">
        <v>117</v>
      </c>
      <c r="AA1460" s="128">
        <v>934.8761894593905</v>
      </c>
      <c r="AB1460" s="128">
        <v>14.0</v>
      </c>
      <c r="AC1460" s="128">
        <v>934.4050630576411</v>
      </c>
      <c r="AD1460" s="44" t="s">
        <v>27</v>
      </c>
      <c r="AE1460" s="128">
        <v>1189.4968358229983</v>
      </c>
      <c r="AF1460" s="128">
        <v>21.0</v>
      </c>
      <c r="AG1460" s="128">
        <v>1189.1836979999416</v>
      </c>
      <c r="AH1460" s="44"/>
      <c r="AI1460" s="128"/>
      <c r="AJ1460" s="128"/>
      <c r="AK1460" s="128"/>
      <c r="AP1460" s="128">
        <v>14.0</v>
      </c>
      <c r="AQ1460" s="128">
        <v>14.0</v>
      </c>
      <c r="AS1460" s="44" t="s">
        <v>635</v>
      </c>
      <c r="AT1460" s="44">
        <v>1459.0</v>
      </c>
      <c r="AU1460" s="44"/>
      <c r="AW1460" s="93"/>
      <c r="AY1460" s="93"/>
      <c r="AZ1460" s="93"/>
      <c r="BA1460" s="93"/>
      <c r="BB1460" s="155"/>
      <c r="BC1460" s="93"/>
      <c r="BE1460" s="93"/>
      <c r="BG1460" s="93"/>
      <c r="BH1460" s="93"/>
      <c r="BI1460" s="93"/>
      <c r="BJ1460" s="155"/>
      <c r="BK1460" s="93"/>
    </row>
    <row r="1461">
      <c r="A1461" s="166">
        <v>44924.67378113426</v>
      </c>
      <c r="B1461" s="44" t="s">
        <v>125</v>
      </c>
      <c r="C1461" s="128">
        <v>863.3808675964191</v>
      </c>
      <c r="D1461" s="128">
        <v>17.0</v>
      </c>
      <c r="E1461" s="128">
        <v>872.3448598909691</v>
      </c>
      <c r="F1461" s="44" t="s">
        <v>123</v>
      </c>
      <c r="G1461" s="128">
        <v>889.8254538356736</v>
      </c>
      <c r="H1461" s="128">
        <v>10.0</v>
      </c>
      <c r="I1461" s="128">
        <v>889.8354538356735</v>
      </c>
      <c r="J1461" s="44" t="s">
        <v>31</v>
      </c>
      <c r="K1461" s="128">
        <v>1078.526884694869</v>
      </c>
      <c r="L1461" s="128">
        <v>42.0</v>
      </c>
      <c r="M1461" s="128">
        <v>1115.1020373012514</v>
      </c>
      <c r="N1461" s="44"/>
      <c r="O1461" s="128"/>
      <c r="P1461" s="128"/>
      <c r="Q1461" s="128"/>
      <c r="V1461" s="44" t="s">
        <v>117</v>
      </c>
      <c r="W1461" s="128">
        <v>934.4050630576411</v>
      </c>
      <c r="X1461" s="128">
        <v>9.0</v>
      </c>
      <c r="Y1461" s="128">
        <v>914.2327274768174</v>
      </c>
      <c r="Z1461" s="44" t="s">
        <v>115</v>
      </c>
      <c r="AA1461" s="128">
        <v>967.1349485146575</v>
      </c>
      <c r="AB1461" s="128">
        <v>11.0</v>
      </c>
      <c r="AC1461" s="128">
        <v>949.1097320076283</v>
      </c>
      <c r="AD1461" s="44" t="s">
        <v>102</v>
      </c>
      <c r="AE1461" s="128">
        <v>970.0</v>
      </c>
      <c r="AF1461" s="128">
        <v>20.0</v>
      </c>
      <c r="AG1461" s="128">
        <v>963.1975520878528</v>
      </c>
      <c r="AH1461" s="44"/>
      <c r="AI1461" s="128"/>
      <c r="AJ1461" s="128"/>
      <c r="AK1461" s="128"/>
      <c r="AP1461" s="128">
        <v>20.0</v>
      </c>
      <c r="AQ1461" s="128">
        <v>8.0</v>
      </c>
      <c r="AS1461" s="44" t="s">
        <v>232</v>
      </c>
      <c r="AT1461" s="44">
        <v>1460.0</v>
      </c>
      <c r="AU1461" s="44"/>
      <c r="AW1461" s="93"/>
      <c r="AY1461" s="93"/>
      <c r="AZ1461" s="93"/>
      <c r="BA1461" s="93"/>
      <c r="BB1461" s="155"/>
      <c r="BC1461" s="93"/>
      <c r="BE1461" s="93"/>
      <c r="BG1461" s="93"/>
      <c r="BH1461" s="93"/>
      <c r="BI1461" s="93"/>
      <c r="BJ1461" s="155"/>
      <c r="BK1461" s="93"/>
    </row>
    <row r="1462">
      <c r="A1462" s="166">
        <v>44924.710003252316</v>
      </c>
      <c r="B1462" s="44" t="s">
        <v>125</v>
      </c>
      <c r="C1462" s="128">
        <v>872.3448598909691</v>
      </c>
      <c r="D1462" s="128">
        <v>13.0</v>
      </c>
      <c r="E1462" s="128">
        <v>879.6223675978465</v>
      </c>
      <c r="F1462" s="44" t="s">
        <v>117</v>
      </c>
      <c r="G1462" s="128">
        <v>914.2327274768174</v>
      </c>
      <c r="H1462" s="128">
        <v>27.0</v>
      </c>
      <c r="I1462" s="128">
        <v>938.4648106374276</v>
      </c>
      <c r="J1462" s="44" t="s">
        <v>31</v>
      </c>
      <c r="K1462" s="128">
        <v>1115.1020373012514</v>
      </c>
      <c r="L1462" s="128">
        <v>21.0</v>
      </c>
      <c r="M1462" s="128">
        <v>1129.5924464337638</v>
      </c>
      <c r="N1462" s="44"/>
      <c r="O1462" s="128"/>
      <c r="P1462" s="128"/>
      <c r="Q1462" s="128"/>
      <c r="V1462" s="44" t="s">
        <v>115</v>
      </c>
      <c r="W1462" s="128">
        <v>949.1097320076283</v>
      </c>
      <c r="X1462" s="128">
        <v>4.0</v>
      </c>
      <c r="Y1462" s="128">
        <v>924.6452789962536</v>
      </c>
      <c r="Z1462" s="44" t="s">
        <v>102</v>
      </c>
      <c r="AA1462" s="128">
        <v>963.1975520878528</v>
      </c>
      <c r="AB1462" s="128">
        <v>14.0</v>
      </c>
      <c r="AC1462" s="128">
        <v>951.3911134641772</v>
      </c>
      <c r="AD1462" s="44" t="s">
        <v>50</v>
      </c>
      <c r="AE1462" s="128">
        <v>1043.9126762559497</v>
      </c>
      <c r="AF1462" s="128">
        <v>16.0</v>
      </c>
      <c r="AG1462" s="128">
        <v>1034.183567891</v>
      </c>
      <c r="AH1462" s="44"/>
      <c r="AI1462" s="128"/>
      <c r="AJ1462" s="128"/>
      <c r="AK1462" s="128"/>
      <c r="AP1462" s="128">
        <v>19.0</v>
      </c>
      <c r="AQ1462" s="128">
        <v>9.0</v>
      </c>
      <c r="AT1462" s="44">
        <v>1461.0</v>
      </c>
      <c r="AU1462" s="44"/>
      <c r="AW1462" s="93"/>
      <c r="AY1462" s="93"/>
      <c r="AZ1462" s="93"/>
      <c r="BA1462" s="93"/>
      <c r="BB1462" s="155"/>
      <c r="BC1462" s="93"/>
      <c r="BE1462" s="93"/>
      <c r="BG1462" s="93"/>
      <c r="BH1462" s="93"/>
      <c r="BI1462" s="93"/>
      <c r="BJ1462" s="155"/>
      <c r="BK1462" s="93"/>
    </row>
    <row r="1463">
      <c r="A1463" s="166">
        <v>44924.86092319444</v>
      </c>
      <c r="B1463" s="44" t="s">
        <v>125</v>
      </c>
      <c r="C1463" s="128">
        <v>879.6223675978465</v>
      </c>
      <c r="D1463" s="128">
        <v>11.0</v>
      </c>
      <c r="E1463" s="128">
        <v>881.6966249729594</v>
      </c>
      <c r="F1463" s="44" t="s">
        <v>47</v>
      </c>
      <c r="G1463" s="128">
        <v>1025.117459035529</v>
      </c>
      <c r="H1463" s="128">
        <v>28.0</v>
      </c>
      <c r="I1463" s="128">
        <v>1036.0559366363161</v>
      </c>
      <c r="J1463" s="44" t="s">
        <v>50</v>
      </c>
      <c r="K1463" s="128">
        <v>1034.183567891</v>
      </c>
      <c r="L1463" s="128">
        <v>23.0</v>
      </c>
      <c r="M1463" s="128">
        <v>1042.1708329151</v>
      </c>
      <c r="N1463" s="44"/>
      <c r="O1463" s="128"/>
      <c r="P1463" s="128"/>
      <c r="Q1463" s="128"/>
      <c r="V1463" s="44" t="s">
        <v>117</v>
      </c>
      <c r="W1463" s="128">
        <v>938.4648106374276</v>
      </c>
      <c r="X1463" s="128">
        <v>20.0</v>
      </c>
      <c r="Y1463" s="128">
        <v>932.4872091924359</v>
      </c>
      <c r="Z1463" s="44" t="s">
        <v>92</v>
      </c>
      <c r="AA1463" s="128">
        <v>966.0598358876152</v>
      </c>
      <c r="AB1463" s="128">
        <v>17.0</v>
      </c>
      <c r="AC1463" s="128">
        <v>958.1541135090498</v>
      </c>
      <c r="AD1463" s="44" t="s">
        <v>38</v>
      </c>
      <c r="AE1463" s="128">
        <v>1058.494171557682</v>
      </c>
      <c r="AF1463" s="128">
        <v>19.0</v>
      </c>
      <c r="AG1463" s="128">
        <v>1051.3774953812392</v>
      </c>
      <c r="AH1463" s="44"/>
      <c r="AI1463" s="128"/>
      <c r="AJ1463" s="128"/>
      <c r="AK1463" s="128"/>
      <c r="AP1463" s="128">
        <v>17.0</v>
      </c>
      <c r="AQ1463" s="128">
        <v>11.0</v>
      </c>
      <c r="AT1463" s="44">
        <v>1462.0</v>
      </c>
      <c r="AU1463" s="44"/>
      <c r="AW1463" s="93"/>
      <c r="AY1463" s="93"/>
      <c r="AZ1463" s="93"/>
      <c r="BA1463" s="93"/>
      <c r="BB1463" s="155"/>
      <c r="BC1463" s="93"/>
      <c r="BE1463" s="93"/>
      <c r="BG1463" s="93"/>
      <c r="BH1463" s="93"/>
      <c r="BI1463" s="93"/>
      <c r="BJ1463" s="155"/>
      <c r="BK1463" s="93"/>
    </row>
    <row r="1464">
      <c r="A1464" s="166">
        <v>44924.899087962964</v>
      </c>
      <c r="B1464" s="44" t="s">
        <v>125</v>
      </c>
      <c r="C1464" s="128">
        <v>881.6966249729594</v>
      </c>
      <c r="D1464" s="128">
        <v>14.0</v>
      </c>
      <c r="E1464" s="128">
        <v>884.1028723949528</v>
      </c>
      <c r="F1464" s="44" t="s">
        <v>92</v>
      </c>
      <c r="G1464" s="128">
        <v>958.1541135090498</v>
      </c>
      <c r="H1464" s="128">
        <v>24.0</v>
      </c>
      <c r="I1464" s="128">
        <v>963.0570745604882</v>
      </c>
      <c r="J1464" s="44" t="s">
        <v>27</v>
      </c>
      <c r="K1464" s="128">
        <v>1189.1836979999416</v>
      </c>
      <c r="L1464" s="128">
        <v>17.0</v>
      </c>
      <c r="M1464" s="128">
        <v>1191.87448952651</v>
      </c>
      <c r="N1464" s="44"/>
      <c r="O1464" s="128"/>
      <c r="P1464" s="128"/>
      <c r="Q1464" s="128"/>
      <c r="V1464" s="44" t="s">
        <v>117</v>
      </c>
      <c r="W1464" s="128">
        <v>932.4872091924359</v>
      </c>
      <c r="X1464" s="128">
        <v>15.0</v>
      </c>
      <c r="Y1464" s="128">
        <v>928.6680843510037</v>
      </c>
      <c r="Z1464" s="44" t="s">
        <v>47</v>
      </c>
      <c r="AA1464" s="128">
        <v>1036.0559366363161</v>
      </c>
      <c r="AB1464" s="128">
        <v>18.0</v>
      </c>
      <c r="AC1464" s="128">
        <v>1032.8364643706134</v>
      </c>
      <c r="AD1464" s="44" t="s">
        <v>38</v>
      </c>
      <c r="AE1464" s="128">
        <v>1051.3774953812392</v>
      </c>
      <c r="AF1464" s="128">
        <v>19.0</v>
      </c>
      <c r="AG1464" s="128">
        <v>1048.4160924883743</v>
      </c>
      <c r="AH1464" s="44"/>
      <c r="AI1464" s="128"/>
      <c r="AJ1464" s="128"/>
      <c r="AK1464" s="128"/>
      <c r="AP1464" s="128">
        <v>15.0</v>
      </c>
      <c r="AQ1464" s="128">
        <v>13.0</v>
      </c>
      <c r="AT1464" s="44">
        <v>1463.0</v>
      </c>
      <c r="AU1464" s="44"/>
      <c r="AW1464" s="93"/>
      <c r="AY1464" s="93"/>
      <c r="AZ1464" s="93"/>
      <c r="BA1464" s="93"/>
      <c r="BB1464" s="155"/>
      <c r="BC1464" s="93"/>
      <c r="BE1464" s="93"/>
      <c r="BG1464" s="93"/>
      <c r="BH1464" s="93"/>
      <c r="BI1464" s="93"/>
      <c r="BJ1464" s="155"/>
      <c r="BK1464" s="93"/>
    </row>
    <row r="1465">
      <c r="A1465" s="166">
        <v>44924.93816672453</v>
      </c>
      <c r="B1465" s="44" t="s">
        <v>125</v>
      </c>
      <c r="C1465" s="128">
        <v>884.1028723949528</v>
      </c>
      <c r="D1465" s="128">
        <v>13.0</v>
      </c>
      <c r="E1465" s="128">
        <v>877.1902248035241</v>
      </c>
      <c r="F1465" s="44" t="s">
        <v>121</v>
      </c>
      <c r="G1465" s="128">
        <v>912.8990986481384</v>
      </c>
      <c r="H1465" s="128">
        <v>7.0</v>
      </c>
      <c r="I1465" s="128">
        <v>903.0566233492732</v>
      </c>
      <c r="J1465" s="44" t="s">
        <v>112</v>
      </c>
      <c r="K1465" s="128">
        <v>920.5887626262366</v>
      </c>
      <c r="L1465" s="128">
        <v>23.0</v>
      </c>
      <c r="M1465" s="128">
        <v>918.0357978815035</v>
      </c>
      <c r="N1465" s="44" t="s">
        <v>27</v>
      </c>
      <c r="O1465" s="128">
        <v>1191.87448952651</v>
      </c>
      <c r="P1465" s="128">
        <v>24.0</v>
      </c>
      <c r="Q1465" s="128">
        <v>1189.182577161537</v>
      </c>
      <c r="V1465" s="44" t="s">
        <v>117</v>
      </c>
      <c r="W1465" s="128">
        <v>928.6680843510037</v>
      </c>
      <c r="X1465" s="128">
        <v>12.0</v>
      </c>
      <c r="Y1465" s="128">
        <v>930.3495773246119</v>
      </c>
      <c r="Z1465" s="44" t="s">
        <v>107</v>
      </c>
      <c r="AA1465" s="128">
        <v>941.6892976681083</v>
      </c>
      <c r="AB1465" s="128">
        <v>18.0</v>
      </c>
      <c r="AC1465" s="128">
        <v>946.0391241622315</v>
      </c>
      <c r="AD1465" s="44" t="s">
        <v>92</v>
      </c>
      <c r="AE1465" s="128">
        <v>963.0570745604882</v>
      </c>
      <c r="AF1465" s="128">
        <v>19.0</v>
      </c>
      <c r="AG1465" s="128">
        <v>967.7447413607449</v>
      </c>
      <c r="AH1465" s="44" t="s">
        <v>47</v>
      </c>
      <c r="AI1465" s="128">
        <v>1032.8364643706134</v>
      </c>
      <c r="AJ1465" s="128">
        <v>34.0</v>
      </c>
      <c r="AK1465" s="128">
        <v>1044.1174781026252</v>
      </c>
      <c r="AP1465" s="128">
        <v>10.0</v>
      </c>
      <c r="AQ1465" s="128">
        <v>18.0</v>
      </c>
      <c r="AT1465" s="44">
        <v>1464.0</v>
      </c>
      <c r="AU1465" s="44"/>
      <c r="AW1465" s="93"/>
      <c r="AY1465" s="93"/>
      <c r="AZ1465" s="93"/>
      <c r="BA1465" s="93"/>
      <c r="BB1465" s="155"/>
      <c r="BC1465" s="93"/>
      <c r="BE1465" s="93"/>
      <c r="BG1465" s="93"/>
      <c r="BH1465" s="93"/>
      <c r="BI1465" s="93"/>
      <c r="BJ1465" s="155"/>
      <c r="BK1465" s="93"/>
    </row>
    <row r="1466">
      <c r="A1466" s="166">
        <v>44924.99817486111</v>
      </c>
      <c r="B1466" s="44" t="s">
        <v>58</v>
      </c>
      <c r="C1466" s="172" t="s">
        <v>636</v>
      </c>
      <c r="D1466" s="44">
        <v>20.0</v>
      </c>
      <c r="E1466" s="44">
        <v>1019.3</v>
      </c>
      <c r="F1466" s="44" t="s">
        <v>112</v>
      </c>
      <c r="G1466" s="128">
        <v>918.0357978815035</v>
      </c>
      <c r="H1466" s="128">
        <v>16.0</v>
      </c>
      <c r="I1466" s="128">
        <v>915.714595710903</v>
      </c>
      <c r="J1466" s="44" t="s">
        <v>92</v>
      </c>
      <c r="K1466" s="128">
        <v>967.7447413607449</v>
      </c>
      <c r="L1466" s="128">
        <v>15.0</v>
      </c>
      <c r="M1466" s="128">
        <v>965.1561891275927</v>
      </c>
      <c r="N1466" s="44" t="s">
        <v>69</v>
      </c>
      <c r="O1466" s="128">
        <v>1000.0</v>
      </c>
      <c r="P1466" s="128">
        <v>25.0</v>
      </c>
      <c r="Q1466" s="128">
        <v>999.0292975804573</v>
      </c>
      <c r="R1466" s="44" t="s">
        <v>23</v>
      </c>
      <c r="S1466" s="128">
        <v>1369.5846875971813</v>
      </c>
      <c r="T1466" s="128">
        <v>20.0</v>
      </c>
      <c r="U1466" s="128">
        <v>1367.6802313821815</v>
      </c>
      <c r="V1466" s="44" t="s">
        <v>119</v>
      </c>
      <c r="W1466" s="128">
        <v>915.99</v>
      </c>
      <c r="X1466" s="128">
        <v>15.0</v>
      </c>
      <c r="Y1466" s="128">
        <v>917.0569042700062</v>
      </c>
      <c r="Z1466" s="44" t="s">
        <v>107</v>
      </c>
      <c r="AA1466" s="128">
        <v>946.0391241622315</v>
      </c>
      <c r="AB1466" s="128">
        <v>19.0</v>
      </c>
      <c r="AC1466" s="128">
        <v>947.6974296415675</v>
      </c>
      <c r="AD1466" s="44" t="s">
        <v>47</v>
      </c>
      <c r="AE1466" s="128">
        <v>1044.1174781026252</v>
      </c>
      <c r="AF1466" s="128">
        <v>20.0</v>
      </c>
      <c r="AG1466" s="128">
        <v>1045.7855117108238</v>
      </c>
      <c r="AH1466" s="44" t="s">
        <v>38</v>
      </c>
      <c r="AI1466" s="128">
        <v>1048.4160924883743</v>
      </c>
      <c r="AJ1466" s="128">
        <v>27.0</v>
      </c>
      <c r="AK1466" s="128">
        <v>1051.2467150425555</v>
      </c>
      <c r="AL1466" s="44" t="s">
        <v>27</v>
      </c>
      <c r="AM1466" s="128">
        <v>1189.182577161537</v>
      </c>
      <c r="AN1466" s="128">
        <v>27.0</v>
      </c>
      <c r="AO1466" s="128">
        <v>1191.9587112498148</v>
      </c>
      <c r="AP1466" s="128">
        <v>13.0</v>
      </c>
      <c r="AQ1466" s="128">
        <v>15.0</v>
      </c>
      <c r="AT1466" s="44">
        <v>1465.0</v>
      </c>
      <c r="AU1466" s="44"/>
      <c r="AV1466" s="44" t="s">
        <v>125</v>
      </c>
      <c r="AW1466" s="128">
        <v>877.1902248035241</v>
      </c>
      <c r="AX1466" s="128">
        <v>16.0</v>
      </c>
      <c r="AY1466" s="128">
        <v>874.9751378418194</v>
      </c>
      <c r="AZ1466" s="93"/>
      <c r="BA1466" s="93"/>
      <c r="BB1466" s="155"/>
      <c r="BC1466" s="93"/>
      <c r="BD1466" s="44" t="s">
        <v>90</v>
      </c>
      <c r="BE1466" s="145">
        <v>972.32</v>
      </c>
      <c r="BF1466" s="44">
        <v>13.0</v>
      </c>
      <c r="BG1466" s="145">
        <v>973.25</v>
      </c>
      <c r="BH1466" s="93"/>
      <c r="BI1466" s="93"/>
      <c r="BJ1466" s="155"/>
      <c r="BK1466" s="93"/>
    </row>
    <row r="1467">
      <c r="A1467" s="166">
        <v>44925.042146747684</v>
      </c>
      <c r="B1467" s="44" t="s">
        <v>125</v>
      </c>
      <c r="C1467" s="128">
        <v>874.9751378418194</v>
      </c>
      <c r="D1467" s="128">
        <v>17.0</v>
      </c>
      <c r="E1467" s="128">
        <v>876.698722441236</v>
      </c>
      <c r="F1467" s="44" t="s">
        <v>50</v>
      </c>
      <c r="G1467" s="128">
        <v>1042.1708329151</v>
      </c>
      <c r="H1467" s="128">
        <v>28.0</v>
      </c>
      <c r="I1467" s="128">
        <v>1045.3948809052538</v>
      </c>
      <c r="J1467" s="44" t="s">
        <v>47</v>
      </c>
      <c r="K1467" s="128">
        <v>1045.7855117108238</v>
      </c>
      <c r="L1467" s="128">
        <v>13.0</v>
      </c>
      <c r="M1467" s="128">
        <v>1046.5062507510202</v>
      </c>
      <c r="N1467" s="44" t="s">
        <v>23</v>
      </c>
      <c r="O1467" s="128">
        <v>1367.6802313821815</v>
      </c>
      <c r="P1467" s="128">
        <v>23.0</v>
      </c>
      <c r="Q1467" s="128">
        <v>1370.011859752415</v>
      </c>
      <c r="V1467" s="44" t="s">
        <v>119</v>
      </c>
      <c r="W1467" s="128">
        <v>917.0569042700062</v>
      </c>
      <c r="X1467" s="128">
        <v>16.0</v>
      </c>
      <c r="Y1467" s="128">
        <v>914.6890091074673</v>
      </c>
      <c r="Z1467" s="44" t="s">
        <v>38</v>
      </c>
      <c r="AA1467" s="128">
        <v>1051.2467150425555</v>
      </c>
      <c r="AB1467" s="128">
        <v>23.0</v>
      </c>
      <c r="AC1467" s="128">
        <v>1049.8370701540566</v>
      </c>
      <c r="AD1467" s="44" t="s">
        <v>34</v>
      </c>
      <c r="AE1467" s="128">
        <v>1089.4816797337892</v>
      </c>
      <c r="AF1467" s="128">
        <v>23.0</v>
      </c>
      <c r="AG1467" s="128">
        <v>1088.0482129297575</v>
      </c>
      <c r="AH1467" s="44" t="s">
        <v>27</v>
      </c>
      <c r="AI1467" s="128">
        <v>1191.9587112498148</v>
      </c>
      <c r="AJ1467" s="128">
        <v>15.0</v>
      </c>
      <c r="AK1467" s="128">
        <v>1189.1697181048842</v>
      </c>
      <c r="AP1467" s="128">
        <v>14.0</v>
      </c>
      <c r="AQ1467" s="128">
        <v>13.0</v>
      </c>
      <c r="AT1467" s="44">
        <v>1466.0</v>
      </c>
      <c r="AU1467" s="44"/>
      <c r="AW1467" s="93"/>
      <c r="AY1467" s="93"/>
      <c r="AZ1467" s="93"/>
      <c r="BA1467" s="93"/>
      <c r="BB1467" s="155"/>
      <c r="BC1467" s="93"/>
      <c r="BE1467" s="93"/>
      <c r="BG1467" s="93"/>
      <c r="BH1467" s="93"/>
      <c r="BI1467" s="93"/>
      <c r="BJ1467" s="155"/>
      <c r="BK1467" s="93"/>
    </row>
    <row r="1468">
      <c r="A1468" s="166">
        <v>44925.089331944444</v>
      </c>
      <c r="B1468" s="44" t="s">
        <v>125</v>
      </c>
      <c r="C1468" s="128">
        <v>876.698722441236</v>
      </c>
      <c r="D1468" s="128">
        <v>9.0</v>
      </c>
      <c r="E1468" s="128">
        <v>872.3359572078933</v>
      </c>
      <c r="F1468" s="44" t="s">
        <v>119</v>
      </c>
      <c r="G1468" s="128">
        <v>914.6890091074673</v>
      </c>
      <c r="H1468" s="128">
        <v>17.0</v>
      </c>
      <c r="I1468" s="128">
        <v>911.863893923939</v>
      </c>
      <c r="J1468" s="44" t="s">
        <v>88</v>
      </c>
      <c r="K1468" s="128">
        <v>977.2410360549273</v>
      </c>
      <c r="L1468" s="128">
        <v>25.0</v>
      </c>
      <c r="M1468" s="128">
        <v>975.9215880444542</v>
      </c>
      <c r="N1468" s="44" t="s">
        <v>23</v>
      </c>
      <c r="O1468" s="128">
        <v>1370.011859752415</v>
      </c>
      <c r="P1468" s="128">
        <v>25.0</v>
      </c>
      <c r="Q1468" s="128">
        <v>1368.5191881797589</v>
      </c>
      <c r="V1468" s="44" t="s">
        <v>105</v>
      </c>
      <c r="W1468" s="128">
        <v>956.9819423147321</v>
      </c>
      <c r="X1468" s="128">
        <v>13.0</v>
      </c>
      <c r="Y1468" s="128">
        <v>957.1888544966246</v>
      </c>
      <c r="Z1468" s="44" t="s">
        <v>50</v>
      </c>
      <c r="AA1468" s="128">
        <v>1045.3948809052538</v>
      </c>
      <c r="AB1468" s="128">
        <v>21.0</v>
      </c>
      <c r="AC1468" s="128">
        <v>1047.0788970584254</v>
      </c>
      <c r="AD1468" s="44" t="s">
        <v>38</v>
      </c>
      <c r="AE1468" s="128">
        <v>1049.8370701540566</v>
      </c>
      <c r="AF1468" s="128">
        <v>38.0</v>
      </c>
      <c r="AG1468" s="128">
        <v>1055.056883427733</v>
      </c>
      <c r="AH1468" s="44" t="s">
        <v>34</v>
      </c>
      <c r="AI1468" s="128">
        <v>1088.0482129297575</v>
      </c>
      <c r="AJ1468" s="128">
        <v>27.0</v>
      </c>
      <c r="AK1468" s="128">
        <v>1090.9374713210168</v>
      </c>
      <c r="AP1468" s="128">
        <v>13.0</v>
      </c>
      <c r="AQ1468" s="128">
        <v>15.0</v>
      </c>
      <c r="AT1468" s="44">
        <v>1467.0</v>
      </c>
      <c r="AU1468" s="44"/>
      <c r="AW1468" s="93"/>
      <c r="AY1468" s="93"/>
      <c r="AZ1468" s="93"/>
      <c r="BA1468" s="93"/>
      <c r="BB1468" s="155"/>
      <c r="BC1468" s="93"/>
      <c r="BE1468" s="93"/>
      <c r="BG1468" s="93"/>
      <c r="BH1468" s="93"/>
      <c r="BI1468" s="93"/>
      <c r="BJ1468" s="155"/>
      <c r="BK1468" s="93"/>
    </row>
    <row r="1469">
      <c r="A1469" s="166">
        <v>44925.50533680555</v>
      </c>
      <c r="B1469" s="44" t="s">
        <v>123</v>
      </c>
      <c r="C1469" s="128">
        <v>889.8354538356735</v>
      </c>
      <c r="D1469" s="128">
        <v>9.0</v>
      </c>
      <c r="E1469" s="128">
        <v>879.3726309046461</v>
      </c>
      <c r="F1469" s="44" t="s">
        <v>117</v>
      </c>
      <c r="G1469" s="128">
        <v>930.3495773246119</v>
      </c>
      <c r="H1469" s="128">
        <v>15.0</v>
      </c>
      <c r="I1469" s="128">
        <v>922.589931320805</v>
      </c>
      <c r="J1469" s="44" t="s">
        <v>54</v>
      </c>
      <c r="K1469" s="128">
        <v>1047.2450665623815</v>
      </c>
      <c r="L1469" s="128">
        <v>32.0</v>
      </c>
      <c r="M1469" s="128">
        <v>1047.2350665623815</v>
      </c>
      <c r="N1469" s="44"/>
      <c r="O1469" s="128"/>
      <c r="P1469" s="128"/>
      <c r="Q1469" s="128"/>
      <c r="V1469" s="44" t="s">
        <v>112</v>
      </c>
      <c r="W1469" s="128">
        <v>915.714595710903</v>
      </c>
      <c r="X1469" s="128">
        <v>22.0</v>
      </c>
      <c r="Y1469" s="128">
        <v>922.3515973848234</v>
      </c>
      <c r="Z1469" s="44" t="s">
        <v>102</v>
      </c>
      <c r="AA1469" s="128">
        <v>951.3911134641772</v>
      </c>
      <c r="AB1469" s="128">
        <v>11.0</v>
      </c>
      <c r="AC1469" s="128">
        <v>952.2681618849548</v>
      </c>
      <c r="AD1469" s="44" t="s">
        <v>40</v>
      </c>
      <c r="AE1469" s="128">
        <v>1031.568558749939</v>
      </c>
      <c r="AF1469" s="128">
        <v>31.0</v>
      </c>
      <c r="AG1469" s="128">
        <v>1042.054508655241</v>
      </c>
      <c r="AH1469" s="44"/>
      <c r="AI1469" s="128"/>
      <c r="AJ1469" s="128"/>
      <c r="AK1469" s="128"/>
      <c r="AP1469" s="128">
        <v>11.0</v>
      </c>
      <c r="AQ1469" s="128">
        <v>17.0</v>
      </c>
      <c r="AS1469" s="44" t="s">
        <v>229</v>
      </c>
      <c r="AT1469" s="44">
        <v>1468.0</v>
      </c>
      <c r="AU1469" s="44"/>
      <c r="AW1469" s="93"/>
      <c r="AY1469" s="93"/>
      <c r="AZ1469" s="93"/>
      <c r="BA1469" s="93"/>
      <c r="BB1469" s="155"/>
      <c r="BC1469" s="93"/>
      <c r="BE1469" s="93"/>
      <c r="BG1469" s="93"/>
      <c r="BH1469" s="93"/>
      <c r="BI1469" s="93"/>
      <c r="BJ1469" s="155"/>
      <c r="BK1469" s="93"/>
    </row>
    <row r="1470">
      <c r="A1470" s="166">
        <v>44925.564834652774</v>
      </c>
      <c r="B1470" s="44" t="s">
        <v>123</v>
      </c>
      <c r="C1470" s="128">
        <v>879.3726309046461</v>
      </c>
      <c r="D1470" s="128">
        <v>19.0</v>
      </c>
      <c r="E1470" s="128">
        <v>880.0129822535762</v>
      </c>
      <c r="F1470" s="44" t="s">
        <v>40</v>
      </c>
      <c r="G1470" s="128">
        <v>1042.054508655241</v>
      </c>
      <c r="H1470" s="128">
        <v>46.0</v>
      </c>
      <c r="I1470" s="128">
        <v>1048.072186075739</v>
      </c>
      <c r="J1470" s="44" t="s">
        <v>50</v>
      </c>
      <c r="K1470" s="128">
        <v>1047.0788970584254</v>
      </c>
      <c r="L1470" s="128">
        <v>25.0</v>
      </c>
      <c r="M1470" s="128">
        <v>1048.4208682889976</v>
      </c>
      <c r="N1470" s="44"/>
      <c r="O1470" s="128"/>
      <c r="P1470" s="128"/>
      <c r="Q1470" s="128"/>
      <c r="V1470" s="44" t="s">
        <v>112</v>
      </c>
      <c r="W1470" s="128">
        <v>922.3515973848234</v>
      </c>
      <c r="X1470" s="128">
        <v>28.0</v>
      </c>
      <c r="Y1470" s="128">
        <v>920.6093272625305</v>
      </c>
      <c r="Z1470" s="44" t="s">
        <v>117</v>
      </c>
      <c r="AA1470" s="128">
        <v>922.589931320805</v>
      </c>
      <c r="AB1470" s="128">
        <v>19.0</v>
      </c>
      <c r="AC1470" s="128">
        <v>918.846724154553</v>
      </c>
      <c r="AD1470" s="44" t="s">
        <v>54</v>
      </c>
      <c r="AE1470" s="128">
        <v>1047.2350665623815</v>
      </c>
      <c r="AF1470" s="128">
        <v>26.0</v>
      </c>
      <c r="AG1470" s="128">
        <v>1044.7205438509263</v>
      </c>
      <c r="AH1470" s="44"/>
      <c r="AI1470" s="128"/>
      <c r="AJ1470" s="128"/>
      <c r="AK1470" s="128"/>
      <c r="AP1470" s="128">
        <v>22.0</v>
      </c>
      <c r="AQ1470" s="128">
        <v>20.0</v>
      </c>
      <c r="AS1470" s="44" t="s">
        <v>637</v>
      </c>
      <c r="AT1470" s="44">
        <v>1469.0</v>
      </c>
      <c r="AU1470" s="44"/>
      <c r="AW1470" s="93"/>
      <c r="AY1470" s="93"/>
      <c r="AZ1470" s="93"/>
      <c r="BA1470" s="93"/>
      <c r="BB1470" s="155"/>
      <c r="BC1470" s="93"/>
      <c r="BE1470" s="93"/>
      <c r="BG1470" s="93"/>
      <c r="BH1470" s="93"/>
      <c r="BI1470" s="93"/>
      <c r="BJ1470" s="155"/>
      <c r="BK1470" s="93"/>
    </row>
    <row r="1471">
      <c r="A1471" s="166">
        <v>44925.71932202546</v>
      </c>
      <c r="B1471" s="44" t="s">
        <v>125</v>
      </c>
      <c r="C1471" s="128">
        <v>872.3359572078933</v>
      </c>
      <c r="D1471" s="128">
        <v>18.0</v>
      </c>
      <c r="E1471" s="128">
        <v>870.2479203199961</v>
      </c>
      <c r="F1471" s="44" t="s">
        <v>123</v>
      </c>
      <c r="G1471" s="128">
        <v>880.0129822535762</v>
      </c>
      <c r="H1471" s="128">
        <v>9.0</v>
      </c>
      <c r="I1471" s="128">
        <v>875.7970073325299</v>
      </c>
      <c r="J1471" s="44" t="s">
        <v>117</v>
      </c>
      <c r="K1471" s="128">
        <v>918.846724154553</v>
      </c>
      <c r="L1471" s="128">
        <v>18.0</v>
      </c>
      <c r="M1471" s="128">
        <v>916.6036934750102</v>
      </c>
      <c r="N1471" s="44" t="s">
        <v>115</v>
      </c>
      <c r="O1471" s="128">
        <v>924.6452789962536</v>
      </c>
      <c r="P1471" s="128">
        <v>14.0</v>
      </c>
      <c r="Q1471" s="128">
        <v>921.4520358242911</v>
      </c>
      <c r="R1471" s="44" t="s">
        <v>50</v>
      </c>
      <c r="S1471" s="128">
        <v>1048.4208682889976</v>
      </c>
      <c r="T1471" s="128">
        <v>19.0</v>
      </c>
      <c r="U1471" s="128">
        <v>1046.1611539494463</v>
      </c>
      <c r="V1471" s="44" t="s">
        <v>102</v>
      </c>
      <c r="W1471" s="128">
        <v>952.2681618849548</v>
      </c>
      <c r="X1471" s="128">
        <v>11.0</v>
      </c>
      <c r="Y1471" s="128">
        <v>952.437268179357</v>
      </c>
      <c r="Z1471" s="44" t="s">
        <v>76</v>
      </c>
      <c r="AA1471" s="128">
        <v>993.7560242026644</v>
      </c>
      <c r="AB1471" s="128">
        <v>23.0</v>
      </c>
      <c r="AC1471" s="128">
        <v>996.6051758009963</v>
      </c>
      <c r="AD1471" s="44" t="s">
        <v>63</v>
      </c>
      <c r="AE1471" s="128">
        <v>1000.0</v>
      </c>
      <c r="AF1471" s="128">
        <v>24.0</v>
      </c>
      <c r="AG1471" s="128">
        <v>1003.0676827244882</v>
      </c>
      <c r="AH1471" s="44" t="s">
        <v>64</v>
      </c>
      <c r="AI1471" s="128">
        <v>1000.0</v>
      </c>
      <c r="AJ1471" s="128">
        <v>27.0</v>
      </c>
      <c r="AK1471" s="128">
        <v>1003.7676827244882</v>
      </c>
      <c r="AL1471" s="44" t="s">
        <v>40</v>
      </c>
      <c r="AM1471" s="128">
        <v>1048.072186075739</v>
      </c>
      <c r="AN1471" s="128">
        <v>29.0</v>
      </c>
      <c r="AO1471" s="128">
        <v>1052.2185627340284</v>
      </c>
      <c r="AP1471" s="128">
        <v>5.0</v>
      </c>
      <c r="AQ1471" s="128">
        <v>23.0</v>
      </c>
      <c r="AT1471" s="44">
        <v>1470.0</v>
      </c>
      <c r="AU1471" s="44"/>
      <c r="AW1471" s="93"/>
      <c r="AY1471" s="93"/>
      <c r="AZ1471" s="93"/>
      <c r="BA1471" s="93"/>
      <c r="BB1471" s="155"/>
      <c r="BC1471" s="93"/>
      <c r="BE1471" s="93"/>
      <c r="BG1471" s="93"/>
      <c r="BH1471" s="93"/>
      <c r="BI1471" s="93"/>
      <c r="BJ1471" s="155"/>
      <c r="BK1471" s="93"/>
    </row>
    <row r="1472">
      <c r="A1472" s="166">
        <v>44925.85418892361</v>
      </c>
      <c r="B1472" s="44" t="s">
        <v>117</v>
      </c>
      <c r="C1472" s="128">
        <v>916.6036934750102</v>
      </c>
      <c r="D1472" s="128">
        <v>17.0</v>
      </c>
      <c r="E1472" s="128">
        <v>920.0868323008627</v>
      </c>
      <c r="F1472" s="44" t="s">
        <v>88</v>
      </c>
      <c r="G1472" s="128">
        <v>975.9215880444542</v>
      </c>
      <c r="H1472" s="128">
        <v>18.0</v>
      </c>
      <c r="I1472" s="128">
        <v>979.4800323170523</v>
      </c>
      <c r="J1472" s="44" t="s">
        <v>31</v>
      </c>
      <c r="K1472" s="128">
        <v>1129.5924464337638</v>
      </c>
      <c r="L1472" s="128">
        <v>23.0</v>
      </c>
      <c r="M1472" s="128">
        <v>1134.5508633353131</v>
      </c>
      <c r="N1472" s="44"/>
      <c r="O1472" s="128"/>
      <c r="P1472" s="128"/>
      <c r="Q1472" s="128"/>
      <c r="V1472" s="44" t="s">
        <v>80</v>
      </c>
      <c r="W1472" s="128">
        <v>1000.0</v>
      </c>
      <c r="X1472" s="128">
        <v>13.0</v>
      </c>
      <c r="Y1472" s="128">
        <v>994.8362903661724</v>
      </c>
      <c r="Z1472" s="44" t="s">
        <v>54</v>
      </c>
      <c r="AA1472" s="128">
        <v>1044.7205438509263</v>
      </c>
      <c r="AB1472" s="128">
        <v>20.0</v>
      </c>
      <c r="AC1472" s="128">
        <v>1041.8034685443906</v>
      </c>
      <c r="AD1472" s="44" t="s">
        <v>50</v>
      </c>
      <c r="AE1472" s="128">
        <v>1046.1611539494463</v>
      </c>
      <c r="AF1472" s="128">
        <v>17.0</v>
      </c>
      <c r="AG1472" s="128">
        <v>1042.2419388898097</v>
      </c>
      <c r="AH1472" s="44"/>
      <c r="AI1472" s="128"/>
      <c r="AJ1472" s="128"/>
      <c r="AK1472" s="128"/>
      <c r="AP1472" s="128">
        <v>14.0</v>
      </c>
      <c r="AQ1472" s="128">
        <v>13.0</v>
      </c>
      <c r="AT1472" s="44">
        <v>1471.0</v>
      </c>
      <c r="AU1472" s="44"/>
      <c r="AW1472" s="93"/>
      <c r="AY1472" s="93"/>
      <c r="AZ1472" s="93"/>
      <c r="BA1472" s="93"/>
      <c r="BB1472" s="155"/>
      <c r="BC1472" s="93"/>
      <c r="BE1472" s="93"/>
      <c r="BG1472" s="93"/>
      <c r="BH1472" s="93"/>
      <c r="BI1472" s="93"/>
      <c r="BJ1472" s="155"/>
      <c r="BK1472" s="93"/>
    </row>
    <row r="1473">
      <c r="A1473" s="166">
        <v>44925.92523606481</v>
      </c>
      <c r="B1473" s="44" t="s">
        <v>117</v>
      </c>
      <c r="C1473" s="128">
        <v>920.0868323008627</v>
      </c>
      <c r="D1473" s="128">
        <v>16.0</v>
      </c>
      <c r="E1473" s="128">
        <v>916.1323401907767</v>
      </c>
      <c r="F1473" s="44" t="s">
        <v>115</v>
      </c>
      <c r="G1473" s="128">
        <v>921.4520358242911</v>
      </c>
      <c r="H1473" s="128">
        <v>13.0</v>
      </c>
      <c r="I1473" s="128">
        <v>916.491400537565</v>
      </c>
      <c r="J1473" s="44" t="s">
        <v>108</v>
      </c>
      <c r="K1473" s="128">
        <v>933.65</v>
      </c>
      <c r="L1473" s="128">
        <v>11.0</v>
      </c>
      <c r="M1473" s="128">
        <v>927.9699365389916</v>
      </c>
      <c r="N1473" s="44" t="s">
        <v>47</v>
      </c>
      <c r="O1473" s="128">
        <v>1046.5062507510202</v>
      </c>
      <c r="P1473" s="128">
        <v>14.0</v>
      </c>
      <c r="Q1473" s="128">
        <v>1041.5134940200523</v>
      </c>
      <c r="R1473" s="44" t="s">
        <v>23</v>
      </c>
      <c r="S1473" s="128">
        <v>1368.5191881797589</v>
      </c>
      <c r="T1473" s="128">
        <v>28.0</v>
      </c>
      <c r="U1473" s="128">
        <v>1368.107135768547</v>
      </c>
      <c r="V1473" s="44" t="s">
        <v>88</v>
      </c>
      <c r="W1473" s="128">
        <v>979.4800323170523</v>
      </c>
      <c r="X1473" s="128">
        <v>19.0</v>
      </c>
      <c r="Y1473" s="128">
        <v>982.6860294217798</v>
      </c>
      <c r="Z1473" s="44" t="s">
        <v>82</v>
      </c>
      <c r="AA1473" s="128">
        <v>991.2396478614627</v>
      </c>
      <c r="AB1473" s="128">
        <v>14.0</v>
      </c>
      <c r="AC1473" s="128">
        <v>992.7357466353907</v>
      </c>
      <c r="AD1473" s="44" t="s">
        <v>54</v>
      </c>
      <c r="AE1473" s="128">
        <v>1041.8034685443906</v>
      </c>
      <c r="AF1473" s="128">
        <v>31.0</v>
      </c>
      <c r="AG1473" s="128">
        <v>1048.8266473044039</v>
      </c>
      <c r="AH1473" s="44" t="s">
        <v>50</v>
      </c>
      <c r="AI1473" s="128">
        <v>1042.2419388898097</v>
      </c>
      <c r="AJ1473" s="128">
        <v>17.0</v>
      </c>
      <c r="AK1473" s="128">
        <v>1044.597550932177</v>
      </c>
      <c r="AL1473" s="44" t="s">
        <v>31</v>
      </c>
      <c r="AM1473" s="128">
        <v>1134.5508633353131</v>
      </c>
      <c r="AN1473" s="128">
        <v>28.0</v>
      </c>
      <c r="AO1473" s="128">
        <v>1140.469976654277</v>
      </c>
      <c r="AP1473" s="128">
        <v>10.0</v>
      </c>
      <c r="AQ1473" s="128">
        <v>18.0</v>
      </c>
      <c r="AT1473" s="44">
        <v>1472.0</v>
      </c>
      <c r="AU1473" s="44"/>
      <c r="AV1473" s="88" t="s">
        <v>123</v>
      </c>
      <c r="AW1473" s="12">
        <v>875.7970073325299</v>
      </c>
      <c r="AX1473" s="30">
        <v>11.0</v>
      </c>
      <c r="AY1473" s="173">
        <v>869.01</v>
      </c>
      <c r="AZ1473" s="93"/>
      <c r="BA1473" s="93"/>
      <c r="BB1473" s="155"/>
      <c r="BC1473" s="93"/>
      <c r="BD1473" s="59" t="s">
        <v>125</v>
      </c>
      <c r="BE1473" s="12">
        <v>870.2479203199961</v>
      </c>
      <c r="BF1473" s="30">
        <v>15.0</v>
      </c>
      <c r="BG1473" s="173">
        <v>871.85</v>
      </c>
      <c r="BH1473" s="93"/>
      <c r="BI1473" s="93"/>
      <c r="BJ1473" s="155"/>
      <c r="BK1473" s="93"/>
    </row>
    <row r="1474">
      <c r="A1474" s="166">
        <v>44925.97693363426</v>
      </c>
      <c r="B1474" s="44" t="s">
        <v>125</v>
      </c>
      <c r="C1474" s="128">
        <v>871.85</v>
      </c>
      <c r="D1474" s="128">
        <v>14.0</v>
      </c>
      <c r="E1474" s="128">
        <v>866.6032360307511</v>
      </c>
      <c r="F1474" s="44" t="s">
        <v>117</v>
      </c>
      <c r="G1474" s="128">
        <v>916.1323401907767</v>
      </c>
      <c r="H1474" s="128">
        <v>22.0</v>
      </c>
      <c r="I1474" s="128">
        <v>913.9447214807724</v>
      </c>
      <c r="J1474" s="44" t="s">
        <v>98</v>
      </c>
      <c r="K1474" s="128">
        <v>966.402830546336</v>
      </c>
      <c r="L1474" s="128">
        <v>13.0</v>
      </c>
      <c r="M1474" s="128">
        <v>960.2260952583582</v>
      </c>
      <c r="N1474" s="44" t="s">
        <v>88</v>
      </c>
      <c r="O1474" s="128">
        <v>982.6860294217798</v>
      </c>
      <c r="P1474" s="128">
        <v>17.0</v>
      </c>
      <c r="Q1474" s="128">
        <v>978.1150225948148</v>
      </c>
      <c r="R1474" s="44" t="s">
        <v>50</v>
      </c>
      <c r="S1474" s="128">
        <v>1044.597550932177</v>
      </c>
      <c r="T1474" s="128">
        <v>12.0</v>
      </c>
      <c r="U1474" s="128">
        <v>1037.779675726373</v>
      </c>
      <c r="V1474" s="44" t="s">
        <v>129</v>
      </c>
      <c r="W1474" s="128">
        <v>683.068512016268</v>
      </c>
      <c r="X1474" s="128">
        <v>6.0</v>
      </c>
      <c r="Y1474" s="128">
        <v>683.4946519044051</v>
      </c>
      <c r="Z1474" s="44" t="s">
        <v>123</v>
      </c>
      <c r="AA1474" s="128">
        <v>869.01</v>
      </c>
      <c r="AB1474" s="128">
        <v>15.0</v>
      </c>
      <c r="AC1474" s="128">
        <v>870.5188261199971</v>
      </c>
      <c r="AD1474" s="44" t="s">
        <v>47</v>
      </c>
      <c r="AE1474" s="128">
        <v>1041.5134940200523</v>
      </c>
      <c r="AF1474" s="128">
        <v>22.0</v>
      </c>
      <c r="AG1474" s="128">
        <v>1044.7310945850295</v>
      </c>
      <c r="AH1474" s="44" t="s">
        <v>31</v>
      </c>
      <c r="AI1474" s="128">
        <v>1140.469976654277</v>
      </c>
      <c r="AJ1474" s="128">
        <v>53.0</v>
      </c>
      <c r="AK1474" s="128">
        <v>1156.4436092735027</v>
      </c>
      <c r="AL1474" s="44" t="s">
        <v>27</v>
      </c>
      <c r="AM1474" s="128">
        <v>1189.1697181048842</v>
      </c>
      <c r="AN1474" s="128">
        <v>24.0</v>
      </c>
      <c r="AO1474" s="128">
        <v>1193.043518912547</v>
      </c>
      <c r="AP1474" s="128">
        <v>9.0</v>
      </c>
      <c r="AQ1474" s="128">
        <v>19.0</v>
      </c>
      <c r="AT1474" s="44">
        <v>1473.0</v>
      </c>
      <c r="AU1474" s="44"/>
      <c r="AW1474" s="93"/>
      <c r="AY1474" s="93"/>
      <c r="AZ1474" s="93"/>
      <c r="BA1474" s="93"/>
      <c r="BB1474" s="155"/>
      <c r="BC1474" s="93"/>
      <c r="BE1474" s="93"/>
      <c r="BG1474" s="93"/>
      <c r="BH1474" s="93"/>
      <c r="BI1474" s="93"/>
      <c r="BJ1474" s="155"/>
      <c r="BK1474" s="93"/>
    </row>
    <row r="1475">
      <c r="A1475" s="166">
        <v>44926.02962120371</v>
      </c>
      <c r="B1475" s="44" t="s">
        <v>129</v>
      </c>
      <c r="C1475" s="128">
        <v>683.4946519044051</v>
      </c>
      <c r="D1475" s="128">
        <v>13.0</v>
      </c>
      <c r="E1475" s="128">
        <v>689.504966359159</v>
      </c>
      <c r="F1475" s="44" t="s">
        <v>88</v>
      </c>
      <c r="G1475" s="128">
        <v>978.1150225948148</v>
      </c>
      <c r="H1475" s="128">
        <v>14.0</v>
      </c>
      <c r="I1475" s="128">
        <v>979.7316308308887</v>
      </c>
      <c r="J1475" s="44" t="s">
        <v>50</v>
      </c>
      <c r="K1475" s="128">
        <v>1037.779675726373</v>
      </c>
      <c r="L1475" s="128">
        <v>17.0</v>
      </c>
      <c r="M1475" s="128">
        <v>1040.9672889303704</v>
      </c>
      <c r="N1475" s="44" t="s">
        <v>47</v>
      </c>
      <c r="O1475" s="128">
        <v>1044.7310945850295</v>
      </c>
      <c r="P1475" s="128">
        <v>23.0</v>
      </c>
      <c r="Q1475" s="128">
        <v>1051.7880761922638</v>
      </c>
      <c r="R1475" s="44" t="s">
        <v>31</v>
      </c>
      <c r="S1475" s="128">
        <v>1156.4436092735027</v>
      </c>
      <c r="T1475" s="128">
        <v>45.0</v>
      </c>
      <c r="U1475" s="128">
        <v>1177.5720917714432</v>
      </c>
      <c r="V1475" s="44" t="s">
        <v>127</v>
      </c>
      <c r="W1475" s="128">
        <v>750.1009013518616</v>
      </c>
      <c r="X1475" s="128">
        <v>4.0</v>
      </c>
      <c r="Y1475" s="128">
        <v>735.9695613493578</v>
      </c>
      <c r="Z1475" s="44" t="s">
        <v>110</v>
      </c>
      <c r="AA1475" s="128">
        <v>944.7978248240448</v>
      </c>
      <c r="AB1475" s="128">
        <v>17.0</v>
      </c>
      <c r="AC1475" s="128">
        <v>936.6534082294712</v>
      </c>
      <c r="AD1475" s="44" t="s">
        <v>105</v>
      </c>
      <c r="AE1475" s="128">
        <v>957.1888544966246</v>
      </c>
      <c r="AF1475" s="128">
        <v>19.0</v>
      </c>
      <c r="AG1475" s="128">
        <v>950.2493848328776</v>
      </c>
      <c r="AH1475" s="44" t="s">
        <v>54</v>
      </c>
      <c r="AI1475" s="128">
        <v>1048.8266473044039</v>
      </c>
      <c r="AJ1475" s="128">
        <v>16.0</v>
      </c>
      <c r="AK1475" s="128">
        <v>1039.4701525683295</v>
      </c>
      <c r="AL1475" s="44" t="s">
        <v>27</v>
      </c>
      <c r="AM1475" s="128">
        <v>1193.043518912547</v>
      </c>
      <c r="AN1475" s="128">
        <v>30.0</v>
      </c>
      <c r="AO1475" s="128">
        <v>1192.6152399094458</v>
      </c>
      <c r="AP1475" s="128">
        <v>19.0</v>
      </c>
      <c r="AQ1475" s="128">
        <v>9.0</v>
      </c>
      <c r="AT1475" s="44">
        <v>1474.0</v>
      </c>
      <c r="AU1475" s="44"/>
      <c r="AW1475" s="93"/>
      <c r="AY1475" s="93"/>
      <c r="AZ1475" s="93"/>
      <c r="BA1475" s="93"/>
      <c r="BB1475" s="155"/>
      <c r="BC1475" s="93"/>
      <c r="BE1475" s="93"/>
      <c r="BG1475" s="93"/>
      <c r="BH1475" s="93"/>
      <c r="BI1475" s="93"/>
      <c r="BJ1475" s="155"/>
      <c r="BK1475" s="93"/>
    </row>
    <row r="1476">
      <c r="A1476" s="166">
        <v>44926.063493078706</v>
      </c>
      <c r="B1476" s="44" t="s">
        <v>129</v>
      </c>
      <c r="C1476" s="128">
        <v>689.504966359159</v>
      </c>
      <c r="D1476" s="128">
        <v>16.0</v>
      </c>
      <c r="E1476" s="128">
        <v>691.7004278567392</v>
      </c>
      <c r="F1476" s="44" t="s">
        <v>125</v>
      </c>
      <c r="G1476" s="128">
        <v>866.6032360307511</v>
      </c>
      <c r="H1476" s="128">
        <v>17.0</v>
      </c>
      <c r="I1476" s="128">
        <v>868.1462694572598</v>
      </c>
      <c r="J1476" s="44" t="s">
        <v>112</v>
      </c>
      <c r="K1476" s="128">
        <v>920.6093272625305</v>
      </c>
      <c r="L1476" s="128">
        <v>29.0</v>
      </c>
      <c r="M1476" s="128">
        <v>923.9788714413345</v>
      </c>
      <c r="N1476" s="44" t="s">
        <v>50</v>
      </c>
      <c r="O1476" s="128">
        <v>1040.9672889303704</v>
      </c>
      <c r="P1476" s="128">
        <v>11.0</v>
      </c>
      <c r="Q1476" s="128">
        <v>1041.1106592339995</v>
      </c>
      <c r="R1476" s="44" t="s">
        <v>27</v>
      </c>
      <c r="S1476" s="128">
        <v>1192.6152399094458</v>
      </c>
      <c r="T1476" s="128">
        <v>27.0</v>
      </c>
      <c r="U1476" s="128">
        <v>1195.3638305029237</v>
      </c>
      <c r="V1476" s="44" t="s">
        <v>127</v>
      </c>
      <c r="W1476" s="128">
        <v>735.9695613493578</v>
      </c>
      <c r="X1476" s="128">
        <v>7.0</v>
      </c>
      <c r="Y1476" s="128">
        <v>732.6445600193459</v>
      </c>
      <c r="Z1476" s="44" t="s">
        <v>123</v>
      </c>
      <c r="AA1476" s="128">
        <v>870.5188261199971</v>
      </c>
      <c r="AB1476" s="128">
        <v>9.0</v>
      </c>
      <c r="AC1476" s="128">
        <v>866.9839072430597</v>
      </c>
      <c r="AD1476" s="44" t="s">
        <v>110</v>
      </c>
      <c r="AE1476" s="128">
        <v>936.6534082294712</v>
      </c>
      <c r="AF1476" s="128">
        <v>21.0</v>
      </c>
      <c r="AG1476" s="128">
        <v>934.9326779568866</v>
      </c>
      <c r="AH1476" s="44" t="s">
        <v>88</v>
      </c>
      <c r="AI1476" s="128">
        <v>979.7316308308887</v>
      </c>
      <c r="AJ1476" s="128">
        <v>21.0</v>
      </c>
      <c r="AK1476" s="128">
        <v>977.9234897754864</v>
      </c>
      <c r="AL1476" s="44" t="s">
        <v>31</v>
      </c>
      <c r="AM1476" s="128">
        <v>1177.5720917714432</v>
      </c>
      <c r="AN1476" s="128">
        <v>35.0</v>
      </c>
      <c r="AO1476" s="128">
        <v>1177.5620917714432</v>
      </c>
      <c r="AP1476" s="128">
        <v>15.0</v>
      </c>
      <c r="AQ1476" s="128">
        <v>13.0</v>
      </c>
      <c r="AS1476" s="44" t="s">
        <v>466</v>
      </c>
      <c r="AT1476" s="44">
        <v>1475.0</v>
      </c>
      <c r="AU1476" s="44"/>
      <c r="AW1476" s="93"/>
      <c r="AY1476" s="93"/>
      <c r="AZ1476" s="93"/>
      <c r="BA1476" s="93"/>
      <c r="BB1476" s="155"/>
      <c r="BC1476" s="93"/>
      <c r="BE1476" s="93"/>
      <c r="BG1476" s="93"/>
      <c r="BH1476" s="93"/>
      <c r="BI1476" s="93"/>
      <c r="BJ1476" s="155"/>
      <c r="BK1476" s="93"/>
    </row>
    <row r="1477">
      <c r="A1477" s="166">
        <v>44926.11414857639</v>
      </c>
      <c r="B1477" s="44" t="s">
        <v>125</v>
      </c>
      <c r="C1477" s="128">
        <v>868.1462694572598</v>
      </c>
      <c r="D1477" s="128">
        <v>14.0</v>
      </c>
      <c r="E1477" s="128">
        <v>860.9565347556269</v>
      </c>
      <c r="F1477" s="44" t="s">
        <v>110</v>
      </c>
      <c r="G1477" s="128">
        <v>934.9326779568866</v>
      </c>
      <c r="H1477" s="128">
        <v>15.0</v>
      </c>
      <c r="I1477" s="128">
        <v>927.7556622785306</v>
      </c>
      <c r="J1477" s="44" t="s">
        <v>27</v>
      </c>
      <c r="K1477" s="128">
        <v>1195.3638305029237</v>
      </c>
      <c r="L1477" s="128">
        <v>21.0</v>
      </c>
      <c r="M1477" s="128">
        <v>1190.7305808829126</v>
      </c>
      <c r="N1477" s="44"/>
      <c r="O1477" s="128"/>
      <c r="P1477" s="128"/>
      <c r="Q1477" s="128"/>
      <c r="V1477" s="44" t="s">
        <v>88</v>
      </c>
      <c r="W1477" s="128">
        <v>977.9234897754864</v>
      </c>
      <c r="X1477" s="128">
        <v>23.0</v>
      </c>
      <c r="Y1477" s="128">
        <v>985.7964761799375</v>
      </c>
      <c r="Z1477" s="44" t="s">
        <v>63</v>
      </c>
      <c r="AA1477" s="128">
        <v>1003.0676827244882</v>
      </c>
      <c r="AB1477" s="128">
        <v>17.0</v>
      </c>
      <c r="AC1477" s="128">
        <v>1007.6470066376633</v>
      </c>
      <c r="AD1477" s="44" t="s">
        <v>50</v>
      </c>
      <c r="AE1477" s="128">
        <v>1041.1106592339995</v>
      </c>
      <c r="AF1477" s="128">
        <v>21.0</v>
      </c>
      <c r="AG1477" s="128">
        <v>1047.6583489163734</v>
      </c>
      <c r="AH1477" s="44"/>
      <c r="AI1477" s="128"/>
      <c r="AJ1477" s="128"/>
      <c r="AK1477" s="128"/>
      <c r="AP1477" s="128">
        <v>10.0</v>
      </c>
      <c r="AQ1477" s="128">
        <v>18.0</v>
      </c>
      <c r="AT1477" s="44">
        <v>1476.0</v>
      </c>
      <c r="AU1477" s="44"/>
      <c r="AW1477" s="93"/>
      <c r="AY1477" s="93"/>
      <c r="AZ1477" s="93"/>
      <c r="BA1477" s="93"/>
      <c r="BB1477" s="155"/>
      <c r="BC1477" s="93"/>
      <c r="BE1477" s="93"/>
      <c r="BG1477" s="93"/>
      <c r="BH1477" s="93"/>
      <c r="BI1477" s="93"/>
      <c r="BJ1477" s="155"/>
      <c r="BK1477" s="93"/>
    </row>
    <row r="1478">
      <c r="A1478" s="166">
        <v>44926.825366805555</v>
      </c>
      <c r="B1478" s="44" t="s">
        <v>117</v>
      </c>
      <c r="C1478" s="128">
        <v>913.9447214807724</v>
      </c>
      <c r="D1478" s="128">
        <v>18.0</v>
      </c>
      <c r="E1478" s="128">
        <v>913.3108451469238</v>
      </c>
      <c r="F1478" s="44" t="s">
        <v>115</v>
      </c>
      <c r="G1478" s="128">
        <v>916.491400537565</v>
      </c>
      <c r="H1478" s="128">
        <v>12.0</v>
      </c>
      <c r="I1478" s="128">
        <v>915.3550596803419</v>
      </c>
      <c r="J1478" s="44" t="s">
        <v>65</v>
      </c>
      <c r="K1478" s="128">
        <v>1000.0</v>
      </c>
      <c r="L1478" s="128">
        <v>12.0</v>
      </c>
      <c r="M1478" s="128">
        <v>998.8017752622025</v>
      </c>
      <c r="N1478" s="44" t="s">
        <v>68</v>
      </c>
      <c r="O1478" s="128">
        <v>1000.0</v>
      </c>
      <c r="P1478" s="128">
        <v>14.0</v>
      </c>
      <c r="Q1478" s="128">
        <v>998.9684419288692</v>
      </c>
      <c r="V1478" s="44" t="s">
        <v>64</v>
      </c>
      <c r="W1478" s="128">
        <v>1003.7676827244882</v>
      </c>
      <c r="X1478" s="128">
        <v>20.0</v>
      </c>
      <c r="Y1478" s="128">
        <v>1004.7248990151213</v>
      </c>
      <c r="Z1478" s="44" t="s">
        <v>63</v>
      </c>
      <c r="AA1478" s="128">
        <v>1007.6470066376633</v>
      </c>
      <c r="AB1478" s="128">
        <v>17.0</v>
      </c>
      <c r="AC1478" s="128">
        <v>1008.3514751159204</v>
      </c>
      <c r="AD1478" s="44" t="s">
        <v>50</v>
      </c>
      <c r="AE1478" s="128">
        <v>1047.6583489163734</v>
      </c>
      <c r="AF1478" s="128">
        <v>21.0</v>
      </c>
      <c r="AG1478" s="128">
        <v>1048.6733545587624</v>
      </c>
      <c r="AH1478" s="44" t="s">
        <v>31</v>
      </c>
      <c r="AI1478" s="128">
        <v>1177.5620917714432</v>
      </c>
      <c r="AJ1478" s="128">
        <v>25.0</v>
      </c>
      <c r="AK1478" s="128">
        <v>1178.885401360164</v>
      </c>
      <c r="AP1478" s="128">
        <v>10.0</v>
      </c>
      <c r="AQ1478" s="128">
        <v>18.0</v>
      </c>
      <c r="AT1478" s="44">
        <v>1477.0</v>
      </c>
      <c r="AU1478" s="44"/>
      <c r="AW1478" s="93"/>
      <c r="AY1478" s="93"/>
      <c r="AZ1478" s="93"/>
      <c r="BA1478" s="93"/>
      <c r="BB1478" s="155"/>
      <c r="BC1478" s="93"/>
      <c r="BE1478" s="93"/>
      <c r="BG1478" s="93"/>
      <c r="BH1478" s="93"/>
      <c r="BI1478" s="93"/>
      <c r="BJ1478" s="155"/>
      <c r="BK1478" s="93"/>
    </row>
    <row r="1479">
      <c r="A1479" s="166"/>
      <c r="B1479" s="44"/>
      <c r="C1479" s="128"/>
      <c r="D1479" s="128"/>
      <c r="E1479" s="128"/>
      <c r="F1479" s="44"/>
      <c r="G1479" s="128"/>
      <c r="H1479" s="128"/>
      <c r="I1479" s="128"/>
      <c r="J1479" s="44"/>
      <c r="K1479" s="128"/>
      <c r="L1479" s="128"/>
      <c r="M1479" s="128"/>
      <c r="N1479" s="44"/>
      <c r="O1479" s="128"/>
      <c r="P1479" s="128"/>
      <c r="Q1479" s="128"/>
      <c r="V1479" s="44"/>
      <c r="W1479" s="128"/>
      <c r="X1479" s="128"/>
      <c r="Y1479" s="128"/>
      <c r="Z1479" s="44"/>
      <c r="AA1479" s="128"/>
      <c r="AB1479" s="128"/>
      <c r="AC1479" s="128"/>
      <c r="AD1479" s="44"/>
      <c r="AE1479" s="128"/>
      <c r="AF1479" s="128"/>
      <c r="AG1479" s="128"/>
      <c r="AH1479" s="44"/>
      <c r="AI1479" s="128"/>
      <c r="AJ1479" s="128"/>
      <c r="AK1479" s="128"/>
      <c r="AP1479" s="128"/>
      <c r="AQ1479" s="128"/>
      <c r="AT1479" s="44"/>
      <c r="AU1479" s="44"/>
      <c r="AW1479" s="93"/>
      <c r="AY1479" s="93"/>
      <c r="AZ1479" s="93"/>
      <c r="BA1479" s="93"/>
      <c r="BB1479" s="155"/>
      <c r="BC1479" s="93"/>
      <c r="BE1479" s="93"/>
      <c r="BG1479" s="93"/>
      <c r="BH1479" s="93"/>
      <c r="BI1479" s="93"/>
      <c r="BJ1479" s="155"/>
      <c r="BK1479" s="93"/>
    </row>
    <row r="1480">
      <c r="A1480" s="166"/>
      <c r="B1480" s="44"/>
      <c r="C1480" s="128"/>
      <c r="D1480" s="128"/>
      <c r="E1480" s="128"/>
      <c r="F1480" s="44"/>
      <c r="G1480" s="128"/>
      <c r="H1480" s="128"/>
      <c r="I1480" s="128"/>
      <c r="J1480" s="44"/>
      <c r="K1480" s="128"/>
      <c r="L1480" s="128"/>
      <c r="M1480" s="128"/>
      <c r="N1480" s="44"/>
      <c r="O1480" s="128"/>
      <c r="P1480" s="128"/>
      <c r="Q1480" s="128"/>
      <c r="V1480" s="44"/>
      <c r="W1480" s="128"/>
      <c r="X1480" s="128"/>
      <c r="Y1480" s="128"/>
      <c r="Z1480" s="44"/>
      <c r="AA1480" s="128"/>
      <c r="AB1480" s="128"/>
      <c r="AC1480" s="128"/>
      <c r="AD1480" s="44"/>
      <c r="AE1480" s="128"/>
      <c r="AF1480" s="128"/>
      <c r="AG1480" s="128"/>
      <c r="AH1480" s="44"/>
      <c r="AI1480" s="128"/>
      <c r="AJ1480" s="128"/>
      <c r="AK1480" s="128"/>
      <c r="AP1480" s="128"/>
      <c r="AQ1480" s="128"/>
      <c r="AT1480" s="44"/>
      <c r="AU1480" s="44"/>
      <c r="AW1480" s="93"/>
      <c r="AY1480" s="93"/>
      <c r="AZ1480" s="93"/>
      <c r="BA1480" s="93"/>
      <c r="BB1480" s="155"/>
      <c r="BC1480" s="93"/>
      <c r="BE1480" s="93"/>
      <c r="BG1480" s="93"/>
      <c r="BH1480" s="93"/>
      <c r="BI1480" s="93"/>
      <c r="BJ1480" s="155"/>
      <c r="BK1480" s="93"/>
    </row>
    <row r="1481">
      <c r="A1481" s="166"/>
      <c r="B1481" s="44"/>
      <c r="C1481" s="128"/>
      <c r="D1481" s="128"/>
      <c r="E1481" s="128"/>
      <c r="F1481" s="44"/>
      <c r="G1481" s="128"/>
      <c r="H1481" s="128"/>
      <c r="I1481" s="128"/>
      <c r="J1481" s="44"/>
      <c r="K1481" s="128"/>
      <c r="L1481" s="128"/>
      <c r="M1481" s="128"/>
      <c r="N1481" s="44"/>
      <c r="O1481" s="128"/>
      <c r="P1481" s="128"/>
      <c r="Q1481" s="128"/>
      <c r="V1481" s="44"/>
      <c r="W1481" s="128"/>
      <c r="X1481" s="128"/>
      <c r="Y1481" s="128"/>
      <c r="Z1481" s="44"/>
      <c r="AA1481" s="128"/>
      <c r="AB1481" s="128"/>
      <c r="AC1481" s="128"/>
      <c r="AD1481" s="44"/>
      <c r="AE1481" s="128"/>
      <c r="AF1481" s="128"/>
      <c r="AG1481" s="128"/>
      <c r="AH1481" s="44"/>
      <c r="AI1481" s="128"/>
      <c r="AJ1481" s="128"/>
      <c r="AK1481" s="128"/>
      <c r="AP1481" s="128"/>
      <c r="AQ1481" s="128"/>
      <c r="AT1481" s="44"/>
      <c r="AU1481" s="44"/>
      <c r="AW1481" s="93"/>
      <c r="AY1481" s="93"/>
      <c r="AZ1481" s="93"/>
      <c r="BA1481" s="93"/>
      <c r="BB1481" s="155"/>
      <c r="BC1481" s="93"/>
      <c r="BE1481" s="93"/>
      <c r="BG1481" s="93"/>
      <c r="BH1481" s="93"/>
      <c r="BI1481" s="93"/>
      <c r="BJ1481" s="155"/>
      <c r="BK1481" s="93"/>
    </row>
    <row r="1482">
      <c r="A1482" s="166"/>
      <c r="B1482" s="44"/>
      <c r="C1482" s="128"/>
      <c r="D1482" s="128"/>
      <c r="E1482" s="128"/>
      <c r="F1482" s="44"/>
      <c r="G1482" s="128"/>
      <c r="H1482" s="128"/>
      <c r="I1482" s="128"/>
      <c r="J1482" s="44"/>
      <c r="K1482" s="128"/>
      <c r="L1482" s="128"/>
      <c r="M1482" s="128"/>
      <c r="N1482" s="44"/>
      <c r="O1482" s="128"/>
      <c r="P1482" s="128"/>
      <c r="Q1482" s="128"/>
      <c r="V1482" s="44"/>
      <c r="W1482" s="128"/>
      <c r="X1482" s="128"/>
      <c r="Y1482" s="128"/>
      <c r="Z1482" s="44"/>
      <c r="AA1482" s="128"/>
      <c r="AB1482" s="128"/>
      <c r="AC1482" s="128"/>
      <c r="AD1482" s="44"/>
      <c r="AE1482" s="128"/>
      <c r="AF1482" s="128"/>
      <c r="AG1482" s="128"/>
      <c r="AH1482" s="44"/>
      <c r="AI1482" s="128"/>
      <c r="AJ1482" s="128"/>
      <c r="AK1482" s="128"/>
      <c r="AP1482" s="128"/>
      <c r="AQ1482" s="128"/>
      <c r="AT1482" s="44"/>
      <c r="AU1482" s="44"/>
      <c r="AW1482" s="93"/>
      <c r="AY1482" s="93"/>
      <c r="AZ1482" s="93"/>
      <c r="BA1482" s="93"/>
      <c r="BB1482" s="155"/>
      <c r="BC1482" s="93"/>
      <c r="BE1482" s="93"/>
      <c r="BG1482" s="93"/>
      <c r="BH1482" s="93"/>
      <c r="BI1482" s="93"/>
      <c r="BJ1482" s="155"/>
      <c r="BK1482" s="93"/>
    </row>
    <row r="1483">
      <c r="A1483" s="166"/>
      <c r="B1483" s="44"/>
      <c r="C1483" s="128"/>
      <c r="D1483" s="128"/>
      <c r="E1483" s="128"/>
      <c r="F1483" s="44"/>
      <c r="G1483" s="128"/>
      <c r="H1483" s="128"/>
      <c r="I1483" s="128"/>
      <c r="J1483" s="44"/>
      <c r="K1483" s="128"/>
      <c r="L1483" s="128"/>
      <c r="M1483" s="128"/>
      <c r="N1483" s="44"/>
      <c r="O1483" s="128"/>
      <c r="P1483" s="128"/>
      <c r="Q1483" s="128"/>
      <c r="V1483" s="44"/>
      <c r="W1483" s="128"/>
      <c r="X1483" s="128"/>
      <c r="Y1483" s="128"/>
      <c r="Z1483" s="44"/>
      <c r="AA1483" s="128"/>
      <c r="AB1483" s="128"/>
      <c r="AC1483" s="128"/>
      <c r="AD1483" s="44"/>
      <c r="AE1483" s="128"/>
      <c r="AF1483" s="128"/>
      <c r="AG1483" s="128"/>
      <c r="AH1483" s="44"/>
      <c r="AI1483" s="128"/>
      <c r="AJ1483" s="128"/>
      <c r="AK1483" s="128"/>
      <c r="AP1483" s="128"/>
      <c r="AQ1483" s="128"/>
      <c r="AT1483" s="44"/>
      <c r="AU1483" s="44"/>
      <c r="AW1483" s="93"/>
      <c r="AY1483" s="93"/>
      <c r="AZ1483" s="93"/>
      <c r="BA1483" s="93"/>
      <c r="BB1483" s="155"/>
      <c r="BC1483" s="93"/>
      <c r="BE1483" s="93"/>
      <c r="BG1483" s="93"/>
      <c r="BH1483" s="93"/>
      <c r="BI1483" s="93"/>
      <c r="BJ1483" s="155"/>
      <c r="BK1483" s="93"/>
    </row>
    <row r="1484">
      <c r="A1484" s="166"/>
      <c r="B1484" s="44"/>
      <c r="C1484" s="128"/>
      <c r="D1484" s="128"/>
      <c r="E1484" s="128"/>
      <c r="F1484" s="44"/>
      <c r="G1484" s="128"/>
      <c r="H1484" s="128"/>
      <c r="I1484" s="128"/>
      <c r="J1484" s="44"/>
      <c r="K1484" s="128"/>
      <c r="L1484" s="128"/>
      <c r="M1484" s="128"/>
      <c r="N1484" s="44"/>
      <c r="O1484" s="128"/>
      <c r="P1484" s="128"/>
      <c r="Q1484" s="128"/>
      <c r="V1484" s="44"/>
      <c r="W1484" s="128"/>
      <c r="X1484" s="128"/>
      <c r="Y1484" s="128"/>
      <c r="Z1484" s="44"/>
      <c r="AA1484" s="128"/>
      <c r="AB1484" s="128"/>
      <c r="AC1484" s="128"/>
      <c r="AD1484" s="44"/>
      <c r="AE1484" s="128"/>
      <c r="AF1484" s="128"/>
      <c r="AG1484" s="128"/>
      <c r="AH1484" s="44"/>
      <c r="AI1484" s="128"/>
      <c r="AJ1484" s="128"/>
      <c r="AK1484" s="128"/>
      <c r="AP1484" s="128"/>
      <c r="AQ1484" s="128"/>
      <c r="AT1484" s="44"/>
      <c r="AU1484" s="44"/>
      <c r="AW1484" s="93"/>
      <c r="AY1484" s="93"/>
      <c r="AZ1484" s="93"/>
      <c r="BA1484" s="93"/>
      <c r="BB1484" s="155"/>
      <c r="BC1484" s="93"/>
      <c r="BE1484" s="93"/>
      <c r="BG1484" s="93"/>
      <c r="BH1484" s="93"/>
      <c r="BI1484" s="93"/>
      <c r="BJ1484" s="155"/>
      <c r="BK1484" s="93"/>
    </row>
    <row r="1485">
      <c r="A1485" s="166"/>
      <c r="B1485" s="44"/>
      <c r="C1485" s="128"/>
      <c r="D1485" s="128"/>
      <c r="E1485" s="128"/>
      <c r="F1485" s="44"/>
      <c r="G1485" s="128"/>
      <c r="H1485" s="128"/>
      <c r="I1485" s="128"/>
      <c r="J1485" s="44"/>
      <c r="K1485" s="128"/>
      <c r="L1485" s="128"/>
      <c r="M1485" s="128"/>
      <c r="N1485" s="44"/>
      <c r="O1485" s="128"/>
      <c r="P1485" s="128"/>
      <c r="Q1485" s="128"/>
      <c r="V1485" s="44"/>
      <c r="W1485" s="128"/>
      <c r="X1485" s="128"/>
      <c r="Y1485" s="128"/>
      <c r="Z1485" s="44"/>
      <c r="AA1485" s="128"/>
      <c r="AB1485" s="128"/>
      <c r="AC1485" s="128"/>
      <c r="AD1485" s="44"/>
      <c r="AE1485" s="128"/>
      <c r="AF1485" s="128"/>
      <c r="AG1485" s="128"/>
      <c r="AH1485" s="44"/>
      <c r="AI1485" s="128"/>
      <c r="AJ1485" s="128"/>
      <c r="AK1485" s="128"/>
      <c r="AP1485" s="128"/>
      <c r="AQ1485" s="128"/>
      <c r="AT1485" s="44"/>
      <c r="AU1485" s="44"/>
      <c r="AW1485" s="93"/>
      <c r="AY1485" s="93"/>
      <c r="AZ1485" s="93"/>
      <c r="BA1485" s="93"/>
      <c r="BB1485" s="155"/>
      <c r="BC1485" s="93"/>
      <c r="BE1485" s="93"/>
      <c r="BG1485" s="93"/>
      <c r="BH1485" s="93"/>
      <c r="BI1485" s="93"/>
      <c r="BJ1485" s="155"/>
      <c r="BK1485" s="93"/>
    </row>
    <row r="1486">
      <c r="A1486" s="166"/>
      <c r="B1486" s="44"/>
      <c r="C1486" s="128"/>
      <c r="D1486" s="128"/>
      <c r="E1486" s="128"/>
      <c r="F1486" s="44"/>
      <c r="G1486" s="128"/>
      <c r="H1486" s="128"/>
      <c r="I1486" s="128"/>
      <c r="J1486" s="44"/>
      <c r="K1486" s="128"/>
      <c r="L1486" s="128"/>
      <c r="M1486" s="128"/>
      <c r="N1486" s="44"/>
      <c r="O1486" s="128"/>
      <c r="P1486" s="128"/>
      <c r="Q1486" s="128"/>
      <c r="V1486" s="44"/>
      <c r="W1486" s="128"/>
      <c r="X1486" s="128"/>
      <c r="Y1486" s="128"/>
      <c r="Z1486" s="44"/>
      <c r="AA1486" s="128"/>
      <c r="AB1486" s="128"/>
      <c r="AC1486" s="128"/>
      <c r="AD1486" s="44"/>
      <c r="AE1486" s="128"/>
      <c r="AF1486" s="128"/>
      <c r="AG1486" s="128"/>
      <c r="AH1486" s="44"/>
      <c r="AI1486" s="128"/>
      <c r="AJ1486" s="128"/>
      <c r="AK1486" s="128"/>
      <c r="AP1486" s="128"/>
      <c r="AQ1486" s="128"/>
      <c r="AT1486" s="44"/>
      <c r="AU1486" s="44"/>
      <c r="AW1486" s="93"/>
      <c r="AY1486" s="93"/>
      <c r="AZ1486" s="93"/>
      <c r="BA1486" s="93"/>
      <c r="BB1486" s="155"/>
      <c r="BC1486" s="93"/>
      <c r="BE1486" s="93"/>
      <c r="BG1486" s="93"/>
      <c r="BH1486" s="93"/>
      <c r="BI1486" s="93"/>
      <c r="BJ1486" s="155"/>
      <c r="BK1486" s="93"/>
    </row>
    <row r="1487">
      <c r="A1487" s="166"/>
      <c r="B1487" s="44"/>
      <c r="C1487" s="128"/>
      <c r="D1487" s="128"/>
      <c r="E1487" s="128"/>
      <c r="F1487" s="44"/>
      <c r="G1487" s="128"/>
      <c r="H1487" s="128"/>
      <c r="I1487" s="128"/>
      <c r="J1487" s="44"/>
      <c r="K1487" s="128"/>
      <c r="L1487" s="128"/>
      <c r="M1487" s="128"/>
      <c r="N1487" s="44"/>
      <c r="O1487" s="128"/>
      <c r="P1487" s="128"/>
      <c r="Q1487" s="128"/>
      <c r="V1487" s="44"/>
      <c r="W1487" s="128"/>
      <c r="X1487" s="128"/>
      <c r="Y1487" s="128"/>
      <c r="Z1487" s="44"/>
      <c r="AA1487" s="128"/>
      <c r="AB1487" s="128"/>
      <c r="AC1487" s="128"/>
      <c r="AD1487" s="44"/>
      <c r="AE1487" s="128"/>
      <c r="AF1487" s="128"/>
      <c r="AG1487" s="128"/>
      <c r="AH1487" s="44"/>
      <c r="AI1487" s="128"/>
      <c r="AJ1487" s="128"/>
      <c r="AK1487" s="128"/>
      <c r="AP1487" s="128"/>
      <c r="AQ1487" s="128"/>
      <c r="AT1487" s="44"/>
      <c r="AU1487" s="44"/>
      <c r="AW1487" s="93"/>
      <c r="AY1487" s="93"/>
      <c r="AZ1487" s="93"/>
      <c r="BA1487" s="93"/>
      <c r="BB1487" s="155"/>
      <c r="BC1487" s="93"/>
      <c r="BE1487" s="93"/>
      <c r="BG1487" s="93"/>
      <c r="BH1487" s="93"/>
      <c r="BI1487" s="93"/>
      <c r="BJ1487" s="155"/>
      <c r="BK1487" s="93"/>
    </row>
    <row r="1488">
      <c r="A1488" s="166"/>
      <c r="B1488" s="44"/>
      <c r="C1488" s="128"/>
      <c r="D1488" s="128"/>
      <c r="E1488" s="128"/>
      <c r="F1488" s="44"/>
      <c r="G1488" s="128"/>
      <c r="H1488" s="128"/>
      <c r="I1488" s="128"/>
      <c r="J1488" s="44"/>
      <c r="K1488" s="128"/>
      <c r="L1488" s="128"/>
      <c r="M1488" s="128"/>
      <c r="N1488" s="44"/>
      <c r="O1488" s="128"/>
      <c r="P1488" s="128"/>
      <c r="Q1488" s="128"/>
      <c r="V1488" s="44"/>
      <c r="W1488" s="128"/>
      <c r="X1488" s="128"/>
      <c r="Y1488" s="128"/>
      <c r="Z1488" s="44"/>
      <c r="AA1488" s="128"/>
      <c r="AB1488" s="128"/>
      <c r="AC1488" s="128"/>
      <c r="AD1488" s="44"/>
      <c r="AE1488" s="128"/>
      <c r="AF1488" s="128"/>
      <c r="AG1488" s="128"/>
      <c r="AH1488" s="44"/>
      <c r="AI1488" s="128"/>
      <c r="AJ1488" s="128"/>
      <c r="AK1488" s="128"/>
      <c r="AP1488" s="128"/>
      <c r="AQ1488" s="128"/>
      <c r="AT1488" s="44"/>
      <c r="AU1488" s="44"/>
      <c r="AW1488" s="93"/>
      <c r="AY1488" s="93"/>
      <c r="AZ1488" s="93"/>
      <c r="BA1488" s="93"/>
      <c r="BB1488" s="155"/>
      <c r="BC1488" s="93"/>
      <c r="BE1488" s="93"/>
      <c r="BG1488" s="93"/>
      <c r="BH1488" s="93"/>
      <c r="BI1488" s="93"/>
      <c r="BJ1488" s="155"/>
      <c r="BK1488" s="93"/>
    </row>
    <row r="1489">
      <c r="A1489" s="166"/>
      <c r="B1489" s="44"/>
      <c r="C1489" s="128"/>
      <c r="D1489" s="128"/>
      <c r="E1489" s="128"/>
      <c r="F1489" s="44"/>
      <c r="G1489" s="128"/>
      <c r="H1489" s="128"/>
      <c r="I1489" s="128"/>
      <c r="J1489" s="44"/>
      <c r="K1489" s="128"/>
      <c r="L1489" s="128"/>
      <c r="M1489" s="128"/>
      <c r="N1489" s="44"/>
      <c r="O1489" s="128"/>
      <c r="P1489" s="128"/>
      <c r="Q1489" s="128"/>
      <c r="V1489" s="44"/>
      <c r="W1489" s="128"/>
      <c r="X1489" s="128"/>
      <c r="Y1489" s="128"/>
      <c r="Z1489" s="44"/>
      <c r="AA1489" s="128"/>
      <c r="AB1489" s="128"/>
      <c r="AC1489" s="128"/>
      <c r="AD1489" s="44"/>
      <c r="AE1489" s="128"/>
      <c r="AF1489" s="128"/>
      <c r="AG1489" s="128"/>
      <c r="AH1489" s="44"/>
      <c r="AI1489" s="128"/>
      <c r="AJ1489" s="128"/>
      <c r="AK1489" s="128"/>
      <c r="AP1489" s="128"/>
      <c r="AQ1489" s="128"/>
      <c r="AT1489" s="44"/>
      <c r="AU1489" s="44"/>
      <c r="AW1489" s="93"/>
      <c r="AY1489" s="93"/>
      <c r="AZ1489" s="93"/>
      <c r="BA1489" s="93"/>
      <c r="BB1489" s="155"/>
      <c r="BC1489" s="93"/>
      <c r="BE1489" s="93"/>
      <c r="BG1489" s="93"/>
      <c r="BH1489" s="93"/>
      <c r="BI1489" s="93"/>
      <c r="BJ1489" s="155"/>
      <c r="BK1489" s="93"/>
    </row>
    <row r="1490">
      <c r="A1490" s="166"/>
      <c r="B1490" s="44"/>
      <c r="C1490" s="128"/>
      <c r="D1490" s="128"/>
      <c r="E1490" s="128"/>
      <c r="F1490" s="44"/>
      <c r="G1490" s="128"/>
      <c r="H1490" s="128"/>
      <c r="I1490" s="128"/>
      <c r="J1490" s="44"/>
      <c r="K1490" s="128"/>
      <c r="L1490" s="128"/>
      <c r="M1490" s="128"/>
      <c r="N1490" s="44"/>
      <c r="O1490" s="128"/>
      <c r="P1490" s="128"/>
      <c r="Q1490" s="128"/>
      <c r="V1490" s="44"/>
      <c r="W1490" s="128"/>
      <c r="X1490" s="128"/>
      <c r="Y1490" s="128"/>
      <c r="Z1490" s="44"/>
      <c r="AA1490" s="128"/>
      <c r="AB1490" s="128"/>
      <c r="AC1490" s="128"/>
      <c r="AD1490" s="44"/>
      <c r="AE1490" s="128"/>
      <c r="AF1490" s="128"/>
      <c r="AG1490" s="128"/>
      <c r="AH1490" s="44"/>
      <c r="AI1490" s="128"/>
      <c r="AJ1490" s="128"/>
      <c r="AK1490" s="128"/>
      <c r="AP1490" s="128"/>
      <c r="AQ1490" s="128"/>
      <c r="AT1490" s="44"/>
      <c r="AU1490" s="44"/>
      <c r="AW1490" s="93"/>
      <c r="AY1490" s="93"/>
      <c r="AZ1490" s="93"/>
      <c r="BA1490" s="93"/>
      <c r="BB1490" s="155"/>
      <c r="BC1490" s="93"/>
      <c r="BE1490" s="93"/>
      <c r="BG1490" s="93"/>
      <c r="BH1490" s="93"/>
      <c r="BI1490" s="93"/>
      <c r="BJ1490" s="155"/>
      <c r="BK1490" s="93"/>
    </row>
    <row r="1491">
      <c r="A1491" s="166"/>
      <c r="B1491" s="44"/>
      <c r="C1491" s="128"/>
      <c r="D1491" s="128"/>
      <c r="E1491" s="128"/>
      <c r="F1491" s="44"/>
      <c r="G1491" s="128"/>
      <c r="H1491" s="128"/>
      <c r="I1491" s="128"/>
      <c r="J1491" s="44"/>
      <c r="K1491" s="128"/>
      <c r="L1491" s="128"/>
      <c r="M1491" s="128"/>
      <c r="N1491" s="44"/>
      <c r="O1491" s="128"/>
      <c r="P1491" s="128"/>
      <c r="Q1491" s="128"/>
      <c r="V1491" s="44"/>
      <c r="W1491" s="128"/>
      <c r="X1491" s="128"/>
      <c r="Y1491" s="128"/>
      <c r="Z1491" s="44"/>
      <c r="AA1491" s="128"/>
      <c r="AB1491" s="128"/>
      <c r="AC1491" s="128"/>
      <c r="AD1491" s="44"/>
      <c r="AE1491" s="128"/>
      <c r="AF1491" s="128"/>
      <c r="AG1491" s="128"/>
      <c r="AH1491" s="44"/>
      <c r="AI1491" s="128"/>
      <c r="AJ1491" s="128"/>
      <c r="AK1491" s="128"/>
      <c r="AP1491" s="128"/>
      <c r="AQ1491" s="128"/>
      <c r="AT1491" s="44"/>
      <c r="AU1491" s="44"/>
      <c r="AW1491" s="93"/>
      <c r="AY1491" s="93"/>
      <c r="AZ1491" s="93"/>
      <c r="BA1491" s="93"/>
      <c r="BB1491" s="155"/>
      <c r="BC1491" s="93"/>
      <c r="BE1491" s="93"/>
      <c r="BG1491" s="93"/>
      <c r="BH1491" s="93"/>
      <c r="BI1491" s="93"/>
      <c r="BJ1491" s="155"/>
      <c r="BK1491" s="93"/>
    </row>
    <row r="1492">
      <c r="A1492" s="166"/>
      <c r="B1492" s="44"/>
      <c r="C1492" s="128"/>
      <c r="D1492" s="128"/>
      <c r="E1492" s="128"/>
      <c r="F1492" s="44"/>
      <c r="G1492" s="128"/>
      <c r="H1492" s="128"/>
      <c r="I1492" s="128"/>
      <c r="J1492" s="44"/>
      <c r="K1492" s="128"/>
      <c r="L1492" s="128"/>
      <c r="M1492" s="128"/>
      <c r="N1492" s="44"/>
      <c r="O1492" s="128"/>
      <c r="P1492" s="128"/>
      <c r="Q1492" s="128"/>
      <c r="V1492" s="44"/>
      <c r="W1492" s="128"/>
      <c r="X1492" s="128"/>
      <c r="Y1492" s="128"/>
      <c r="Z1492" s="44"/>
      <c r="AA1492" s="128"/>
      <c r="AB1492" s="128"/>
      <c r="AC1492" s="128"/>
      <c r="AD1492" s="44"/>
      <c r="AE1492" s="128"/>
      <c r="AF1492" s="128"/>
      <c r="AG1492" s="128"/>
      <c r="AH1492" s="44"/>
      <c r="AI1492" s="128"/>
      <c r="AJ1492" s="128"/>
      <c r="AK1492" s="128"/>
      <c r="AP1492" s="128"/>
      <c r="AQ1492" s="128"/>
      <c r="AT1492" s="44"/>
      <c r="AU1492" s="44"/>
      <c r="AW1492" s="93"/>
      <c r="AY1492" s="93"/>
      <c r="AZ1492" s="93"/>
      <c r="BA1492" s="93"/>
      <c r="BB1492" s="155"/>
      <c r="BC1492" s="93"/>
      <c r="BE1492" s="93"/>
      <c r="BG1492" s="93"/>
      <c r="BH1492" s="93"/>
      <c r="BI1492" s="93"/>
      <c r="BJ1492" s="155"/>
      <c r="BK1492" s="93"/>
    </row>
    <row r="1493">
      <c r="A1493" s="166"/>
      <c r="B1493" s="44"/>
      <c r="C1493" s="128"/>
      <c r="D1493" s="128"/>
      <c r="E1493" s="128"/>
      <c r="F1493" s="44"/>
      <c r="G1493" s="128"/>
      <c r="H1493" s="128"/>
      <c r="I1493" s="128"/>
      <c r="J1493" s="44"/>
      <c r="K1493" s="128"/>
      <c r="L1493" s="128"/>
      <c r="M1493" s="128"/>
      <c r="N1493" s="44"/>
      <c r="O1493" s="128"/>
      <c r="P1493" s="128"/>
      <c r="Q1493" s="128"/>
      <c r="V1493" s="44"/>
      <c r="W1493" s="128"/>
      <c r="X1493" s="128"/>
      <c r="Y1493" s="128"/>
      <c r="Z1493" s="44"/>
      <c r="AA1493" s="128"/>
      <c r="AB1493" s="128"/>
      <c r="AC1493" s="128"/>
      <c r="AD1493" s="44"/>
      <c r="AE1493" s="128"/>
      <c r="AF1493" s="128"/>
      <c r="AG1493" s="128"/>
      <c r="AH1493" s="44"/>
      <c r="AI1493" s="128"/>
      <c r="AJ1493" s="128"/>
      <c r="AK1493" s="128"/>
      <c r="AP1493" s="128"/>
      <c r="AQ1493" s="128"/>
      <c r="AT1493" s="44"/>
      <c r="AU1493" s="44"/>
      <c r="AW1493" s="93"/>
      <c r="AY1493" s="93"/>
      <c r="AZ1493" s="93"/>
      <c r="BA1493" s="93"/>
      <c r="BB1493" s="155"/>
      <c r="BC1493" s="93"/>
      <c r="BE1493" s="93"/>
      <c r="BG1493" s="93"/>
      <c r="BH1493" s="93"/>
      <c r="BI1493" s="93"/>
      <c r="BJ1493" s="155"/>
      <c r="BK1493" s="93"/>
    </row>
    <row r="1494">
      <c r="A1494" s="166"/>
      <c r="B1494" s="44"/>
      <c r="C1494" s="128"/>
      <c r="D1494" s="128"/>
      <c r="E1494" s="128"/>
      <c r="F1494" s="44"/>
      <c r="G1494" s="128"/>
      <c r="H1494" s="128"/>
      <c r="I1494" s="128"/>
      <c r="J1494" s="44"/>
      <c r="K1494" s="128"/>
      <c r="L1494" s="128"/>
      <c r="M1494" s="128"/>
      <c r="N1494" s="44"/>
      <c r="O1494" s="128"/>
      <c r="P1494" s="128"/>
      <c r="Q1494" s="128"/>
      <c r="V1494" s="44"/>
      <c r="W1494" s="128"/>
      <c r="X1494" s="128"/>
      <c r="Y1494" s="128"/>
      <c r="Z1494" s="44"/>
      <c r="AA1494" s="128"/>
      <c r="AB1494" s="128"/>
      <c r="AC1494" s="128"/>
      <c r="AD1494" s="44"/>
      <c r="AE1494" s="128"/>
      <c r="AF1494" s="128"/>
      <c r="AG1494" s="128"/>
      <c r="AH1494" s="44"/>
      <c r="AI1494" s="128"/>
      <c r="AJ1494" s="128"/>
      <c r="AK1494" s="128"/>
      <c r="AP1494" s="128"/>
      <c r="AQ1494" s="128"/>
      <c r="AT1494" s="44"/>
      <c r="AU1494" s="44"/>
      <c r="AW1494" s="93"/>
      <c r="AY1494" s="93"/>
      <c r="AZ1494" s="93"/>
      <c r="BA1494" s="93"/>
      <c r="BB1494" s="155"/>
      <c r="BC1494" s="93"/>
      <c r="BE1494" s="93"/>
      <c r="BG1494" s="93"/>
      <c r="BH1494" s="93"/>
      <c r="BI1494" s="93"/>
      <c r="BJ1494" s="155"/>
      <c r="BK1494" s="93"/>
    </row>
    <row r="1495">
      <c r="A1495" s="166"/>
      <c r="B1495" s="44"/>
      <c r="C1495" s="128"/>
      <c r="D1495" s="128"/>
      <c r="E1495" s="128"/>
      <c r="F1495" s="44"/>
      <c r="G1495" s="128"/>
      <c r="H1495" s="128"/>
      <c r="I1495" s="128"/>
      <c r="J1495" s="44"/>
      <c r="K1495" s="128"/>
      <c r="L1495" s="128"/>
      <c r="M1495" s="128"/>
      <c r="N1495" s="44"/>
      <c r="O1495" s="128"/>
      <c r="P1495" s="128"/>
      <c r="Q1495" s="128"/>
      <c r="V1495" s="44"/>
      <c r="W1495" s="128"/>
      <c r="X1495" s="128"/>
      <c r="Y1495" s="128"/>
      <c r="Z1495" s="44"/>
      <c r="AA1495" s="128"/>
      <c r="AB1495" s="128"/>
      <c r="AC1495" s="128"/>
      <c r="AD1495" s="44"/>
      <c r="AE1495" s="128"/>
      <c r="AF1495" s="128"/>
      <c r="AG1495" s="128"/>
      <c r="AH1495" s="44"/>
      <c r="AI1495" s="128"/>
      <c r="AJ1495" s="128"/>
      <c r="AK1495" s="128"/>
      <c r="AP1495" s="128"/>
      <c r="AQ1495" s="128"/>
      <c r="AT1495" s="44"/>
      <c r="AU1495" s="44"/>
      <c r="AW1495" s="93"/>
      <c r="AY1495" s="93"/>
      <c r="AZ1495" s="93"/>
      <c r="BA1495" s="93"/>
      <c r="BB1495" s="155"/>
      <c r="BC1495" s="93"/>
      <c r="BE1495" s="93"/>
      <c r="BG1495" s="93"/>
      <c r="BH1495" s="93"/>
      <c r="BI1495" s="93"/>
      <c r="BJ1495" s="155"/>
      <c r="BK1495" s="93"/>
    </row>
    <row r="1496">
      <c r="A1496" s="166"/>
      <c r="B1496" s="44"/>
      <c r="C1496" s="128"/>
      <c r="D1496" s="128"/>
      <c r="E1496" s="128"/>
      <c r="F1496" s="44"/>
      <c r="G1496" s="128"/>
      <c r="H1496" s="128"/>
      <c r="I1496" s="128"/>
      <c r="J1496" s="44"/>
      <c r="K1496" s="128"/>
      <c r="L1496" s="128"/>
      <c r="M1496" s="128"/>
      <c r="N1496" s="44"/>
      <c r="O1496" s="128"/>
      <c r="P1496" s="128"/>
      <c r="Q1496" s="128"/>
      <c r="V1496" s="44"/>
      <c r="W1496" s="128"/>
      <c r="X1496" s="128"/>
      <c r="Y1496" s="128"/>
      <c r="Z1496" s="44"/>
      <c r="AA1496" s="128"/>
      <c r="AB1496" s="128"/>
      <c r="AC1496" s="128"/>
      <c r="AD1496" s="44"/>
      <c r="AE1496" s="128"/>
      <c r="AF1496" s="128"/>
      <c r="AG1496" s="128"/>
      <c r="AH1496" s="44"/>
      <c r="AI1496" s="128"/>
      <c r="AJ1496" s="128"/>
      <c r="AK1496" s="128"/>
      <c r="AP1496" s="128"/>
      <c r="AQ1496" s="128"/>
      <c r="AT1496" s="44"/>
      <c r="AU1496" s="44"/>
      <c r="AW1496" s="93"/>
      <c r="AY1496" s="93"/>
      <c r="AZ1496" s="93"/>
      <c r="BA1496" s="93"/>
      <c r="BB1496" s="155"/>
      <c r="BC1496" s="93"/>
      <c r="BE1496" s="93"/>
      <c r="BG1496" s="93"/>
      <c r="BH1496" s="93"/>
      <c r="BI1496" s="93"/>
      <c r="BJ1496" s="155"/>
      <c r="BK1496" s="93"/>
    </row>
    <row r="1497">
      <c r="A1497" s="166"/>
      <c r="B1497" s="44"/>
      <c r="C1497" s="128"/>
      <c r="D1497" s="128"/>
      <c r="E1497" s="128"/>
      <c r="F1497" s="44"/>
      <c r="G1497" s="128"/>
      <c r="H1497" s="128"/>
      <c r="I1497" s="128"/>
      <c r="J1497" s="44"/>
      <c r="K1497" s="128"/>
      <c r="L1497" s="128"/>
      <c r="M1497" s="128"/>
      <c r="N1497" s="44"/>
      <c r="O1497" s="128"/>
      <c r="P1497" s="128"/>
      <c r="Q1497" s="128"/>
      <c r="V1497" s="44"/>
      <c r="W1497" s="128"/>
      <c r="X1497" s="128"/>
      <c r="Y1497" s="128"/>
      <c r="Z1497" s="44"/>
      <c r="AA1497" s="128"/>
      <c r="AB1497" s="128"/>
      <c r="AC1497" s="128"/>
      <c r="AD1497" s="44"/>
      <c r="AE1497" s="128"/>
      <c r="AF1497" s="128"/>
      <c r="AG1497" s="128"/>
      <c r="AH1497" s="44"/>
      <c r="AI1497" s="128"/>
      <c r="AJ1497" s="128"/>
      <c r="AK1497" s="128"/>
      <c r="AP1497" s="128"/>
      <c r="AQ1497" s="128"/>
      <c r="AT1497" s="44"/>
      <c r="AU1497" s="44"/>
      <c r="AW1497" s="93"/>
      <c r="AY1497" s="93"/>
      <c r="AZ1497" s="93"/>
      <c r="BA1497" s="93"/>
      <c r="BB1497" s="155"/>
      <c r="BC1497" s="93"/>
      <c r="BE1497" s="93"/>
      <c r="BG1497" s="93"/>
      <c r="BH1497" s="93"/>
      <c r="BI1497" s="93"/>
      <c r="BJ1497" s="155"/>
      <c r="BK1497" s="93"/>
    </row>
    <row r="1498">
      <c r="A1498" s="166"/>
      <c r="B1498" s="44"/>
      <c r="C1498" s="128"/>
      <c r="D1498" s="128"/>
      <c r="E1498" s="128"/>
      <c r="F1498" s="44"/>
      <c r="G1498" s="128"/>
      <c r="H1498" s="128"/>
      <c r="I1498" s="128"/>
      <c r="J1498" s="44"/>
      <c r="K1498" s="128"/>
      <c r="L1498" s="128"/>
      <c r="M1498" s="128"/>
      <c r="N1498" s="44"/>
      <c r="O1498" s="128"/>
      <c r="P1498" s="128"/>
      <c r="Q1498" s="128"/>
      <c r="V1498" s="44"/>
      <c r="W1498" s="128"/>
      <c r="X1498" s="128"/>
      <c r="Y1498" s="128"/>
      <c r="Z1498" s="44"/>
      <c r="AA1498" s="128"/>
      <c r="AB1498" s="128"/>
      <c r="AC1498" s="128"/>
      <c r="AD1498" s="44"/>
      <c r="AE1498" s="128"/>
      <c r="AF1498" s="128"/>
      <c r="AG1498" s="128"/>
      <c r="AH1498" s="44"/>
      <c r="AI1498" s="128"/>
      <c r="AJ1498" s="128"/>
      <c r="AK1498" s="128"/>
      <c r="AP1498" s="128"/>
      <c r="AQ1498" s="128"/>
      <c r="AT1498" s="44"/>
      <c r="AU1498" s="44"/>
      <c r="AW1498" s="93"/>
      <c r="AY1498" s="93"/>
      <c r="AZ1498" s="93"/>
      <c r="BA1498" s="93"/>
      <c r="BB1498" s="155"/>
      <c r="BC1498" s="93"/>
      <c r="BE1498" s="93"/>
      <c r="BG1498" s="93"/>
      <c r="BH1498" s="93"/>
      <c r="BI1498" s="93"/>
      <c r="BJ1498" s="155"/>
      <c r="BK1498" s="93"/>
    </row>
    <row r="1499">
      <c r="A1499" s="166"/>
      <c r="B1499" s="44"/>
      <c r="C1499" s="128"/>
      <c r="D1499" s="128"/>
      <c r="E1499" s="128"/>
      <c r="F1499" s="44"/>
      <c r="G1499" s="128"/>
      <c r="H1499" s="128"/>
      <c r="I1499" s="128"/>
      <c r="J1499" s="44"/>
      <c r="K1499" s="128"/>
      <c r="L1499" s="128"/>
      <c r="M1499" s="128"/>
      <c r="N1499" s="44"/>
      <c r="O1499" s="128"/>
      <c r="P1499" s="128"/>
      <c r="Q1499" s="128"/>
      <c r="V1499" s="44"/>
      <c r="W1499" s="128"/>
      <c r="X1499" s="128"/>
      <c r="Y1499" s="128"/>
      <c r="Z1499" s="44"/>
      <c r="AA1499" s="128"/>
      <c r="AB1499" s="128"/>
      <c r="AC1499" s="128"/>
      <c r="AD1499" s="44"/>
      <c r="AE1499" s="128"/>
      <c r="AF1499" s="128"/>
      <c r="AG1499" s="128"/>
      <c r="AH1499" s="44"/>
      <c r="AI1499" s="128"/>
      <c r="AJ1499" s="128"/>
      <c r="AK1499" s="128"/>
      <c r="AP1499" s="128"/>
      <c r="AQ1499" s="128"/>
      <c r="AT1499" s="44"/>
      <c r="AU1499" s="44"/>
      <c r="AW1499" s="93"/>
      <c r="AY1499" s="93"/>
      <c r="AZ1499" s="93"/>
      <c r="BA1499" s="93"/>
      <c r="BB1499" s="155"/>
      <c r="BC1499" s="93"/>
      <c r="BE1499" s="93"/>
      <c r="BG1499" s="93"/>
      <c r="BH1499" s="93"/>
      <c r="BI1499" s="93"/>
      <c r="BJ1499" s="155"/>
      <c r="BK1499" s="93"/>
    </row>
    <row r="1500">
      <c r="A1500" s="166"/>
      <c r="B1500" s="44"/>
      <c r="C1500" s="128"/>
      <c r="D1500" s="128"/>
      <c r="E1500" s="128"/>
      <c r="F1500" s="44"/>
      <c r="G1500" s="128"/>
      <c r="H1500" s="128"/>
      <c r="I1500" s="128"/>
      <c r="J1500" s="44"/>
      <c r="K1500" s="128"/>
      <c r="L1500" s="128"/>
      <c r="M1500" s="128"/>
      <c r="N1500" s="44"/>
      <c r="O1500" s="128"/>
      <c r="P1500" s="128"/>
      <c r="Q1500" s="128"/>
      <c r="V1500" s="44"/>
      <c r="W1500" s="128"/>
      <c r="X1500" s="128"/>
      <c r="Y1500" s="128"/>
      <c r="Z1500" s="44"/>
      <c r="AA1500" s="128"/>
      <c r="AB1500" s="128"/>
      <c r="AC1500" s="128"/>
      <c r="AD1500" s="44"/>
      <c r="AE1500" s="128"/>
      <c r="AF1500" s="128"/>
      <c r="AG1500" s="128"/>
      <c r="AH1500" s="44"/>
      <c r="AI1500" s="128"/>
      <c r="AJ1500" s="128"/>
      <c r="AK1500" s="128"/>
      <c r="AP1500" s="128"/>
      <c r="AQ1500" s="128"/>
      <c r="AT1500" s="44"/>
      <c r="AU1500" s="44"/>
      <c r="AW1500" s="93"/>
      <c r="AY1500" s="93"/>
      <c r="AZ1500" s="93"/>
      <c r="BA1500" s="93"/>
      <c r="BB1500" s="155"/>
      <c r="BC1500" s="93"/>
      <c r="BE1500" s="93"/>
      <c r="BG1500" s="93"/>
      <c r="BH1500" s="93"/>
      <c r="BI1500" s="93"/>
      <c r="BJ1500" s="155"/>
      <c r="BK1500" s="93"/>
    </row>
    <row r="1501">
      <c r="A1501" s="166"/>
      <c r="B1501" s="44"/>
      <c r="C1501" s="128"/>
      <c r="D1501" s="128"/>
      <c r="E1501" s="128"/>
      <c r="F1501" s="44"/>
      <c r="G1501" s="128"/>
      <c r="H1501" s="128"/>
      <c r="I1501" s="128"/>
      <c r="J1501" s="44"/>
      <c r="K1501" s="128"/>
      <c r="L1501" s="128"/>
      <c r="M1501" s="128"/>
      <c r="N1501" s="44"/>
      <c r="O1501" s="128"/>
      <c r="P1501" s="128"/>
      <c r="Q1501" s="128"/>
      <c r="V1501" s="44"/>
      <c r="W1501" s="128"/>
      <c r="X1501" s="128"/>
      <c r="Y1501" s="128"/>
      <c r="Z1501" s="44"/>
      <c r="AA1501" s="128"/>
      <c r="AB1501" s="128"/>
      <c r="AC1501" s="128"/>
      <c r="AD1501" s="44"/>
      <c r="AE1501" s="128"/>
      <c r="AF1501" s="128"/>
      <c r="AG1501" s="128"/>
      <c r="AH1501" s="44"/>
      <c r="AI1501" s="128"/>
      <c r="AJ1501" s="128"/>
      <c r="AK1501" s="128"/>
      <c r="AP1501" s="128"/>
      <c r="AQ1501" s="128"/>
      <c r="AT1501" s="44"/>
      <c r="AU1501" s="44"/>
      <c r="AW1501" s="93"/>
      <c r="AY1501" s="93"/>
      <c r="AZ1501" s="93"/>
      <c r="BA1501" s="93"/>
      <c r="BB1501" s="155"/>
      <c r="BC1501" s="93"/>
      <c r="BE1501" s="93"/>
      <c r="BG1501" s="93"/>
      <c r="BH1501" s="93"/>
      <c r="BI1501" s="93"/>
      <c r="BJ1501" s="155"/>
      <c r="BK1501" s="93"/>
    </row>
  </sheetData>
  <conditionalFormatting sqref="BE804">
    <cfRule type="notContainsBlanks" dxfId="8" priority="1">
      <formula>LEN(TRIM(BE804))&gt;0</formula>
    </cfRule>
  </conditionalFormatting>
  <conditionalFormatting sqref="AT1:AU1501">
    <cfRule type="notContainsBlanks" dxfId="0" priority="2">
      <formula>LEN(TRIM(AT1))&gt;0</formula>
    </cfRule>
  </conditionalFormatting>
  <conditionalFormatting sqref="A1:A247 B1:AQ284 AR1:AR266 AS1:AS284 AT1:AU1501 AV1:BK284 A249:A284 AR268:AR284 A286:B1501 C286:C1465 D286:U1501 V286:X368 Y286:AL1501 AM286:AM427 AN286:AR1501 AS286:AS321 AV286:AV500 AW286:AW321 AX286:AX1501 AY286:AY452 AZ286:AZ1501 BA286:BA352 BB286:BB1501 BC286:BC1444 BD286:BD360 BE286:BE344 BF286:BG360 BH286:BH1457 BI286:BI352 BJ286:BJ1501 BK286:BK1457 AS323:AS1501 AW323:AW344 AW346:AW352 BE346:BE352 AW355:AW359 BA355:BA430 BE355:BE360 BI355:BI430 AW361:AW366 BD362:BD1457 BE362:BE366 BF362:BF1501 BG362:BG452 BE368:BE404 AW369:AW417 V370:X1501 BE407:BE417 AW419:AW423 BE419 BE421:BE423 AW426:AW430 BE426:BE430 AM429:AM1501 AW432:AW452 BA432:BA887 BI432:BI887 BE433:BE452 AW454:AW499 AY454:AY1444 BE454:BE499 BG454:BG1444 BE501:BE537 AV502:AV1472 AW502:AW537 AW539:AW803 BE539:BE772 BE774:BE847 AW805:AW847 AW849:AW887 BE849:BE971 AW889:AW971 BA889:BA1444 BI889:BI1457 AW973:AW1403 BE973:BE1403 AW1405:AW1421 BE1405 BE1407:BE1421 BE1423:BE1444 AW1424:AW1444 AY1446:AY1501 BA1446:BA1457 BC1446:BC1501 BG1446:BG1457 AW1447:AW1448 BE1447:BE1448 AW1450:AW1457 BE1450:BE1457 AW1459:AW1472 BA1459:BA1501 BD1459:BE1472 BG1459:BI1501 BK1459:BK1501 C1467:C1501 AV1474:AW1501 BD1474:BE1501">
    <cfRule type="notContainsBlanks" dxfId="0" priority="3">
      <formula>LEN(TRIM(A1))&gt;0</formula>
    </cfRule>
  </conditionalFormatting>
  <conditionalFormatting sqref="AT841:AU1501">
    <cfRule type="notContainsBlanks" dxfId="0" priority="4">
      <formula>LEN(TRIM(AT841))&gt;0</formula>
    </cfRule>
  </conditionalFormatting>
  <dataValidations>
    <dataValidation type="list" allowBlank="1" sqref="AU2:AU1501">
      <formula1>"The Hunt,V2,The Bridge"</formula1>
    </dataValidation>
  </dataValidations>
  <hyperlinks>
    <hyperlink r:id="rId1" ref="AR46"/>
    <hyperlink r:id="rId2" ref="AR350"/>
    <hyperlink r:id="rId3" ref="AR583"/>
    <hyperlink r:id="rId4" ref="AR645"/>
  </hyperlinks>
  <drawing r:id="rId5"/>
  <tableParts count="3">
    <tablePart r:id="rId9"/>
    <tablePart r:id="rId10"/>
    <tablePart r:id="rId1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3.88"/>
    <col customWidth="1" min="3" max="3" width="13.5"/>
  </cols>
  <sheetData>
    <row r="1">
      <c r="A1" s="103" t="s">
        <v>638</v>
      </c>
      <c r="B1" s="103" t="s">
        <v>639</v>
      </c>
      <c r="C1" s="103" t="s">
        <v>640</v>
      </c>
      <c r="D1" s="103" t="s">
        <v>641</v>
      </c>
    </row>
    <row r="2">
      <c r="A2" s="174" t="str">
        <f>IFERROR(__xludf.DUMMYFUNCTION("IMPORTRANGE(""1w_WHqCutkp_S6KveKyu4mNaG76C5dIlDwKw-A-dEOLo"",""Team Selection!B11:B15"")"),"pelvis")</f>
        <v>pelvis</v>
      </c>
      <c r="B2" s="105">
        <f>VLOOKUP(A2,Players!$B$1:$C$50,2, FALSE)</f>
        <v>691.7004279</v>
      </c>
      <c r="C2" s="133" t="str">
        <f>IFERROR(__xludf.DUMMYFUNCTION("IMPORTRANGE(""1w_WHqCutkp_S6KveKyu4mNaG76C5dIlDwKw-A-dEOLo"",""Team Selection!D11:D15"")"),"fontex")</f>
        <v>fontex</v>
      </c>
      <c r="D2" s="110" t="str">
        <f>VLOOKUP(C2,Players!$B$1:$C$50,2, FALSE)</f>
        <v>#N/A</v>
      </c>
    </row>
    <row r="3">
      <c r="A3" s="133" t="str">
        <f>IFERROR(__xludf.DUMMYFUNCTION("""COMPUTED_VALUE"""),"glowa")</f>
        <v>glowa</v>
      </c>
      <c r="B3" s="105">
        <f>VLOOKUP(A3,Players!$B$1:$C$50,2, FALSE)</f>
        <v>860.9565348</v>
      </c>
      <c r="C3" s="133" t="str">
        <f>IFERROR(__xludf.DUMMYFUNCTION("""COMPUTED_VALUE"""),"jim")</f>
        <v>jim</v>
      </c>
      <c r="D3" s="105">
        <f>VLOOKUP(C3,Players!$B$1:$C$50,2, FALSE)</f>
        <v>947.6974296</v>
      </c>
    </row>
    <row r="4">
      <c r="A4" s="133" t="str">
        <f>IFERROR(__xludf.DUMMYFUNCTION("""COMPUTED_VALUE"""),"helm0r")</f>
        <v>helm0r</v>
      </c>
      <c r="B4" s="105">
        <f>VLOOKUP(A4,Players!$B$1:$C$50,2, FALSE)</f>
        <v>1052.211398</v>
      </c>
      <c r="C4" s="133" t="str">
        <f>IFERROR(__xludf.DUMMYFUNCTION("""COMPUTED_VALUE"""),"baton")</f>
        <v>baton</v>
      </c>
      <c r="D4" s="105">
        <f>VLOOKUP(C4,Players!$B$1:$C$50,2, FALSE)</f>
        <v>965.1561891</v>
      </c>
    </row>
    <row r="5">
      <c r="A5" s="133" t="str">
        <f>IFERROR(__xludf.DUMMYFUNCTION("""COMPUTED_VALUE"""),"zielak")</f>
        <v>zielak</v>
      </c>
      <c r="B5" s="105">
        <f>VLOOKUP(A5,Players!$B$1:$C$50,2, FALSE)</f>
        <v>1190.730581</v>
      </c>
      <c r="C5" s="133" t="str">
        <f>IFERROR(__xludf.DUMMYFUNCTION("""COMPUTED_VALUE"""),"szycha")</f>
        <v>szycha</v>
      </c>
      <c r="D5" s="105">
        <f>VLOOKUP(C5,Players!$B$1:$C$51,2, FALSE)</f>
        <v>1090.937471</v>
      </c>
    </row>
    <row r="6">
      <c r="A6" s="133"/>
      <c r="B6" s="110" t="str">
        <f>VLOOKUP(A6,Players!$B$1:$C$50,2, FALSE)</f>
        <v>#N/A</v>
      </c>
      <c r="C6" s="133"/>
      <c r="D6" s="110" t="str">
        <f>VLOOKUP(C6,Players!$B$1:$C$50,2, FALSE)</f>
        <v>#N/A</v>
      </c>
    </row>
    <row r="7">
      <c r="A7" s="103" t="s">
        <v>145</v>
      </c>
      <c r="B7" s="175">
        <f>sumif(B2:B6,"&lt;&gt;#N/A")</f>
        <v>3795.598941</v>
      </c>
      <c r="C7" s="103" t="s">
        <v>145</v>
      </c>
      <c r="D7" s="175">
        <f>sumif(D2:D6,"&lt;&gt;#N/A")</f>
        <v>3003.79109</v>
      </c>
    </row>
    <row r="16">
      <c r="A16" s="17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1">
        <v>2.0</v>
      </c>
      <c r="B1" s="103" t="s">
        <v>141</v>
      </c>
      <c r="C1" s="103" t="s">
        <v>160</v>
      </c>
      <c r="D1" s="103" t="s">
        <v>148</v>
      </c>
      <c r="E1" s="103" t="s">
        <v>160</v>
      </c>
    </row>
    <row r="2">
      <c r="A2" s="132"/>
      <c r="B2" s="133" t="str">
        <f>IFERROR(__xludf.DUMMYFUNCTION("IMPORTRANGE(""1w_WHqCutkp_S6KveKyu4mNaG76C5dIlDwKw-A-dEOLo"",""Team Selection!B19:B24"")"),"")</f>
        <v/>
      </c>
      <c r="C2" s="110" t="str">
        <f>VLOOKUP(B2,Players!$B$1:$C$42,2, FALSE)</f>
        <v>#N/A</v>
      </c>
      <c r="D2" s="133" t="str">
        <f>IFERROR(__xludf.DUMMYFUNCTION("IMPORTRANGE(""1w_WHqCutkp_S6KveKyu4mNaG76C5dIlDwKw-A-dEOLo"",""Team Selection!D19:D24"")"),"")</f>
        <v/>
      </c>
      <c r="E2" s="110" t="str">
        <f>VLOOKUP(D2,Players!$B$1:$C$42,2, FALSE)</f>
        <v>#N/A</v>
      </c>
    </row>
    <row r="3">
      <c r="A3" s="132"/>
      <c r="B3" s="133" t="str">
        <f>IFERROR(__xludf.DUMMYFUNCTION("""COMPUTED_VALUE"""),"Team 1 Players")</f>
        <v>Team 1 Players</v>
      </c>
      <c r="C3" s="110" t="str">
        <f>VLOOKUP(B3,Players!$B$1:$C$42,2, FALSE)</f>
        <v>#N/A</v>
      </c>
      <c r="D3" s="133" t="str">
        <f>IFERROR(__xludf.DUMMYFUNCTION("""COMPUTED_VALUE"""),"Team 2 Players")</f>
        <v>Team 2 Players</v>
      </c>
      <c r="E3" s="110" t="str">
        <f>VLOOKUP(D3,Players!$B$1:$C$42,2, FALSE)</f>
        <v>#N/A</v>
      </c>
    </row>
    <row r="4">
      <c r="A4" s="132"/>
      <c r="B4" s="133" t="str">
        <f>IFERROR(__xludf.DUMMYFUNCTION("""COMPUTED_VALUE"""),"pelvis")</f>
        <v>pelvis</v>
      </c>
      <c r="C4" s="110" t="str">
        <f>VLOOKUP(B4,Players!$B$1:$C$42,2, FALSE)</f>
        <v>#N/A</v>
      </c>
      <c r="D4" s="133" t="str">
        <f>IFERROR(__xludf.DUMMYFUNCTION("""COMPUTED_VALUE"""),"glowa")</f>
        <v>glowa</v>
      </c>
      <c r="E4" s="110" t="str">
        <f>VLOOKUP(D4,Players!$B$1:$C$42,2, FALSE)</f>
        <v>#N/A</v>
      </c>
    </row>
    <row r="5">
      <c r="A5" s="132"/>
      <c r="B5" s="133" t="str">
        <f>IFERROR(__xludf.DUMMYFUNCTION("""COMPUTED_VALUE"""),"fontex")</f>
        <v>fontex</v>
      </c>
      <c r="C5" s="110" t="str">
        <f>VLOOKUP(B5,Players!$B$1:$C$42,2, FALSE)</f>
        <v>#N/A</v>
      </c>
      <c r="D5" s="133" t="str">
        <f>IFERROR(__xludf.DUMMYFUNCTION("""COMPUTED_VALUE"""),"jim")</f>
        <v>jim</v>
      </c>
      <c r="E5" s="105">
        <f>VLOOKUP(D5,Players!$B$1:$C$42,2, FALSE)</f>
        <v>947.6974296</v>
      </c>
    </row>
    <row r="6">
      <c r="A6" s="132"/>
      <c r="B6" s="133" t="str">
        <f>IFERROR(__xludf.DUMMYFUNCTION("""COMPUTED_VALUE"""),"helm0r")</f>
        <v>helm0r</v>
      </c>
      <c r="C6" s="105">
        <f>VLOOKUP(B6,Players!$B$1:$C$39,2, FALSE)</f>
        <v>1052.211398</v>
      </c>
      <c r="D6" s="133" t="str">
        <f>IFERROR(__xludf.DUMMYFUNCTION("""COMPUTED_VALUE"""),"szycha")</f>
        <v>szycha</v>
      </c>
      <c r="E6" s="105">
        <f>VLOOKUP(D6,Players!$B$1:$C$39,2, FALSE)</f>
        <v>1090.937471</v>
      </c>
    </row>
    <row r="7">
      <c r="A7" s="134"/>
      <c r="B7" s="103" t="str">
        <f>IFERROR(__xludf.DUMMYFUNCTION("""COMPUTED_VALUE"""),"baton")</f>
        <v>baton</v>
      </c>
      <c r="C7" s="111">
        <f>sumif(C2:C6,"&lt;&gt;#N/A")</f>
        <v>1052.211398</v>
      </c>
      <c r="D7" s="103" t="str">
        <f>IFERROR(__xludf.DUMMYFUNCTION("""COMPUTED_VALUE"""),"zielak")</f>
        <v>zielak</v>
      </c>
      <c r="E7" s="111">
        <f>sumif(E2:E6,"&lt;&gt;#N/A")</f>
        <v>2038.634901</v>
      </c>
    </row>
  </sheetData>
  <mergeCells count="1">
    <mergeCell ref="A1:A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9.0"/>
    <col customWidth="1" min="9" max="9" width="19.5"/>
  </cols>
  <sheetData>
    <row r="1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642</v>
      </c>
      <c r="J1" s="177"/>
      <c r="K1" s="9"/>
      <c r="L1" s="177"/>
      <c r="M1" s="177"/>
      <c r="N1" s="177"/>
      <c r="O1" s="177"/>
      <c r="P1" s="177"/>
      <c r="Q1" s="177"/>
    </row>
    <row r="2" ht="18.0" customHeight="1">
      <c r="A2" s="44" t="s">
        <v>643</v>
      </c>
      <c r="B2" s="44" t="s">
        <v>447</v>
      </c>
      <c r="C2" s="45">
        <v>1038.05</v>
      </c>
      <c r="D2" s="52">
        <f>NORMDIST(C2,1000,STDEV(Players!$C$2:$C$39)+0.00001,TRUE)</f>
        <v>0.6775049123</v>
      </c>
      <c r="E2" s="149"/>
      <c r="F2" s="178">
        <f>COUNTIF('Match History'!A:BK,"chris")</f>
        <v>14</v>
      </c>
      <c r="G2" s="48" t="s">
        <v>41</v>
      </c>
      <c r="H2" s="43" t="s">
        <v>29</v>
      </c>
      <c r="I2" s="80"/>
      <c r="K2" s="145"/>
    </row>
    <row r="3" ht="21.0" customHeight="1">
      <c r="A3" s="10" t="s">
        <v>644</v>
      </c>
      <c r="B3" s="10" t="s">
        <v>236</v>
      </c>
      <c r="C3" s="12">
        <v>1028.5155691297903</v>
      </c>
      <c r="D3" s="13">
        <f>NORMDIST(C3,1000,STDEV(Players!$C$2:$C$39)+0.00001,TRUE)</f>
        <v>0.6350596375</v>
      </c>
      <c r="E3" s="14"/>
      <c r="F3" s="179">
        <f>COUNTIF('Match History'!A:BK,"dziadek")</f>
        <v>24</v>
      </c>
      <c r="G3" s="32" t="s">
        <v>24</v>
      </c>
      <c r="H3" s="32" t="s">
        <v>645</v>
      </c>
      <c r="I3" s="29" t="s">
        <v>29</v>
      </c>
    </row>
    <row r="4">
      <c r="A4" s="44" t="s">
        <v>646</v>
      </c>
      <c r="B4" s="44" t="s">
        <v>472</v>
      </c>
      <c r="C4" s="45">
        <v>1016.6604987138783</v>
      </c>
      <c r="D4" s="52">
        <f>NORMDIST(C4,1000,STDEV(Players!$C$2:$C$39)+0.00001,TRUE)</f>
        <v>0.5799383055</v>
      </c>
      <c r="E4" s="149"/>
      <c r="F4" s="178">
        <f>COUNTIF('Match History'!A:BK,"tailz")</f>
        <v>4</v>
      </c>
      <c r="G4" s="48" t="s">
        <v>41</v>
      </c>
      <c r="H4" s="43"/>
      <c r="I4" s="80"/>
      <c r="K4" s="145"/>
    </row>
    <row r="5">
      <c r="A5" s="44" t="s">
        <v>647</v>
      </c>
      <c r="B5" s="44" t="s">
        <v>249</v>
      </c>
      <c r="C5" s="45">
        <v>1014.4528231159383</v>
      </c>
      <c r="D5" s="82">
        <f>NORMDIST(C5,1000,STDEV(Players!$C$2:$C$39)+0.00001,TRUE)</f>
        <v>0.5694616553</v>
      </c>
      <c r="E5" s="180"/>
      <c r="F5" s="178">
        <f>COUNTIF('Match History'!B4:BK610,"cwieku")</f>
        <v>4</v>
      </c>
      <c r="G5" s="181" t="s">
        <v>24</v>
      </c>
      <c r="H5" s="54" t="s">
        <v>93</v>
      </c>
      <c r="I5" s="44" t="s">
        <v>648</v>
      </c>
      <c r="K5" s="145"/>
    </row>
    <row r="6">
      <c r="A6" s="44" t="s">
        <v>246</v>
      </c>
      <c r="B6" s="44" t="s">
        <v>246</v>
      </c>
      <c r="C6" s="45">
        <v>1008.2113701251802</v>
      </c>
      <c r="D6" s="13">
        <f>NORMDIST(C6,1000,STDEV(Players!$C$2:$C$39)+0.00001,TRUE)</f>
        <v>0.5396009179</v>
      </c>
      <c r="E6" s="180"/>
      <c r="F6" s="182">
        <f>COUNTIF('Match History'!B4:BK450,$B6)</f>
        <v>8</v>
      </c>
      <c r="G6" s="48" t="s">
        <v>41</v>
      </c>
    </row>
    <row r="7" ht="21.0" customHeight="1">
      <c r="A7" s="44" t="s">
        <v>649</v>
      </c>
      <c r="B7" s="44" t="s">
        <v>620</v>
      </c>
      <c r="C7" s="45">
        <v>1007.799495665297</v>
      </c>
      <c r="D7" s="49">
        <f>NORMDIST(C7,1000,STDEV(Players!$C$2:$C$39)+0.00001,TRUE)</f>
        <v>0.5376206281</v>
      </c>
      <c r="E7" s="46"/>
      <c r="F7" s="50">
        <f>COUNTIF('Match History'!A:BK,"inco")</f>
        <v>2</v>
      </c>
      <c r="G7" s="48" t="s">
        <v>103</v>
      </c>
      <c r="H7" s="43" t="s">
        <v>29</v>
      </c>
      <c r="K7" s="80"/>
    </row>
    <row r="8" ht="21.0" customHeight="1">
      <c r="A8" s="44" t="s">
        <v>650</v>
      </c>
      <c r="B8" s="44" t="s">
        <v>610</v>
      </c>
      <c r="C8" s="12">
        <v>1006.2332372733432</v>
      </c>
      <c r="D8" s="13">
        <f>NORMDIST(C8,1000,STDEV(Players!$C$2:$C$39)+0.00001,TRUE)</f>
        <v>0.5300819653</v>
      </c>
      <c r="E8" s="80"/>
      <c r="F8" s="47">
        <f>COUNTIF('Match History'!A:BK,"Striker")</f>
        <v>14</v>
      </c>
      <c r="G8" s="60" t="s">
        <v>51</v>
      </c>
      <c r="H8" s="43" t="s">
        <v>651</v>
      </c>
      <c r="I8" s="43" t="s">
        <v>29</v>
      </c>
      <c r="K8" s="80"/>
    </row>
    <row r="9" ht="21.0" customHeight="1">
      <c r="A9" s="44" t="s">
        <v>652</v>
      </c>
      <c r="B9" s="44" t="s">
        <v>301</v>
      </c>
      <c r="C9" s="45">
        <v>1005.0710998319136</v>
      </c>
      <c r="D9" s="49">
        <f>NORMDIST(C9,1000,STDEV(Players!$C$2:$C$39)+0.00001,TRUE)</f>
        <v>0.5244812754</v>
      </c>
      <c r="E9" s="46"/>
      <c r="F9" s="50">
        <f>COUNTIF('Match History'!A:BK,"wicio")</f>
        <v>5</v>
      </c>
      <c r="G9" s="48" t="s">
        <v>24</v>
      </c>
      <c r="H9" s="43" t="s">
        <v>29</v>
      </c>
      <c r="K9" s="43">
        <v>3.0</v>
      </c>
    </row>
    <row r="10">
      <c r="A10" s="84" t="s">
        <v>653</v>
      </c>
      <c r="B10" s="84" t="s">
        <v>225</v>
      </c>
      <c r="C10" s="183">
        <v>1004.83125</v>
      </c>
      <c r="D10" s="52">
        <f>NORMDIST(C10,1000,STDEV($C$10:$C$82)+0.00001,TRUE)</f>
        <v>0.5304634333</v>
      </c>
      <c r="E10" s="180"/>
      <c r="F10" s="182">
        <f>COUNTIF('Match History'!B2:BK610,$B10)</f>
        <v>1</v>
      </c>
      <c r="G10" s="48" t="s">
        <v>24</v>
      </c>
      <c r="I10" s="44" t="s">
        <v>648</v>
      </c>
    </row>
    <row r="11">
      <c r="A11" s="44" t="s">
        <v>654</v>
      </c>
      <c r="B11" s="44" t="s">
        <v>513</v>
      </c>
      <c r="C11" s="45">
        <v>1002.161085358564</v>
      </c>
      <c r="D11" s="52">
        <f>NORMDIST(C11,1000,STDEV(Players!$C$2:$C$39)+0.00001,TRUE)</f>
        <v>0.5104382354</v>
      </c>
      <c r="F11" s="184">
        <f>COUNTIF('Match History'!B4:BK700,"killroy")</f>
        <v>2</v>
      </c>
      <c r="G11" s="48" t="s">
        <v>66</v>
      </c>
      <c r="H11" s="43" t="s">
        <v>655</v>
      </c>
    </row>
    <row r="12">
      <c r="A12" s="44" t="s">
        <v>656</v>
      </c>
      <c r="B12" s="44" t="s">
        <v>317</v>
      </c>
      <c r="C12" s="45">
        <v>1001.93</v>
      </c>
      <c r="D12" s="49">
        <f>NORMDIST(C12,1000,STDEV(Players!$C$2:$C$39)+0.00001,TRUE)</f>
        <v>0.5093222878</v>
      </c>
      <c r="E12" s="180"/>
      <c r="F12" s="182">
        <f>COUNTIF('Match History'!B4:BK610,$B12)</f>
        <v>2</v>
      </c>
      <c r="G12" s="58" t="s">
        <v>24</v>
      </c>
      <c r="H12" s="43" t="s">
        <v>39</v>
      </c>
    </row>
    <row r="13">
      <c r="A13" s="51" t="s">
        <v>510</v>
      </c>
      <c r="B13" s="51" t="s">
        <v>510</v>
      </c>
      <c r="C13" s="45">
        <v>1001.5874801189591</v>
      </c>
      <c r="D13" s="52">
        <f>NORMDIST(C13,1000,STDEV(Players!$C$2:$C$39)+0.00001,TRUE)</f>
        <v>0.5076680737</v>
      </c>
      <c r="E13" s="46"/>
      <c r="F13" s="184">
        <f>COUNTIF('Match History'!B2:BK650,"mafia")</f>
        <v>1</v>
      </c>
      <c r="G13" s="48" t="s">
        <v>51</v>
      </c>
      <c r="H13" s="54"/>
      <c r="I13" s="74"/>
    </row>
    <row r="14">
      <c r="A14" s="44" t="s">
        <v>657</v>
      </c>
      <c r="B14" s="44" t="s">
        <v>481</v>
      </c>
      <c r="C14" s="45">
        <v>1001.0502155460695</v>
      </c>
      <c r="D14" s="13">
        <f>NORMDIST(C14,1000,STDEV(Players!$C$2:$C$39)+0.00001,TRUE)</f>
        <v>0.5050730771</v>
      </c>
      <c r="E14" s="180"/>
      <c r="F14" s="185">
        <f>COUNTIF('Match History'!B4:BK420,"jay-z")</f>
        <v>2</v>
      </c>
      <c r="G14" s="48" t="s">
        <v>113</v>
      </c>
    </row>
    <row r="15">
      <c r="A15" s="44" t="s">
        <v>658</v>
      </c>
      <c r="B15" s="44" t="s">
        <v>300</v>
      </c>
      <c r="C15" s="45">
        <v>1000.8045942598129</v>
      </c>
      <c r="D15" s="49">
        <f>NORMDIST(C15,1000,STDEV(Players!$C$2:$C$39)+0.00001,TRUE)</f>
        <v>0.5038866442</v>
      </c>
      <c r="E15" s="180"/>
      <c r="F15" s="186">
        <f>IFERROR(__xludf.DUMMYFUNCTION("COUNTIF(IMPORTRANGE(""1w_WHqCutkp_S6KveKyu4mNaG76C5dIlDwKw-A-dEOLo"",""Match History!B2:AL200""),""cabanik"")"),1.0)</f>
        <v>1</v>
      </c>
      <c r="G15" s="48" t="s">
        <v>24</v>
      </c>
      <c r="H15" s="80"/>
    </row>
    <row r="16" ht="21.0" customHeight="1">
      <c r="A16" s="59" t="s">
        <v>659</v>
      </c>
      <c r="B16" s="59" t="s">
        <v>245</v>
      </c>
      <c r="C16" s="12">
        <v>1000.0</v>
      </c>
      <c r="D16" s="13">
        <f>NORMDIST(C16,1000,STDEV(Players!$C$2:$C$39)+0.00001,TRUE)</f>
        <v>0.5</v>
      </c>
      <c r="E16" s="14"/>
      <c r="F16" s="185">
        <f>COUNTIF('Match History'!A:BK,"wiggles")</f>
        <v>80</v>
      </c>
      <c r="G16" s="60" t="s">
        <v>66</v>
      </c>
      <c r="H16" s="187" t="s">
        <v>660</v>
      </c>
      <c r="I16" s="187" t="s">
        <v>29</v>
      </c>
      <c r="J16" s="10"/>
      <c r="K16" s="10"/>
      <c r="L16" s="10"/>
      <c r="M16" s="10"/>
      <c r="N16" s="21"/>
      <c r="O16" s="10"/>
      <c r="P16" s="10"/>
      <c r="Q16" s="10"/>
    </row>
    <row r="17">
      <c r="A17" s="44" t="s">
        <v>661</v>
      </c>
      <c r="B17" s="44" t="s">
        <v>78</v>
      </c>
      <c r="C17" s="45">
        <v>998.5799556539263</v>
      </c>
      <c r="D17" s="49">
        <f>NORMDIST(C17,1000,STDEV(Players!$C$2:$C$39)+0.00001,TRUE)</f>
        <v>0.4931406142</v>
      </c>
      <c r="E17" s="46"/>
      <c r="F17" s="185">
        <f>COUNTIF('Match History'!B2:BK610,"snake")</f>
        <v>51</v>
      </c>
      <c r="G17" s="48" t="s">
        <v>24</v>
      </c>
      <c r="H17" s="43" t="s">
        <v>28</v>
      </c>
      <c r="I17" s="80"/>
    </row>
    <row r="18">
      <c r="A18" s="44" t="s">
        <v>662</v>
      </c>
      <c r="B18" s="44" t="s">
        <v>247</v>
      </c>
      <c r="C18" s="45">
        <v>997.3961914033769</v>
      </c>
      <c r="D18" s="13">
        <f>NORMDIST(C18,1000,STDEV(Players!$C$2:$C$39)+0.00001,TRUE)</f>
        <v>0.4874240201</v>
      </c>
      <c r="E18" s="46"/>
      <c r="F18" s="47">
        <f>IFERROR(__xludf.DUMMYFUNCTION("COUNTIF(IMPORTRANGE(""1w_WHqCutkp_S6KveKyu4mNaG76C5dIlDwKw-A-dEOLo"",""Match History!B2:AL200""),""dts"")"),1.0)</f>
        <v>1</v>
      </c>
      <c r="G18" s="48" t="s">
        <v>24</v>
      </c>
      <c r="H18" s="80"/>
      <c r="I18" s="44" t="s">
        <v>648</v>
      </c>
    </row>
    <row r="19">
      <c r="A19" s="44" t="s">
        <v>663</v>
      </c>
      <c r="B19" s="44" t="s">
        <v>493</v>
      </c>
      <c r="C19" s="45">
        <v>996.2434579081928</v>
      </c>
      <c r="D19" s="13">
        <f>NORMDIST(C19,1000,STDEV(Players!$C$2:$C$39)+0.00001,TRUE)</f>
        <v>0.481859751</v>
      </c>
      <c r="E19" s="46"/>
      <c r="F19" s="185">
        <f>COUNTIF('Match History'!B5:BK610,"wyrox")</f>
        <v>16</v>
      </c>
      <c r="G19" s="48" t="s">
        <v>24</v>
      </c>
      <c r="H19" s="43" t="s">
        <v>39</v>
      </c>
    </row>
    <row r="20">
      <c r="A20" s="44" t="s">
        <v>664</v>
      </c>
      <c r="B20" s="44" t="s">
        <v>341</v>
      </c>
      <c r="C20" s="45">
        <v>996.181967734734</v>
      </c>
      <c r="D20" s="49">
        <f>NORMDIST(C20,1000,STDEV(Players!$C$2:$C$39)+0.00001,TRUE)</f>
        <v>0.4815630262</v>
      </c>
      <c r="F20" s="47">
        <f>IFERROR(__xludf.DUMMYFUNCTION("COUNTIF(IMPORTRANGE(""1w_WHqCutkp_S6KveKyu4mNaG76C5dIlDwKw-A-dEOLo"",""Match History!B2:AL200""),""danny"")"),1.0)</f>
        <v>1</v>
      </c>
      <c r="G20" s="58" t="s">
        <v>665</v>
      </c>
      <c r="I20" s="44" t="s">
        <v>666</v>
      </c>
    </row>
    <row r="21">
      <c r="A21" s="51" t="s">
        <v>667</v>
      </c>
      <c r="B21" s="88" t="s">
        <v>239</v>
      </c>
      <c r="C21" s="188">
        <v>996.1489548750056</v>
      </c>
      <c r="D21" s="82">
        <f>NORMDIST(C21,1000,STDEV(Players!$C$2:$C$39)+0.00001,TRUE)</f>
        <v>0.4814037248</v>
      </c>
      <c r="E21" s="180"/>
      <c r="F21" s="189">
        <f>IFERROR(__xludf.DUMMYFUNCTION("COUNTIF(IMPORTRANGE(""1w_WHqCutkp_S6KveKyu4mNaG76C5dIlDwKw-A-dEOLo"",""Match History!B2:AL200""),""ultrakiller"")"),1.0)</f>
        <v>1</v>
      </c>
      <c r="G21" s="48" t="s">
        <v>24</v>
      </c>
      <c r="H21" s="43" t="s">
        <v>28</v>
      </c>
      <c r="I21" s="44" t="s">
        <v>648</v>
      </c>
    </row>
    <row r="22">
      <c r="A22" s="51" t="s">
        <v>668</v>
      </c>
      <c r="B22" s="51" t="s">
        <v>234</v>
      </c>
      <c r="C22" s="190">
        <v>995.2832787101717</v>
      </c>
      <c r="D22" s="52">
        <f>NORMDIST(C22,1000,STDEV(Players!$C$2:$C$39)+0.00001,TRUE)</f>
        <v>0.4772275956</v>
      </c>
      <c r="E22" s="180"/>
      <c r="F22" s="189">
        <f>IFERROR(__xludf.DUMMYFUNCTION("COUNTIF(IMPORTRANGE(""1w_WHqCutkp_S6KveKyu4mNaG76C5dIlDwKw-A-dEOLo"",""Match History!B2:AL200""),""moses"")"),14.0)</f>
        <v>14</v>
      </c>
      <c r="G22" s="48" t="s">
        <v>24</v>
      </c>
      <c r="H22" s="43" t="s">
        <v>29</v>
      </c>
    </row>
    <row r="23">
      <c r="A23" s="84" t="s">
        <v>431</v>
      </c>
      <c r="B23" s="84" t="s">
        <v>431</v>
      </c>
      <c r="C23" s="45">
        <v>994.7664396269234</v>
      </c>
      <c r="D23" s="82">
        <f>NORMDIST(C23,1000,STDEV(Players!$C$2:$C$39)+0.00001,TRUE)</f>
        <v>0.474735462</v>
      </c>
      <c r="E23" s="46"/>
      <c r="F23" s="185">
        <f>COUNTIF('Match History'!B2:BK400,"sauli")</f>
        <v>1</v>
      </c>
      <c r="G23" s="48" t="s">
        <v>669</v>
      </c>
      <c r="H23" s="191" t="s">
        <v>29</v>
      </c>
      <c r="I23" s="80"/>
    </row>
    <row r="24">
      <c r="A24" s="44" t="s">
        <v>670</v>
      </c>
      <c r="B24" s="44" t="s">
        <v>349</v>
      </c>
      <c r="C24" s="45">
        <v>994.59</v>
      </c>
      <c r="D24" s="49">
        <f>NORMDIST(C24,1000,STDEV(Players!$C$2:$C$39)+0.00001,TRUE)</f>
        <v>0.4738849135</v>
      </c>
      <c r="E24" s="180"/>
      <c r="F24" s="185">
        <f>IFERROR(__xludf.DUMMYFUNCTION("COUNTIF(IMPORTRANGE(""1w_WHqCutkp_S6KveKyu4mNaG76C5dIlDwKw-A-dEOLo"",""Match History!B2:AL200""),""kreha"")"),1.0)</f>
        <v>1</v>
      </c>
      <c r="G24" s="58" t="s">
        <v>24</v>
      </c>
      <c r="H24" s="43" t="s">
        <v>29</v>
      </c>
    </row>
    <row r="25">
      <c r="A25" s="51" t="s">
        <v>671</v>
      </c>
      <c r="B25" s="51" t="s">
        <v>233</v>
      </c>
      <c r="C25" s="89">
        <v>994.5570993016051</v>
      </c>
      <c r="D25" s="52">
        <f>NORMDIST(C25,1000,STDEV(Players!$C$2:$C$39)+0.00001,TRUE)</f>
        <v>0.4737263248</v>
      </c>
      <c r="E25" s="180"/>
      <c r="F25" s="189">
        <f>IFERROR(__xludf.DUMMYFUNCTION("COUNTIF(IMPORTRANGE(""1w_WHqCutkp_S6KveKyu4mNaG76C5dIlDwKw-A-dEOLo"",""Match History!B2:AL200""),""lechu"")"),4.0)</f>
        <v>4</v>
      </c>
      <c r="G25" s="58" t="s">
        <v>24</v>
      </c>
      <c r="H25" s="81" t="s">
        <v>29</v>
      </c>
      <c r="I25" s="51"/>
      <c r="J25" s="51"/>
      <c r="K25" s="51"/>
      <c r="L25" s="51"/>
      <c r="M25" s="51"/>
      <c r="N25" s="51"/>
      <c r="O25" s="51"/>
      <c r="P25" s="51"/>
      <c r="Q25" s="51"/>
    </row>
    <row r="26" ht="21.0" customHeight="1">
      <c r="A26" s="44" t="s">
        <v>672</v>
      </c>
      <c r="B26" s="44" t="s">
        <v>618</v>
      </c>
      <c r="C26" s="12">
        <v>993.7340379557955</v>
      </c>
      <c r="D26" s="13">
        <f>NORMDIST(C26,1000,STDEV(Players!$C$2:$C$39)+0.00001,TRUE)</f>
        <v>0.469760405</v>
      </c>
      <c r="E26" s="80"/>
      <c r="F26" s="47">
        <f>COUNTIF('Match History'!A:BK,"gasmask")</f>
        <v>2</v>
      </c>
      <c r="G26" s="60" t="s">
        <v>51</v>
      </c>
      <c r="H26" s="43" t="s">
        <v>45</v>
      </c>
      <c r="I26" s="43"/>
      <c r="K26" s="80"/>
    </row>
    <row r="27">
      <c r="A27" s="44" t="s">
        <v>673</v>
      </c>
      <c r="B27" s="44" t="s">
        <v>512</v>
      </c>
      <c r="C27" s="45">
        <v>992.4144390594153</v>
      </c>
      <c r="D27" s="52">
        <f>NORMDIST(C27,1000,STDEV(Players!$C$2:$C$39)+0.00001,TRUE)</f>
        <v>0.4634083399</v>
      </c>
      <c r="F27" s="184">
        <f>COUNTIF('Match History'!B5:BK700,"oryion")</f>
        <v>1</v>
      </c>
      <c r="G27" s="48" t="s">
        <v>66</v>
      </c>
      <c r="H27" s="43" t="s">
        <v>674</v>
      </c>
    </row>
    <row r="28">
      <c r="A28" s="44" t="s">
        <v>444</v>
      </c>
      <c r="B28" s="44" t="s">
        <v>444</v>
      </c>
      <c r="C28" s="45">
        <v>991.391688702124</v>
      </c>
      <c r="D28" s="52">
        <f>NORMDIST(C28,1000,STDEV(Players!$C$2:$C$39)+0.00001,TRUE)</f>
        <v>0.4584915198</v>
      </c>
      <c r="F28" s="178">
        <f>COUNTIF('Match History'!B4:BK400,"enf0rcer")</f>
        <v>4</v>
      </c>
      <c r="G28" s="48" t="s">
        <v>66</v>
      </c>
      <c r="H28" s="43" t="s">
        <v>29</v>
      </c>
      <c r="I28" s="80"/>
    </row>
    <row r="29" ht="21.0" customHeight="1">
      <c r="A29" s="51" t="s">
        <v>675</v>
      </c>
      <c r="B29" s="51" t="s">
        <v>583</v>
      </c>
      <c r="C29" s="45">
        <v>991.34</v>
      </c>
      <c r="D29" s="52">
        <f>NORMDIST(C29,1000,STDEV(Players!$C$2:$C$39)+0.00001,TRUE)</f>
        <v>0.4582431912</v>
      </c>
      <c r="E29" s="192"/>
      <c r="F29" s="178">
        <f>COUNTIF('Match History'!A:BK,"sagi")</f>
        <v>2</v>
      </c>
      <c r="G29" s="58" t="s">
        <v>24</v>
      </c>
      <c r="H29" s="193" t="s">
        <v>29</v>
      </c>
      <c r="I29" s="29" t="s">
        <v>29</v>
      </c>
    </row>
    <row r="30">
      <c r="A30" s="44" t="s">
        <v>307</v>
      </c>
      <c r="B30" s="44" t="s">
        <v>307</v>
      </c>
      <c r="C30" s="45">
        <v>990.63754048452</v>
      </c>
      <c r="D30" s="49">
        <f>NORMDIST(C30,1000,STDEV(Players!$C$2:$C$39)+0.00001,TRUE)</f>
        <v>0.4548700119</v>
      </c>
      <c r="E30" s="180"/>
      <c r="F30" s="185">
        <f>IFERROR(__xludf.DUMMYFUNCTION("COUNTIF(IMPORTRANGE(""1w_WHqCutkp_S6KveKyu4mNaG76C5dIlDwKw-A-dEOLo"",""Match History!B2:AL200""),""malysw"")"),1.0)</f>
        <v>1</v>
      </c>
      <c r="G30" s="48" t="s">
        <v>24</v>
      </c>
      <c r="H30" s="54" t="s">
        <v>93</v>
      </c>
    </row>
    <row r="31">
      <c r="A31" s="44" t="s">
        <v>676</v>
      </c>
      <c r="B31" s="44" t="s">
        <v>469</v>
      </c>
      <c r="C31" s="45">
        <v>989.9140227187619</v>
      </c>
      <c r="D31" s="13">
        <f>NORMDIST(C31,1000,STDEV(Players!$C$2:$C$39)+0.00001,TRUE)</f>
        <v>0.451399113</v>
      </c>
      <c r="E31" s="46"/>
      <c r="F31" s="185">
        <f>COUNTIF('Match History'!B5:BK400,"drejk")</f>
        <v>1</v>
      </c>
      <c r="G31" s="48" t="s">
        <v>24</v>
      </c>
      <c r="H31" s="44" t="s">
        <v>29</v>
      </c>
    </row>
    <row r="32">
      <c r="A32" s="44" t="s">
        <v>482</v>
      </c>
      <c r="B32" s="44" t="s">
        <v>482</v>
      </c>
      <c r="C32" s="45">
        <v>989.3687796261802</v>
      </c>
      <c r="D32" s="13">
        <f>NORMDIST(C32,1000,STDEV(Players!$C$2:$C$39)+0.00001,TRUE)</f>
        <v>0.4487858814</v>
      </c>
      <c r="E32" s="46"/>
      <c r="F32" s="194">
        <f>COUNTIF('Match History'!B4:BK450,"granu")</f>
        <v>2</v>
      </c>
      <c r="G32" s="48" t="s">
        <v>669</v>
      </c>
      <c r="H32" s="44" t="s">
        <v>29</v>
      </c>
    </row>
    <row r="33">
      <c r="A33" s="44" t="s">
        <v>677</v>
      </c>
      <c r="B33" s="44" t="s">
        <v>514</v>
      </c>
      <c r="C33" s="45">
        <v>988.4606996039536</v>
      </c>
      <c r="D33" s="52">
        <f>NORMDIST(C33,1000,STDEV(Players!$C$2:$C$39)+0.00001,TRUE)</f>
        <v>0.4444386339</v>
      </c>
      <c r="F33" s="184">
        <f>COUNTIF('Match History'!B3:BK700,"fresh")</f>
        <v>2</v>
      </c>
      <c r="G33" s="48" t="s">
        <v>66</v>
      </c>
    </row>
    <row r="34">
      <c r="A34" s="51" t="s">
        <v>678</v>
      </c>
      <c r="B34" s="51" t="s">
        <v>576</v>
      </c>
      <c r="C34" s="45">
        <v>988.4144646156852</v>
      </c>
      <c r="D34" s="52">
        <f>NORMDIST(C34,1000,STDEV(Players!$C$2:$C$39)+0.00001,TRUE)</f>
        <v>0.4442174675</v>
      </c>
      <c r="E34" s="192"/>
      <c r="F34" s="178">
        <f>COUNTIF('Match History'!A:BK,"alien")</f>
        <v>9</v>
      </c>
      <c r="G34" s="58" t="s">
        <v>24</v>
      </c>
      <c r="H34" s="193" t="s">
        <v>39</v>
      </c>
      <c r="I34" s="29" t="s">
        <v>29</v>
      </c>
    </row>
    <row r="35" ht="21.0" customHeight="1">
      <c r="A35" s="44" t="s">
        <v>679</v>
      </c>
      <c r="B35" s="44" t="s">
        <v>621</v>
      </c>
      <c r="C35" s="45">
        <v>986.6818688661538</v>
      </c>
      <c r="D35" s="49">
        <f>NORMDIST(C35,1000,STDEV(Players!$C$2:$C$39)+0.00001,TRUE)</f>
        <v>0.4359426622</v>
      </c>
      <c r="E35" s="46"/>
      <c r="F35" s="50">
        <f>COUNTIF('Match History'!A:BK,"batmuma")</f>
        <v>2</v>
      </c>
      <c r="G35" s="48" t="s">
        <v>51</v>
      </c>
      <c r="H35" s="43" t="s">
        <v>45</v>
      </c>
      <c r="K35" s="80"/>
    </row>
    <row r="36">
      <c r="A36" s="44" t="s">
        <v>680</v>
      </c>
      <c r="B36" s="44" t="s">
        <v>467</v>
      </c>
      <c r="C36" s="45">
        <v>985.9777980261736</v>
      </c>
      <c r="D36" s="52">
        <f>NORMDIST(C36,1000,STDEV(Players!$C$2:$C$39)+0.00001,TRUE)</f>
        <v>0.4325878349</v>
      </c>
      <c r="F36" s="178">
        <f>COUNTIF('Match History'!B5:BK400,"applepitje")</f>
        <v>1</v>
      </c>
      <c r="G36" s="48" t="s">
        <v>55</v>
      </c>
      <c r="H36" s="43" t="s">
        <v>29</v>
      </c>
      <c r="I36" s="80"/>
    </row>
    <row r="37">
      <c r="A37" s="84" t="s">
        <v>681</v>
      </c>
      <c r="B37" s="85" t="s">
        <v>238</v>
      </c>
      <c r="C37" s="188">
        <v>985.8604393746466</v>
      </c>
      <c r="D37" s="49">
        <f>NORMDIST(C37,1000,STDEV(Players!$C$2:$C$39)+0.00001,TRUE)</f>
        <v>0.4320290982</v>
      </c>
      <c r="E37" s="180"/>
      <c r="F37" s="50">
        <f>IFERROR(__xludf.DUMMYFUNCTION("COUNTIF(IMPORTRANGE(""1w_WHqCutkp_S6KveKyu4mNaG76C5dIlDwKw-A-dEOLo"",""Match History!B2:AL200""),""aker"")"),2.0)</f>
        <v>2</v>
      </c>
      <c r="G37" s="48" t="s">
        <v>24</v>
      </c>
      <c r="H37" s="43" t="s">
        <v>28</v>
      </c>
      <c r="I37" s="44" t="s">
        <v>648</v>
      </c>
    </row>
    <row r="38">
      <c r="A38" s="44" t="s">
        <v>682</v>
      </c>
      <c r="B38" s="44" t="s">
        <v>324</v>
      </c>
      <c r="C38" s="45">
        <v>985.7235614056833</v>
      </c>
      <c r="D38" s="49">
        <f>NORMDIST(C38,1000,STDEV(Players!$C$2:$C$39)+0.00001,TRUE)</f>
        <v>0.431377603</v>
      </c>
      <c r="E38" s="180"/>
      <c r="F38" s="186">
        <f>COUNTIF('Match History'!B2:BK400,"slash")</f>
        <v>7</v>
      </c>
      <c r="G38" s="58" t="s">
        <v>103</v>
      </c>
      <c r="H38" s="43" t="s">
        <v>683</v>
      </c>
      <c r="I38" s="80"/>
    </row>
    <row r="39">
      <c r="A39" s="44" t="s">
        <v>684</v>
      </c>
      <c r="B39" s="44" t="s">
        <v>340</v>
      </c>
      <c r="C39" s="45">
        <v>985.45</v>
      </c>
      <c r="D39" s="49">
        <f>NORMDIST(C39,1000,STDEV(Players!$C$2:$C$39)+0.00001,TRUE)</f>
        <v>0.4300760995</v>
      </c>
      <c r="E39" s="180"/>
      <c r="F39" s="195">
        <f>IFERROR(__xludf.DUMMYFUNCTION("COUNTIF(IMPORTRANGE(""1w_WHqCutkp_S6KveKyu4mNaG76C5dIlDwKw-A-dEOLo"",""Match History!B2:AL200""),""spiker"")"),8.0)</f>
        <v>8</v>
      </c>
      <c r="G39" s="58" t="s">
        <v>24</v>
      </c>
      <c r="H39" s="43" t="s">
        <v>29</v>
      </c>
    </row>
    <row r="40" ht="21.0" customHeight="1">
      <c r="A40" s="22" t="s">
        <v>685</v>
      </c>
      <c r="B40" s="22" t="s">
        <v>626</v>
      </c>
      <c r="C40" s="12">
        <v>985.0525410311697</v>
      </c>
      <c r="D40" s="34">
        <f>NORMDIST(C40,1000,STDEV(Players!$C$2:$C$39)+0.00001,TRUE)</f>
        <v>0.4281864942</v>
      </c>
      <c r="E40" s="25"/>
      <c r="F40" s="36">
        <f>COUNTIF('Match History'!A:BK,"poziomka")</f>
        <v>1</v>
      </c>
      <c r="G40" s="42" t="s">
        <v>24</v>
      </c>
      <c r="H40" s="41" t="s">
        <v>29</v>
      </c>
      <c r="I40" s="29"/>
      <c r="J40" s="30"/>
      <c r="K40" s="43"/>
    </row>
    <row r="41">
      <c r="A41" s="44" t="s">
        <v>686</v>
      </c>
      <c r="B41" s="44" t="s">
        <v>363</v>
      </c>
      <c r="C41" s="45">
        <v>983.3230671087371</v>
      </c>
      <c r="D41" s="49">
        <f>NORMDIST(C41,1000,STDEV(Players!$C$2:$C$39)+0.00001,TRUE)</f>
        <v>0.4199839076</v>
      </c>
      <c r="E41" s="180"/>
      <c r="F41" s="182">
        <f>COUNTIF('Match History'!B2:BK296,"anithero")</f>
        <v>4</v>
      </c>
      <c r="G41" s="58" t="s">
        <v>55</v>
      </c>
      <c r="H41" s="43" t="s">
        <v>687</v>
      </c>
      <c r="I41" s="80"/>
    </row>
    <row r="42">
      <c r="A42" s="44" t="s">
        <v>688</v>
      </c>
      <c r="B42" s="44" t="s">
        <v>389</v>
      </c>
      <c r="C42" s="45">
        <v>982.0</v>
      </c>
      <c r="D42" s="49">
        <f>NORMDIST(C42,1000,STDEV(Players!$C$2:$C$39)+0.00001,TRUE)</f>
        <v>0.4137320225</v>
      </c>
      <c r="E42" s="180"/>
      <c r="F42" s="196">
        <f>COUNTIF('Match History'!B2:BK296,"jellez")</f>
        <v>1</v>
      </c>
      <c r="G42" s="58" t="s">
        <v>103</v>
      </c>
      <c r="H42" s="43" t="s">
        <v>689</v>
      </c>
    </row>
    <row r="43">
      <c r="A43" s="44" t="s">
        <v>690</v>
      </c>
      <c r="B43" s="44" t="s">
        <v>345</v>
      </c>
      <c r="C43" s="45">
        <v>980.300720570869</v>
      </c>
      <c r="D43" s="49">
        <f>NORMDIST(C43,1000,STDEV(Players!$C$2:$C$39)+0.00001,TRUE)</f>
        <v>0.4057346008</v>
      </c>
      <c r="E43" s="180"/>
      <c r="F43" s="185">
        <f>COUNTIF('Match History'!B2:BK296,"trigger")</f>
        <v>8</v>
      </c>
      <c r="G43" s="48" t="s">
        <v>24</v>
      </c>
      <c r="H43" s="43" t="s">
        <v>29</v>
      </c>
      <c r="I43" s="80"/>
    </row>
    <row r="44">
      <c r="A44" s="44" t="s">
        <v>691</v>
      </c>
      <c r="B44" s="44" t="s">
        <v>596</v>
      </c>
      <c r="C44" s="45">
        <v>980.0379972334997</v>
      </c>
      <c r="D44" s="52">
        <f>NORMDIST(C44,1000,STDEV(Players!$C$2:$C$39)+0.00001,TRUE)</f>
        <v>0.4045015447</v>
      </c>
      <c r="E44" s="149"/>
      <c r="F44" s="178">
        <f>COUNTIF('Match History'!A:BK,"sid")</f>
        <v>2</v>
      </c>
      <c r="G44" s="48" t="s">
        <v>24</v>
      </c>
      <c r="H44" s="43" t="s">
        <v>32</v>
      </c>
      <c r="I44" s="81" t="s">
        <v>29</v>
      </c>
    </row>
    <row r="45">
      <c r="A45" s="44" t="s">
        <v>692</v>
      </c>
      <c r="B45" s="44" t="s">
        <v>332</v>
      </c>
      <c r="C45" s="45">
        <v>979.6605218401987</v>
      </c>
      <c r="D45" s="49">
        <f>NORMDIST(C45,1000,STDEV(Players!$C$2:$C$39)+0.00001,TRUE)</f>
        <v>0.4027315776</v>
      </c>
      <c r="E45" s="180"/>
      <c r="F45" s="184">
        <f>COUNTIF('Match History'!B4:BK700,"wint")</f>
        <v>4</v>
      </c>
      <c r="G45" s="58" t="s">
        <v>24</v>
      </c>
      <c r="H45" s="43" t="s">
        <v>28</v>
      </c>
    </row>
    <row r="46" ht="21.0" customHeight="1">
      <c r="A46" s="51" t="s">
        <v>693</v>
      </c>
      <c r="B46" s="51" t="s">
        <v>600</v>
      </c>
      <c r="C46" s="45">
        <v>979.5216130616059</v>
      </c>
      <c r="D46" s="52">
        <f>NORMDIST(C46,1000,STDEV(Players!$C$2:$C$39)+0.00001,TRUE)</f>
        <v>0.4020807393</v>
      </c>
      <c r="E46" s="180"/>
      <c r="F46" s="184">
        <f>COUNTIF('Match History'!A:BK,"phantom")</f>
        <v>3</v>
      </c>
      <c r="G46" s="48" t="s">
        <v>44</v>
      </c>
      <c r="H46" s="54" t="s">
        <v>29</v>
      </c>
      <c r="I46" s="55" t="s">
        <v>29</v>
      </c>
    </row>
    <row r="47">
      <c r="A47" s="84" t="s">
        <v>694</v>
      </c>
      <c r="B47" s="85" t="s">
        <v>224</v>
      </c>
      <c r="C47" s="45">
        <v>978.6126677984271</v>
      </c>
      <c r="D47" s="49">
        <f>NORMDIST(C47,1000,STDEV(Players!$C$2:$C$39)+0.00001,TRUE)</f>
        <v>0.3978287756</v>
      </c>
      <c r="E47" s="46"/>
      <c r="F47" s="186">
        <f>COUNTIF('Match History'!B2:BK610,"tomas")</f>
        <v>73</v>
      </c>
      <c r="G47" s="58" t="s">
        <v>24</v>
      </c>
      <c r="H47" s="54" t="s">
        <v>93</v>
      </c>
      <c r="I47" s="80"/>
    </row>
    <row r="48">
      <c r="A48" s="51" t="s">
        <v>695</v>
      </c>
      <c r="B48" s="51" t="s">
        <v>591</v>
      </c>
      <c r="C48" s="45">
        <v>977.7750606066642</v>
      </c>
      <c r="D48" s="52">
        <f>NORMDIST(C48,1000,STDEV(Players!$C$2:$C$39)+0.00001,TRUE)</f>
        <v>0.3939212282</v>
      </c>
      <c r="E48" s="192"/>
      <c r="F48" s="197">
        <f>COUNTIF('Match History'!A:BK,"mr-t0ud")</f>
        <v>2</v>
      </c>
      <c r="G48" s="58" t="s">
        <v>24</v>
      </c>
      <c r="H48" s="193" t="s">
        <v>29</v>
      </c>
      <c r="I48" s="29" t="s">
        <v>29</v>
      </c>
    </row>
    <row r="49">
      <c r="A49" s="51" t="s">
        <v>696</v>
      </c>
      <c r="B49" s="51" t="s">
        <v>572</v>
      </c>
      <c r="C49" s="45">
        <v>971.5353610945829</v>
      </c>
      <c r="D49" s="52">
        <f>NORMDIST(C49,1000,STDEV(Players!$C$2:$C$39)+0.00001,TRUE)</f>
        <v>0.3651721756</v>
      </c>
      <c r="E49" s="198"/>
      <c r="F49" s="178">
        <f>COUNTIF('Match History'!A:BK,"sancho")</f>
        <v>15</v>
      </c>
      <c r="G49" s="58" t="s">
        <v>24</v>
      </c>
      <c r="H49" s="193" t="s">
        <v>32</v>
      </c>
      <c r="I49" s="29" t="s">
        <v>29</v>
      </c>
      <c r="J49" s="80"/>
    </row>
    <row r="50">
      <c r="A50" s="44" t="s">
        <v>697</v>
      </c>
      <c r="B50" s="44" t="s">
        <v>617</v>
      </c>
      <c r="C50" s="12">
        <v>961.8705023778801</v>
      </c>
      <c r="D50" s="13">
        <f>NORMDIST(C50,1000,STDEV(Players!$C$2:$C$39)+0.00001,TRUE)</f>
        <v>0.3221498107</v>
      </c>
      <c r="E50" s="80"/>
      <c r="F50" s="47">
        <f>COUNTIF('Match History'!A:BK,"spooox")</f>
        <v>6</v>
      </c>
      <c r="G50" s="60" t="s">
        <v>51</v>
      </c>
      <c r="H50" s="43" t="s">
        <v>29</v>
      </c>
      <c r="I50" s="43" t="s">
        <v>29</v>
      </c>
      <c r="K50" s="80"/>
    </row>
    <row r="51">
      <c r="A51" s="44" t="s">
        <v>698</v>
      </c>
      <c r="B51" s="44" t="s">
        <v>227</v>
      </c>
      <c r="C51" s="45">
        <v>959.1239872843641</v>
      </c>
      <c r="D51" s="49">
        <f>NORMDIST(C51,1000,STDEV(Players!$C$2:$C$39)+0.00001,TRUE)</f>
        <v>0.3103169608</v>
      </c>
      <c r="E51" s="180"/>
      <c r="F51" s="195">
        <f>COUNTIF('Match History'!B2:BK700,"hwk")</f>
        <v>20</v>
      </c>
      <c r="G51" s="48" t="s">
        <v>83</v>
      </c>
      <c r="H51" s="43" t="s">
        <v>29</v>
      </c>
      <c r="I51" s="80"/>
    </row>
    <row r="52">
      <c r="A52" s="44" t="s">
        <v>699</v>
      </c>
      <c r="B52" s="44" t="s">
        <v>306</v>
      </c>
      <c r="C52" s="45">
        <v>950.88</v>
      </c>
      <c r="D52" s="49">
        <f>NORMDIST(C52,1000,STDEV(Players!$C$2:$C$39)+0.00001,TRUE)</f>
        <v>0.2759967975</v>
      </c>
      <c r="E52" s="180"/>
      <c r="F52" s="182">
        <f>COUNTIF('Match History'!B2:BK601,"kurian")</f>
        <v>12</v>
      </c>
      <c r="G52" s="48" t="s">
        <v>24</v>
      </c>
      <c r="H52" s="43" t="s">
        <v>29</v>
      </c>
    </row>
    <row r="53">
      <c r="A53" s="44" t="s">
        <v>248</v>
      </c>
      <c r="B53" s="44" t="s">
        <v>248</v>
      </c>
      <c r="C53" s="39">
        <v>948.9311355243194</v>
      </c>
      <c r="D53" s="82">
        <f>NORMDIST(C53,1000,STDEV(Players!$C$2:$C$39)+0.00001,TRUE)</f>
        <v>0.2681645852</v>
      </c>
      <c r="E53" s="46"/>
      <c r="F53" s="199">
        <f>COUNTIF('Match History'!A:BK,"k4ps")</f>
        <v>141</v>
      </c>
      <c r="G53" s="58" t="s">
        <v>24</v>
      </c>
      <c r="H53" s="193" t="s">
        <v>93</v>
      </c>
      <c r="I53" s="29" t="s">
        <v>29</v>
      </c>
    </row>
    <row r="54">
      <c r="A54" s="84" t="s">
        <v>623</v>
      </c>
      <c r="B54" s="84" t="s">
        <v>623</v>
      </c>
      <c r="C54" s="45">
        <v>948.4234994847433</v>
      </c>
      <c r="D54" s="13">
        <f>NORMDIST(C54,1000,STDEV(Players!$C$2:$C$39)+0.00001,TRUE)</f>
        <v>0.2661429848</v>
      </c>
      <c r="E54" s="46"/>
      <c r="F54" s="47">
        <f>COUNTIF('Match History'!A:BK,"midas")</f>
        <v>1</v>
      </c>
      <c r="G54" s="48" t="s">
        <v>51</v>
      </c>
      <c r="H54" s="43"/>
      <c r="I54" s="29"/>
      <c r="J54" s="43"/>
      <c r="K54" s="80"/>
    </row>
    <row r="55" ht="21.0" customHeight="1">
      <c r="A55" s="44" t="s">
        <v>613</v>
      </c>
      <c r="B55" s="44" t="s">
        <v>613</v>
      </c>
      <c r="C55" s="12">
        <v>943.6363470366788</v>
      </c>
      <c r="D55" s="49">
        <f>NORMDIST(C55,1000,STDEV(Players!$C$2:$C$39)+0.00001,TRUE)</f>
        <v>0.2474658239</v>
      </c>
      <c r="E55" s="46"/>
      <c r="F55" s="178">
        <f>COUNTIF('Match History'!A:BK,"Mohamed")</f>
        <v>2</v>
      </c>
      <c r="G55" s="58" t="s">
        <v>83</v>
      </c>
      <c r="H55" s="54" t="s">
        <v>29</v>
      </c>
      <c r="I55" s="81" t="s">
        <v>29</v>
      </c>
      <c r="J55" s="80"/>
    </row>
    <row r="56" ht="21.0" customHeight="1">
      <c r="A56" s="68" t="s">
        <v>700</v>
      </c>
      <c r="B56" s="68" t="s">
        <v>296</v>
      </c>
      <c r="C56" s="89">
        <v>942.5784691409227</v>
      </c>
      <c r="D56" s="82">
        <f>NORMDIST(C56,1000,STDEV(Inactive!$C$5:$C$148)+0.00001,TRUE)</f>
        <v>0.1775804609</v>
      </c>
      <c r="E56" s="200"/>
      <c r="F56" s="201">
        <f>COUNTIF('Match History'!A:BK,"wiktor")</f>
        <v>23</v>
      </c>
      <c r="G56" s="78" t="s">
        <v>24</v>
      </c>
      <c r="H56" s="202" t="s">
        <v>93</v>
      </c>
      <c r="I56" s="91" t="s">
        <v>29</v>
      </c>
      <c r="J56" s="92"/>
      <c r="K56" s="92"/>
      <c r="L56" s="92"/>
      <c r="M56" s="92"/>
      <c r="N56" s="92"/>
      <c r="O56" s="92"/>
      <c r="P56" s="92"/>
      <c r="Q56" s="92"/>
    </row>
    <row r="57">
      <c r="A57" s="44" t="s">
        <v>364</v>
      </c>
      <c r="B57" s="44" t="s">
        <v>364</v>
      </c>
      <c r="C57" s="45">
        <v>912.5607950557824</v>
      </c>
      <c r="D57" s="49">
        <f>NORMDIST(C57,1000,STDEV(Players!$C$2:$C$39)+0.00001,TRUE)</f>
        <v>0.1448526959</v>
      </c>
      <c r="E57" s="180"/>
      <c r="F57" s="195">
        <f>COUNTIF('Match History'!B2:BK400,"f1sh")</f>
        <v>10</v>
      </c>
      <c r="G57" s="58" t="s">
        <v>55</v>
      </c>
      <c r="H57" s="43" t="s">
        <v>660</v>
      </c>
      <c r="I57" s="80"/>
    </row>
    <row r="58">
      <c r="A58" s="44" t="s">
        <v>701</v>
      </c>
      <c r="B58" s="44" t="s">
        <v>228</v>
      </c>
      <c r="C58" s="45">
        <v>910.3840216714931</v>
      </c>
      <c r="D58" s="49">
        <f>NORMDIST(C58,1000,STDEV(Players!$C$2:$C$39)+0.00001,TRUE)</f>
        <v>0.1389329596</v>
      </c>
      <c r="E58" s="180"/>
      <c r="F58" s="185">
        <f>COUNTIF('Match History'!B2:BK400,"belus")</f>
        <v>64</v>
      </c>
      <c r="G58" s="48" t="s">
        <v>665</v>
      </c>
      <c r="H58" s="43" t="s">
        <v>702</v>
      </c>
      <c r="I58" s="80"/>
    </row>
    <row r="59">
      <c r="A59" s="44" t="s">
        <v>703</v>
      </c>
      <c r="B59" s="44" t="s">
        <v>486</v>
      </c>
      <c r="C59" s="45">
        <v>876.76016311796</v>
      </c>
      <c r="D59" s="13">
        <f>NORMDIST(C59,1000,STDEV(Players!$C$2:$C$39)+0.00001,TRUE)</f>
        <v>0.06781492456</v>
      </c>
      <c r="E59" s="46"/>
      <c r="F59" s="185">
        <f>COUNTIF('Match History'!A:BK,"johny")</f>
        <v>112</v>
      </c>
      <c r="G59" s="48" t="s">
        <v>704</v>
      </c>
      <c r="H59" s="43" t="s">
        <v>29</v>
      </c>
      <c r="I59" s="43" t="s">
        <v>29</v>
      </c>
    </row>
    <row r="60" ht="18.0" customHeight="1">
      <c r="A60" s="88" t="s">
        <v>705</v>
      </c>
      <c r="B60" s="88" t="s">
        <v>230</v>
      </c>
      <c r="C60" s="45">
        <v>864.6344938819676</v>
      </c>
      <c r="D60" s="82">
        <f>NORMDIST(C60,1000,STDEV(Players!$C$2:$C$38)+0.00001,TRUE)</f>
        <v>0.04992968368</v>
      </c>
      <c r="E60" s="203"/>
      <c r="F60" s="184">
        <f>COUNTIF('Match History'!A:BK,"ryba")</f>
        <v>89</v>
      </c>
      <c r="G60" s="204" t="s">
        <v>24</v>
      </c>
      <c r="H60" s="83" t="s">
        <v>706</v>
      </c>
      <c r="I60" s="205" t="s">
        <v>29</v>
      </c>
      <c r="J60" s="92"/>
      <c r="K60" s="92"/>
      <c r="L60" s="92"/>
      <c r="M60" s="92"/>
      <c r="N60" s="92"/>
      <c r="O60" s="92"/>
      <c r="P60" s="92"/>
      <c r="Q60" s="92"/>
    </row>
    <row r="61">
      <c r="A61" s="51" t="s">
        <v>707</v>
      </c>
      <c r="B61" s="51" t="s">
        <v>582</v>
      </c>
      <c r="C61" s="45">
        <v>852.029854628342</v>
      </c>
      <c r="D61" s="52">
        <f>NORMDIST(C61,1000,STDEV(Players!$C$2:$C$39)+0.00001,TRUE)</f>
        <v>0.03658937129</v>
      </c>
      <c r="E61" s="180"/>
      <c r="F61" s="178">
        <f>COUNTIF('Match History'!A:BK,"stylo")</f>
        <v>12</v>
      </c>
      <c r="G61" s="48" t="s">
        <v>708</v>
      </c>
      <c r="H61" s="54" t="s">
        <v>29</v>
      </c>
      <c r="I61" s="81" t="s">
        <v>29</v>
      </c>
    </row>
    <row r="62">
      <c r="A62" s="44" t="s">
        <v>709</v>
      </c>
      <c r="B62" s="44" t="s">
        <v>451</v>
      </c>
      <c r="C62" s="45">
        <v>802.3140297206022</v>
      </c>
      <c r="D62" s="52">
        <f>NORMDIST(C62,1000,STDEV(Players!$C$2:$C$39)+0.00001,TRUE)</f>
        <v>0.008339593725</v>
      </c>
      <c r="F62" s="178">
        <f>COUNTIF('Match History'!B4:BK400,"xiibase")</f>
        <v>3</v>
      </c>
      <c r="G62" s="48" t="s">
        <v>51</v>
      </c>
      <c r="H62" s="43" t="s">
        <v>29</v>
      </c>
    </row>
    <row r="63">
      <c r="A63" s="44" t="s">
        <v>599</v>
      </c>
      <c r="B63" s="44" t="s">
        <v>599</v>
      </c>
      <c r="C63" s="45">
        <v>800.8905873692144</v>
      </c>
      <c r="D63" s="52">
        <f>NORMDIST(C63,1000,STDEV(Players!$C$2:$C$39)+0.00001,TRUE)</f>
        <v>0.007955727041</v>
      </c>
      <c r="F63" s="178">
        <f>COUNTIF('Match History'!A:BK,"cycu")</f>
        <v>1</v>
      </c>
      <c r="G63" s="48" t="s">
        <v>24</v>
      </c>
      <c r="H63" s="43" t="s">
        <v>29</v>
      </c>
      <c r="I63" s="81" t="s">
        <v>29</v>
      </c>
    </row>
    <row r="64">
      <c r="A64" s="91" t="s">
        <v>710</v>
      </c>
      <c r="B64" s="92" t="s">
        <v>569</v>
      </c>
      <c r="C64" s="45">
        <v>800.0</v>
      </c>
      <c r="D64" s="77">
        <f>NORMDIST(C64,1000,STDEV(Players!$C$2:$C$39)+0.00001,TRUE)</f>
        <v>0.007723537695</v>
      </c>
      <c r="E64" s="92"/>
      <c r="F64" s="189">
        <f>COUNTIF('Match History'!A:BK,"girao")</f>
        <v>3</v>
      </c>
      <c r="G64" s="48" t="s">
        <v>51</v>
      </c>
      <c r="H64" s="83" t="s">
        <v>29</v>
      </c>
      <c r="I64" s="90" t="s">
        <v>29</v>
      </c>
      <c r="J64" s="92"/>
      <c r="K64" s="92"/>
      <c r="L64" s="92"/>
      <c r="M64" s="92"/>
      <c r="N64" s="92"/>
      <c r="O64" s="92"/>
      <c r="P64" s="92"/>
      <c r="Q64" s="92"/>
    </row>
    <row r="65">
      <c r="A65" s="44" t="s">
        <v>711</v>
      </c>
      <c r="B65" s="44" t="s">
        <v>454</v>
      </c>
      <c r="C65" s="45">
        <v>781.1235375244959</v>
      </c>
      <c r="D65" s="52">
        <f>NORMDIST(C65,1000,STDEV(Players!$C$2:$C$39)+0.00001,TRUE)</f>
        <v>0.004021111884</v>
      </c>
      <c r="F65" s="178">
        <f>COUNTIF('Match History'!B6:BK400,"capitao-gancho")</f>
        <v>2</v>
      </c>
      <c r="G65" s="48" t="s">
        <v>51</v>
      </c>
      <c r="H65" s="43" t="s">
        <v>29</v>
      </c>
    </row>
    <row r="66">
      <c r="A66" s="44" t="s">
        <v>712</v>
      </c>
      <c r="B66" s="44" t="s">
        <v>455</v>
      </c>
      <c r="C66" s="45">
        <v>752.54</v>
      </c>
      <c r="D66" s="52">
        <f>NORMDIST(C66,1000,STDEV(Players!$C$2:$C$39)+0.00001,TRUE)</f>
        <v>0.001365942833</v>
      </c>
      <c r="F66" s="178">
        <f>COUNTIF('Match History'!A:BK,"rc")</f>
        <v>6</v>
      </c>
      <c r="G66" s="48" t="s">
        <v>51</v>
      </c>
      <c r="H66" s="43" t="s">
        <v>29</v>
      </c>
      <c r="I66" s="81" t="s">
        <v>29</v>
      </c>
    </row>
    <row r="68">
      <c r="G68" s="144"/>
    </row>
    <row r="69">
      <c r="G69" s="144"/>
    </row>
    <row r="70">
      <c r="C70" s="80"/>
      <c r="G70" s="80"/>
    </row>
    <row r="71">
      <c r="C71" s="80"/>
      <c r="G71" s="80"/>
    </row>
    <row r="72">
      <c r="C72" s="80"/>
      <c r="G72" s="80"/>
    </row>
    <row r="73">
      <c r="C73" s="80"/>
      <c r="G73" s="80"/>
    </row>
    <row r="74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</row>
    <row r="75">
      <c r="C75" s="80"/>
      <c r="G75" s="80"/>
      <c r="M75" s="80"/>
      <c r="N75" s="80"/>
      <c r="O75" s="80"/>
      <c r="P75" s="80"/>
      <c r="Q75" s="80"/>
    </row>
    <row r="76">
      <c r="C76" s="80"/>
      <c r="G76" s="80"/>
      <c r="M76" s="80"/>
      <c r="N76" s="80"/>
      <c r="O76" s="80"/>
      <c r="P76" s="80"/>
      <c r="Q76" s="80"/>
    </row>
    <row r="77">
      <c r="C77" s="80"/>
      <c r="G77" s="80"/>
    </row>
    <row r="78">
      <c r="C78" s="80"/>
      <c r="G78" s="80"/>
    </row>
    <row r="79">
      <c r="C79" s="80"/>
      <c r="G79" s="80"/>
    </row>
    <row r="80">
      <c r="C80" s="80"/>
      <c r="G80" s="80"/>
    </row>
    <row r="81">
      <c r="C81" s="80"/>
      <c r="G81" s="80"/>
    </row>
    <row r="82">
      <c r="C82" s="80"/>
      <c r="G82" s="80"/>
    </row>
  </sheetData>
  <customSheetViews>
    <customSheetView guid="{E889D47C-96F6-497F-A0DB-ED0224310268}" filter="1" showAutoFilter="1">
      <autoFilter ref="$A$1:$H$10">
        <sortState ref="A1:H10">
          <sortCondition descending="1" ref="C1:C10"/>
        </sortState>
      </autoFilter>
    </customSheetView>
  </customSheetViews>
  <conditionalFormatting sqref="K46">
    <cfRule type="notContainsBlanks" dxfId="0" priority="1">
      <formula>LEN(TRIM(K46))&gt;0</formula>
    </cfRule>
  </conditionalFormatting>
  <conditionalFormatting sqref="K29">
    <cfRule type="notContainsBlanks" dxfId="0" priority="2">
      <formula>LEN(TRIM(K29))&gt;0</formula>
    </cfRule>
  </conditionalFormatting>
  <conditionalFormatting sqref="K56">
    <cfRule type="notContainsBlanks" dxfId="0" priority="3">
      <formula>LEN(TRIM(K56))&gt;0</formula>
    </cfRule>
  </conditionalFormatting>
  <conditionalFormatting sqref="K1:K2 K4:K6 K10:K15 K17:K25 K27:K28 K30:K33 K36:K39 K41:K43 K45 K47 K51:K52 K57:K58 K62 K65 K69:K82">
    <cfRule type="notContainsBlanks" dxfId="0" priority="4">
      <formula>LEN(TRIM(K1))&gt;0</formula>
    </cfRule>
  </conditionalFormatting>
  <dataValidations>
    <dataValidation type="list" allowBlank="1" sqref="G2:G6 G10:G25 G27:G34 G36:G39 G41:G49 G51:G53 G55:G66 G68:G82">
      <formula1>"PL,EG,EU,DE,NL,ES,BE,RU,RO,FR,UK,GR,PT,FI,AM,SE,TH,US"</formula1>
    </dataValidation>
    <dataValidation type="list" allowBlank="1" sqref="G7:G9 G26 G35 G40 G50 G54">
      <formula1>"PL,EG,EU,DE,NL,ES,BE,RU,RO,FR,UK,GR,PT,FI,AM,SE,XX,JO,IR,IE,NO"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7" width="22.75"/>
    <col customWidth="1" min="8" max="9" width="16.75"/>
    <col customWidth="1" min="10" max="17" width="15.63"/>
  </cols>
  <sheetData>
    <row r="1" ht="24.0" customHeight="1">
      <c r="A1" s="206" t="s">
        <v>713</v>
      </c>
      <c r="B1" s="206" t="s">
        <v>714</v>
      </c>
      <c r="C1" s="206"/>
      <c r="D1" s="206" t="s">
        <v>715</v>
      </c>
      <c r="E1" s="206"/>
      <c r="F1" s="206" t="s">
        <v>716</v>
      </c>
      <c r="G1" s="206"/>
      <c r="H1" s="207" t="s">
        <v>717</v>
      </c>
      <c r="I1" s="207" t="s">
        <v>718</v>
      </c>
      <c r="J1" s="208" t="s">
        <v>719</v>
      </c>
      <c r="K1" s="207" t="s">
        <v>720</v>
      </c>
      <c r="L1" s="207" t="s">
        <v>721</v>
      </c>
      <c r="M1" s="207" t="s">
        <v>722</v>
      </c>
      <c r="N1" s="207" t="s">
        <v>723</v>
      </c>
      <c r="O1" s="207" t="s">
        <v>724</v>
      </c>
      <c r="P1" s="209"/>
      <c r="Q1" s="209"/>
    </row>
    <row r="2" ht="24.0" customHeight="1">
      <c r="A2" s="210">
        <v>1.0</v>
      </c>
      <c r="B2" s="210" t="s">
        <v>22</v>
      </c>
      <c r="C2" s="210"/>
      <c r="D2" s="210" t="s">
        <v>117</v>
      </c>
      <c r="E2" s="210"/>
      <c r="F2" s="210" t="s">
        <v>94</v>
      </c>
      <c r="G2" s="210"/>
      <c r="H2" s="211">
        <v>1.0</v>
      </c>
      <c r="I2" s="212"/>
      <c r="J2" s="212"/>
      <c r="K2" s="212"/>
      <c r="L2" s="212">
        <v>1.0</v>
      </c>
      <c r="M2" s="212"/>
      <c r="N2" s="212"/>
      <c r="O2" s="212"/>
      <c r="P2" s="213"/>
      <c r="Q2" s="213"/>
    </row>
    <row r="3" ht="24.0" customHeight="1">
      <c r="A3" s="210">
        <v>2.0</v>
      </c>
      <c r="B3" s="214" t="s">
        <v>26</v>
      </c>
      <c r="C3" s="214"/>
      <c r="D3" s="214" t="s">
        <v>91</v>
      </c>
      <c r="E3" s="214"/>
      <c r="F3" s="214" t="s">
        <v>725</v>
      </c>
      <c r="G3" s="214"/>
      <c r="H3" s="212">
        <v>2.0</v>
      </c>
      <c r="I3" s="215">
        <v>1.0</v>
      </c>
      <c r="J3" s="215"/>
      <c r="K3" s="216"/>
      <c r="L3" s="216"/>
      <c r="M3" s="215">
        <v>2.0</v>
      </c>
      <c r="N3" s="215">
        <v>1.0</v>
      </c>
      <c r="O3" s="216"/>
      <c r="P3" s="209"/>
      <c r="Q3" s="209"/>
    </row>
    <row r="4" ht="25.5" customHeight="1">
      <c r="A4" s="210">
        <v>3.0</v>
      </c>
      <c r="B4" s="214" t="s">
        <v>33</v>
      </c>
      <c r="C4" s="214"/>
      <c r="D4" s="214" t="s">
        <v>111</v>
      </c>
      <c r="E4" s="214"/>
      <c r="F4" s="214" t="s">
        <v>99</v>
      </c>
      <c r="G4" s="214"/>
      <c r="H4" s="212">
        <v>1.0</v>
      </c>
      <c r="I4" s="216"/>
      <c r="J4" s="216"/>
      <c r="K4" s="216"/>
      <c r="L4" s="215">
        <v>2.0</v>
      </c>
      <c r="M4" s="215">
        <v>1.0</v>
      </c>
      <c r="N4" s="216"/>
      <c r="O4" s="216"/>
      <c r="P4" s="209"/>
      <c r="Q4" s="209"/>
    </row>
    <row r="5" ht="24.75" customHeight="1">
      <c r="A5" s="210">
        <v>4.0</v>
      </c>
      <c r="B5" s="214" t="s">
        <v>46</v>
      </c>
      <c r="C5" s="214"/>
      <c r="D5" s="214" t="s">
        <v>119</v>
      </c>
      <c r="E5" s="214"/>
      <c r="F5" s="214" t="s">
        <v>108</v>
      </c>
      <c r="G5" s="214"/>
      <c r="H5" s="212">
        <v>2.0</v>
      </c>
      <c r="I5" s="212">
        <v>2.0</v>
      </c>
      <c r="J5" s="215">
        <v>1.0</v>
      </c>
      <c r="K5" s="216"/>
      <c r="L5" s="216"/>
      <c r="M5" s="216"/>
      <c r="N5" s="216"/>
      <c r="O5" s="215">
        <v>1.0</v>
      </c>
      <c r="P5" s="209"/>
      <c r="Q5" s="209"/>
    </row>
    <row r="6" ht="27.0" customHeight="1">
      <c r="A6" s="210">
        <v>5.0</v>
      </c>
      <c r="B6" s="214" t="s">
        <v>54</v>
      </c>
      <c r="C6" s="214"/>
      <c r="D6" s="214" t="s">
        <v>87</v>
      </c>
      <c r="E6" s="214"/>
      <c r="F6" s="214" t="s">
        <v>122</v>
      </c>
      <c r="G6" s="214"/>
      <c r="H6" s="212">
        <v>1.0</v>
      </c>
      <c r="I6" s="212"/>
      <c r="J6" s="216"/>
      <c r="K6" s="216"/>
      <c r="L6" s="215">
        <v>1.0</v>
      </c>
      <c r="M6" s="216"/>
      <c r="N6" s="216"/>
      <c r="O6" s="216"/>
      <c r="P6" s="209"/>
      <c r="Q6" s="209"/>
    </row>
    <row r="7" ht="27.0" customHeight="1">
      <c r="A7" s="210">
        <v>6.0</v>
      </c>
      <c r="B7" s="214" t="s">
        <v>42</v>
      </c>
      <c r="C7" s="214"/>
      <c r="D7" s="214" t="s">
        <v>104</v>
      </c>
      <c r="E7" s="214"/>
      <c r="F7" s="214" t="s">
        <v>124</v>
      </c>
      <c r="G7" s="214"/>
      <c r="H7" s="212">
        <v>2.0</v>
      </c>
      <c r="I7" s="212">
        <v>1.0</v>
      </c>
      <c r="J7" s="216"/>
      <c r="K7" s="215">
        <v>2.0</v>
      </c>
      <c r="L7" s="216"/>
      <c r="M7" s="215">
        <v>2.0</v>
      </c>
      <c r="N7" s="215">
        <v>2.0</v>
      </c>
      <c r="O7" s="215">
        <v>2.0</v>
      </c>
      <c r="P7" s="209"/>
      <c r="Q7" s="209"/>
    </row>
    <row r="8" ht="26.25" customHeight="1">
      <c r="A8" s="210">
        <v>7.0</v>
      </c>
      <c r="B8" s="214" t="s">
        <v>37</v>
      </c>
      <c r="C8" s="214"/>
      <c r="D8" s="214" t="s">
        <v>110</v>
      </c>
      <c r="E8" s="214"/>
      <c r="F8" s="214" t="s">
        <v>652</v>
      </c>
      <c r="G8" s="214"/>
      <c r="H8" s="212">
        <v>1.0</v>
      </c>
      <c r="I8" s="212"/>
      <c r="J8" s="216"/>
      <c r="K8" s="216"/>
      <c r="L8" s="215">
        <v>2.0</v>
      </c>
      <c r="M8" s="215">
        <v>1.0</v>
      </c>
      <c r="N8" s="216"/>
      <c r="O8" s="216"/>
      <c r="P8" s="209"/>
      <c r="Q8" s="209"/>
    </row>
    <row r="9" ht="26.25" customHeight="1">
      <c r="A9" s="210">
        <v>8.0</v>
      </c>
      <c r="B9" s="214" t="s">
        <v>726</v>
      </c>
      <c r="C9" s="214"/>
      <c r="D9" s="214" t="s">
        <v>727</v>
      </c>
      <c r="E9" s="214"/>
      <c r="F9" s="214" t="s">
        <v>84</v>
      </c>
      <c r="G9" s="214"/>
      <c r="H9" s="212">
        <v>2.0</v>
      </c>
      <c r="I9" s="212">
        <v>2.0</v>
      </c>
      <c r="J9" s="215">
        <v>2.0</v>
      </c>
      <c r="K9" s="215">
        <v>1.0</v>
      </c>
      <c r="L9" s="216"/>
      <c r="M9" s="216"/>
      <c r="N9" s="216"/>
      <c r="O9" s="216"/>
      <c r="P9" s="209"/>
      <c r="Q9" s="209"/>
    </row>
    <row r="10" ht="27.0" customHeight="1">
      <c r="A10" s="210"/>
      <c r="B10" s="217" t="str">
        <f>IFERROR(__xludf.DUMMYFUNCTION("QUERY(IMPORTRANGE(""1w_WHqCutkp_S6KveKyu4mNaG76C5dIlDwKw-A-dEOLo"",""Players!A:J""),""where Col2='zielony'"")"),"playername")</f>
        <v>playername</v>
      </c>
      <c r="C10" s="217" t="str">
        <f>IFERROR(__xludf.DUMMYFUNCTION("""COMPUTED_VALUE"""),"username")</f>
        <v>username</v>
      </c>
      <c r="D10" s="217" t="str">
        <f>IFERROR(__xludf.DUMMYFUNCTION("""COMPUTED_VALUE"""),"ranking")</f>
        <v>ranking</v>
      </c>
      <c r="E10" s="217" t="str">
        <f>IFERROR(__xludf.DUMMYFUNCTION("""COMPUTED_VALUE"""),"percentile")</f>
        <v>percentile</v>
      </c>
      <c r="F10" s="217" t="str">
        <f>IFERROR(__xludf.DUMMYFUNCTION("""COMPUTED_VALUE"""),"place")</f>
        <v>place</v>
      </c>
      <c r="G10" s="217" t="str">
        <f>IFERROR(__xludf.DUMMYFUNCTION("""COMPUTED_VALUE"""),"warcount")</f>
        <v>warcount</v>
      </c>
      <c r="H10" s="209" t="str">
        <f>IFERROR(__xludf.DUMMYFUNCTION("""COMPUTED_VALUE"""),"nationality")</f>
        <v>nationality</v>
      </c>
      <c r="I10" s="209" t="str">
        <f>IFERROR(__xludf.DUMMYFUNCTION("""COMPUTED_VALUE"""),"clanhistory")</f>
        <v>clanhistory</v>
      </c>
      <c r="J10" s="209" t="str">
        <f>IFERROR(__xludf.DUMMYFUNCTION("""COMPUTED_VALUE"""),"cup1on1edition1")</f>
        <v>cup1on1edition1</v>
      </c>
      <c r="K10" s="209" t="str">
        <f>IFERROR(__xludf.DUMMYFUNCTION("""COMPUTED_VALUE"""),"meeting")</f>
        <v>meeting</v>
      </c>
      <c r="L10" s="209"/>
      <c r="M10" s="209"/>
      <c r="N10" s="209"/>
      <c r="O10" s="209"/>
      <c r="P10" s="209"/>
      <c r="Q10" s="209"/>
    </row>
    <row r="11" ht="26.25" customHeight="1">
      <c r="A11" s="210"/>
      <c r="B11" s="217" t="str">
        <f>IFERROR(__xludf.DUMMYFUNCTION("""COMPUTED_VALUE"""),"lolandiusz")</f>
        <v>lolandiusz</v>
      </c>
      <c r="C11" s="217" t="str">
        <f>IFERROR(__xludf.DUMMYFUNCTION("""COMPUTED_VALUE"""),"zielony")</f>
        <v>zielony</v>
      </c>
      <c r="D11" s="218">
        <f>IFERROR(__xludf.DUMMYFUNCTION("""COMPUTED_VALUE"""),1041.928708189731)</f>
        <v>1041.928708</v>
      </c>
      <c r="E11" s="219">
        <f>IFERROR(__xludf.DUMMYFUNCTION("""COMPUTED_VALUE"""),1.0)</f>
        <v>1</v>
      </c>
      <c r="F11" s="217">
        <f>IFERROR(__xludf.DUMMYFUNCTION("""COMPUTED_VALUE"""),1.0)</f>
        <v>1</v>
      </c>
      <c r="G11" s="217">
        <f>IFERROR(__xludf.DUMMYFUNCTION("""COMPUTED_VALUE"""),1233.0)</f>
        <v>1233</v>
      </c>
      <c r="H11" s="213" t="str">
        <f>IFERROR(__xludf.DUMMYFUNCTION("""COMPUTED_VALUE"""),"PL")</f>
        <v>PL</v>
      </c>
      <c r="I11" s="213" t="str">
        <f>IFERROR(__xludf.DUMMYFUNCTION("""COMPUTED_VALUE"""),"suRe, stArs")</f>
        <v>suRe, stArs</v>
      </c>
      <c r="J11" s="209" t="str">
        <f>IFERROR(__xludf.DUMMYFUNCTION("""COMPUTED_VALUE"""),"3")</f>
        <v>3</v>
      </c>
      <c r="K11" s="209"/>
      <c r="L11" s="209"/>
      <c r="M11" s="209"/>
      <c r="N11" s="209"/>
      <c r="O11" s="209"/>
      <c r="P11" s="209"/>
      <c r="Q11" s="209"/>
    </row>
    <row r="12" ht="24.0" customHeight="1">
      <c r="A12" s="210"/>
      <c r="B12" s="217"/>
      <c r="C12" s="217"/>
      <c r="D12" s="217"/>
      <c r="E12" s="217"/>
      <c r="F12" s="217"/>
      <c r="G12" s="217"/>
      <c r="H12" s="213"/>
      <c r="I12" s="213"/>
      <c r="J12" s="209"/>
      <c r="K12" s="209"/>
      <c r="L12" s="209"/>
      <c r="M12" s="209"/>
      <c r="N12" s="209"/>
      <c r="O12" s="209"/>
      <c r="P12" s="209"/>
      <c r="Q12" s="209"/>
    </row>
    <row r="13" ht="26.25" customHeight="1">
      <c r="A13" s="210"/>
      <c r="B13" s="217"/>
      <c r="C13" s="217"/>
      <c r="D13" s="217"/>
      <c r="E13" s="217"/>
      <c r="F13" s="217"/>
      <c r="G13" s="217"/>
      <c r="H13" s="213"/>
      <c r="I13" s="213"/>
      <c r="J13" s="209"/>
      <c r="K13" s="209"/>
      <c r="L13" s="209"/>
      <c r="M13" s="209"/>
      <c r="N13" s="209"/>
      <c r="O13" s="209"/>
      <c r="P13" s="209"/>
      <c r="Q13" s="209"/>
    </row>
    <row r="14" ht="28.5" customHeight="1">
      <c r="A14" s="210"/>
      <c r="B14" s="217"/>
      <c r="C14" s="217"/>
      <c r="D14" s="217"/>
      <c r="E14" s="217"/>
      <c r="F14" s="217"/>
      <c r="G14" s="217"/>
      <c r="H14" s="213"/>
      <c r="I14" s="213"/>
      <c r="J14" s="209"/>
      <c r="K14" s="209"/>
      <c r="L14" s="209"/>
      <c r="M14" s="209"/>
      <c r="N14" s="209"/>
      <c r="O14" s="209"/>
      <c r="P14" s="209"/>
      <c r="Q14" s="209"/>
    </row>
    <row r="15" ht="54.75" customHeight="1">
      <c r="A15" s="144" t="str">
        <f>LOOKUP(2,1/(A:A=A3),ROW(A:A))</f>
        <v>#N/A</v>
      </c>
      <c r="B15" s="220">
        <f>COUNTIF('Match History'!A:BK,"Evildude")</f>
        <v>50</v>
      </c>
      <c r="C15" s="221"/>
      <c r="D15" s="221"/>
      <c r="E15" s="221"/>
      <c r="F15" s="221"/>
      <c r="G15" s="221"/>
      <c r="H15" s="222"/>
      <c r="I15" s="222"/>
    </row>
    <row r="16" ht="28.5" customHeight="1">
      <c r="A16" s="223"/>
      <c r="B16" s="220"/>
      <c r="C16" s="220"/>
      <c r="D16" s="220"/>
      <c r="E16" s="220"/>
      <c r="F16" s="220"/>
      <c r="G16" s="220"/>
      <c r="H16" s="144"/>
      <c r="I16" s="144"/>
      <c r="J16" s="144"/>
    </row>
    <row r="17" ht="24.0" customHeight="1">
      <c r="A17" s="223"/>
      <c r="B17" s="220"/>
      <c r="C17" s="220"/>
      <c r="D17" s="220"/>
      <c r="E17" s="220"/>
      <c r="F17" s="220"/>
      <c r="G17" s="220"/>
      <c r="H17" s="224"/>
      <c r="I17" s="224"/>
      <c r="J17" s="144"/>
    </row>
    <row r="18" ht="21.75" customHeight="1">
      <c r="A18" s="223"/>
      <c r="B18" s="220"/>
      <c r="C18" s="220"/>
      <c r="D18" s="220"/>
      <c r="E18" s="220"/>
      <c r="F18" s="220"/>
      <c r="G18" s="220"/>
      <c r="H18" s="224"/>
      <c r="I18" s="224"/>
      <c r="J18" s="144"/>
    </row>
    <row r="19" ht="22.5" customHeight="1">
      <c r="A19" s="223"/>
      <c r="B19" s="220"/>
      <c r="C19" s="220"/>
      <c r="D19" s="220"/>
      <c r="E19" s="220"/>
      <c r="F19" s="220"/>
      <c r="G19" s="220"/>
      <c r="H19" s="144"/>
      <c r="I19" s="144"/>
      <c r="J19" s="144"/>
    </row>
    <row r="20" ht="22.5" customHeight="1">
      <c r="A20" s="223"/>
      <c r="B20" s="220"/>
      <c r="C20" s="220"/>
      <c r="D20" s="220"/>
      <c r="E20" s="220"/>
      <c r="F20" s="220"/>
      <c r="G20" s="220"/>
      <c r="H20" s="144"/>
      <c r="I20" s="144"/>
      <c r="J20" s="144"/>
    </row>
    <row r="21" ht="27.75" customHeight="1">
      <c r="A21" s="223"/>
      <c r="B21" s="220"/>
      <c r="C21" s="220"/>
      <c r="D21" s="220"/>
      <c r="E21" s="220"/>
      <c r="F21" s="220"/>
      <c r="G21" s="220"/>
      <c r="H21" s="144"/>
      <c r="I21" s="144"/>
      <c r="J21" s="144"/>
    </row>
    <row r="22" ht="27.75" customHeight="1">
      <c r="A22" s="223"/>
      <c r="B22" s="223"/>
      <c r="C22" s="223"/>
      <c r="D22" s="223"/>
      <c r="E22" s="223"/>
      <c r="F22" s="223"/>
      <c r="G22" s="223"/>
      <c r="H22" s="144"/>
      <c r="I22" s="144"/>
      <c r="J22" s="144"/>
    </row>
    <row r="23" ht="26.25" customHeight="1">
      <c r="A23" s="223"/>
      <c r="B23" s="220"/>
      <c r="C23" s="220"/>
      <c r="D23" s="220"/>
      <c r="E23" s="220"/>
      <c r="F23" s="220"/>
      <c r="G23" s="220"/>
      <c r="H23" s="144"/>
      <c r="I23" s="144"/>
      <c r="J23" s="144"/>
    </row>
    <row r="24" ht="54.75" customHeight="1">
      <c r="A24" s="223"/>
      <c r="B24" s="220"/>
      <c r="C24" s="220"/>
      <c r="D24" s="220"/>
      <c r="E24" s="220"/>
      <c r="F24" s="220"/>
      <c r="G24" s="220"/>
    </row>
    <row r="25" ht="54.75" customHeight="1">
      <c r="A25" s="223"/>
      <c r="B25" s="223"/>
      <c r="C25" s="223"/>
      <c r="D25" s="223"/>
      <c r="E25" s="223"/>
      <c r="F25" s="223"/>
      <c r="G25" s="223"/>
    </row>
    <row r="26" ht="54.75" customHeight="1">
      <c r="A26" s="223"/>
      <c r="B26" s="223"/>
      <c r="C26" s="223"/>
      <c r="D26" s="223"/>
      <c r="E26" s="223"/>
      <c r="F26" s="223"/>
      <c r="G26" s="223"/>
    </row>
    <row r="27" ht="54.75" customHeight="1">
      <c r="A27" s="223"/>
      <c r="B27" s="223"/>
      <c r="C27" s="223"/>
      <c r="D27" s="223"/>
      <c r="E27" s="223"/>
      <c r="F27" s="223"/>
      <c r="G27" s="223"/>
    </row>
    <row r="28" ht="54.75" customHeight="1">
      <c r="A28" s="223"/>
      <c r="B28" s="223"/>
      <c r="C28" s="223"/>
      <c r="D28" s="223"/>
      <c r="E28" s="223"/>
      <c r="F28" s="223"/>
      <c r="G28" s="223"/>
    </row>
    <row r="29" ht="54.75" customHeight="1">
      <c r="A29" s="221"/>
      <c r="B29" s="221"/>
      <c r="C29" s="221"/>
      <c r="D29" s="221"/>
      <c r="E29" s="221"/>
      <c r="F29" s="221"/>
      <c r="G29" s="221"/>
    </row>
    <row r="30">
      <c r="A30" s="221"/>
      <c r="B30" s="221"/>
      <c r="C30" s="221"/>
      <c r="D30" s="221"/>
      <c r="E30" s="221"/>
      <c r="F30" s="221"/>
      <c r="G30" s="221"/>
    </row>
    <row r="31">
      <c r="A31" s="221"/>
      <c r="B31" s="221"/>
      <c r="C31" s="221"/>
      <c r="D31" s="221"/>
      <c r="E31" s="221"/>
      <c r="F31" s="221"/>
      <c r="G31" s="221"/>
    </row>
    <row r="32">
      <c r="A32" s="80"/>
      <c r="B32" s="221"/>
      <c r="C32" s="221"/>
      <c r="D32" s="221"/>
      <c r="E32" s="221"/>
      <c r="F32" s="221"/>
      <c r="G32" s="221"/>
    </row>
    <row r="33">
      <c r="A33" s="80"/>
      <c r="B33" s="221"/>
      <c r="C33" s="221"/>
      <c r="D33" s="221"/>
      <c r="E33" s="221"/>
      <c r="F33" s="221"/>
      <c r="G33" s="221"/>
    </row>
    <row r="34">
      <c r="A34" s="80"/>
      <c r="B34" s="80"/>
      <c r="C34" s="80"/>
      <c r="D34" s="80"/>
      <c r="E34" s="80"/>
      <c r="F34" s="80"/>
      <c r="G34" s="80"/>
    </row>
    <row r="35">
      <c r="A35" s="80"/>
      <c r="B35" s="80"/>
      <c r="C35" s="80"/>
      <c r="D35" s="80"/>
      <c r="E35" s="80"/>
      <c r="F35" s="80"/>
      <c r="G35" s="80"/>
    </row>
    <row r="36">
      <c r="A36" s="80"/>
      <c r="B36" s="80"/>
      <c r="C36" s="80"/>
      <c r="D36" s="80"/>
      <c r="E36" s="80"/>
      <c r="F36" s="80"/>
      <c r="G36" s="80"/>
    </row>
    <row r="37">
      <c r="A37" s="80"/>
      <c r="B37" s="80"/>
      <c r="C37" s="80"/>
      <c r="D37" s="80"/>
      <c r="E37" s="80"/>
      <c r="F37" s="80"/>
      <c r="G37" s="80"/>
    </row>
    <row r="38">
      <c r="A38" s="80"/>
      <c r="B38" s="80"/>
      <c r="C38" s="80"/>
      <c r="D38" s="80"/>
      <c r="E38" s="80"/>
      <c r="F38" s="80"/>
      <c r="G38" s="80"/>
    </row>
    <row r="39">
      <c r="A39" s="80"/>
      <c r="B39" s="80"/>
      <c r="C39" s="80"/>
      <c r="D39" s="80"/>
      <c r="E39" s="80"/>
      <c r="F39" s="80"/>
      <c r="G39" s="80"/>
    </row>
    <row r="40">
      <c r="A40" s="80"/>
      <c r="B40" s="80"/>
      <c r="C40" s="80"/>
      <c r="D40" s="80"/>
      <c r="E40" s="80"/>
      <c r="F40" s="80"/>
      <c r="G40" s="80"/>
    </row>
    <row r="41">
      <c r="A41" s="80"/>
      <c r="B41" s="80"/>
      <c r="C41" s="80"/>
      <c r="D41" s="80"/>
      <c r="E41" s="80"/>
      <c r="F41" s="80"/>
      <c r="G41" s="80"/>
    </row>
    <row r="42">
      <c r="A42" s="80"/>
      <c r="B42" s="80"/>
      <c r="C42" s="80"/>
      <c r="D42" s="80"/>
      <c r="E42" s="80"/>
      <c r="F42" s="80"/>
      <c r="G42" s="80"/>
    </row>
    <row r="43">
      <c r="A43" s="80"/>
      <c r="B43" s="80"/>
      <c r="C43" s="80"/>
      <c r="D43" s="80"/>
      <c r="E43" s="80"/>
      <c r="F43" s="80"/>
      <c r="G43" s="80"/>
    </row>
    <row r="44">
      <c r="A44" s="80"/>
      <c r="B44" s="80"/>
      <c r="C44" s="80"/>
      <c r="D44" s="80"/>
      <c r="E44" s="80"/>
      <c r="F44" s="80"/>
      <c r="G44" s="80"/>
    </row>
    <row r="45">
      <c r="A45" s="80"/>
      <c r="B45" s="80"/>
      <c r="C45" s="80"/>
      <c r="D45" s="80"/>
      <c r="E45" s="80"/>
      <c r="F45" s="80"/>
      <c r="G45" s="80"/>
    </row>
    <row r="46">
      <c r="A46" s="80"/>
      <c r="B46" s="80"/>
      <c r="C46" s="80"/>
      <c r="D46" s="80"/>
      <c r="E46" s="80"/>
      <c r="F46" s="80"/>
      <c r="G46" s="80"/>
    </row>
    <row r="47">
      <c r="A47" s="80"/>
      <c r="B47" s="80"/>
      <c r="C47" s="80"/>
      <c r="D47" s="80"/>
      <c r="E47" s="80"/>
      <c r="F47" s="80"/>
      <c r="G47" s="80"/>
    </row>
    <row r="48">
      <c r="A48" s="80"/>
      <c r="B48" s="80"/>
      <c r="C48" s="80"/>
      <c r="D48" s="80"/>
      <c r="E48" s="80"/>
      <c r="F48" s="80"/>
      <c r="G48" s="80"/>
    </row>
    <row r="49">
      <c r="A49" s="80"/>
      <c r="B49" s="80"/>
      <c r="C49" s="80"/>
      <c r="D49" s="80"/>
      <c r="E49" s="80"/>
      <c r="F49" s="80"/>
      <c r="G49" s="80"/>
    </row>
    <row r="50">
      <c r="A50" s="80"/>
      <c r="B50" s="80"/>
      <c r="C50" s="80"/>
      <c r="D50" s="80"/>
      <c r="E50" s="80"/>
      <c r="F50" s="80"/>
      <c r="G50" s="80"/>
    </row>
    <row r="51">
      <c r="A51" s="80"/>
      <c r="B51" s="80"/>
      <c r="C51" s="80"/>
      <c r="D51" s="80"/>
      <c r="E51" s="80"/>
      <c r="F51" s="80"/>
      <c r="G51" s="80"/>
    </row>
    <row r="52">
      <c r="A52" s="80"/>
      <c r="B52" s="80"/>
      <c r="C52" s="80"/>
      <c r="D52" s="80"/>
      <c r="E52" s="80"/>
      <c r="F52" s="80"/>
      <c r="G52" s="80"/>
    </row>
    <row r="53">
      <c r="A53" s="80"/>
      <c r="B53" s="80"/>
      <c r="C53" s="80"/>
      <c r="D53" s="80"/>
      <c r="E53" s="80"/>
      <c r="F53" s="80"/>
      <c r="G53" s="80"/>
    </row>
    <row r="54">
      <c r="A54" s="80"/>
      <c r="B54" s="80"/>
      <c r="C54" s="80"/>
      <c r="D54" s="80"/>
      <c r="E54" s="80"/>
      <c r="F54" s="80"/>
      <c r="G54" s="80"/>
    </row>
    <row r="55">
      <c r="A55" s="80"/>
      <c r="B55" s="80"/>
      <c r="C55" s="80"/>
      <c r="D55" s="80"/>
      <c r="E55" s="80"/>
      <c r="F55" s="80"/>
      <c r="G55" s="80"/>
    </row>
    <row r="56">
      <c r="A56" s="80"/>
      <c r="B56" s="80"/>
      <c r="C56" s="80"/>
      <c r="D56" s="80"/>
      <c r="E56" s="80"/>
      <c r="F56" s="80"/>
      <c r="G56" s="80"/>
    </row>
    <row r="57">
      <c r="A57" s="80"/>
      <c r="B57" s="80"/>
      <c r="C57" s="80"/>
      <c r="D57" s="80"/>
      <c r="E57" s="80"/>
      <c r="F57" s="80"/>
      <c r="G57" s="80"/>
    </row>
    <row r="58">
      <c r="A58" s="80"/>
      <c r="B58" s="80"/>
      <c r="C58" s="80"/>
      <c r="D58" s="80"/>
      <c r="E58" s="80"/>
      <c r="F58" s="80"/>
      <c r="G58" s="80"/>
    </row>
    <row r="59">
      <c r="A59" s="80"/>
      <c r="B59" s="80"/>
      <c r="C59" s="80"/>
      <c r="D59" s="80"/>
      <c r="E59" s="80"/>
      <c r="F59" s="80"/>
      <c r="G59" s="80"/>
    </row>
    <row r="60">
      <c r="A60" s="80"/>
      <c r="B60" s="80"/>
      <c r="C60" s="80"/>
      <c r="D60" s="80"/>
      <c r="E60" s="80"/>
      <c r="F60" s="80"/>
      <c r="G60" s="80"/>
    </row>
    <row r="61">
      <c r="A61" s="80"/>
      <c r="B61" s="80"/>
      <c r="C61" s="80"/>
      <c r="D61" s="80"/>
      <c r="E61" s="80"/>
      <c r="F61" s="80"/>
      <c r="G61" s="80"/>
    </row>
    <row r="62">
      <c r="A62" s="80"/>
      <c r="B62" s="80"/>
      <c r="C62" s="80"/>
      <c r="D62" s="80"/>
      <c r="E62" s="80"/>
      <c r="F62" s="80"/>
      <c r="G62" s="80"/>
    </row>
    <row r="63">
      <c r="A63" s="80"/>
      <c r="B63" s="80"/>
      <c r="C63" s="80"/>
      <c r="D63" s="80"/>
      <c r="E63" s="80"/>
      <c r="F63" s="80"/>
      <c r="G63" s="80"/>
    </row>
    <row r="64">
      <c r="A64" s="80"/>
      <c r="B64" s="80"/>
      <c r="C64" s="80"/>
      <c r="D64" s="80"/>
      <c r="E64" s="80"/>
      <c r="F64" s="80"/>
      <c r="G64" s="80"/>
    </row>
    <row r="65">
      <c r="A65" s="80"/>
      <c r="B65" s="80"/>
      <c r="C65" s="80"/>
      <c r="D65" s="80"/>
      <c r="E65" s="80"/>
      <c r="F65" s="80"/>
      <c r="G65" s="80"/>
    </row>
    <row r="66" ht="1.5" customHeight="1">
      <c r="A66" s="80"/>
      <c r="B66" s="80"/>
      <c r="C66" s="80"/>
      <c r="D66" s="80"/>
      <c r="E66" s="80"/>
      <c r="F66" s="80"/>
      <c r="G66" s="80"/>
    </row>
    <row r="67" ht="5.25" customHeight="1">
      <c r="A67" s="80"/>
      <c r="B67" s="80"/>
      <c r="C67" s="80"/>
      <c r="D67" s="80"/>
      <c r="E67" s="80"/>
      <c r="F67" s="80"/>
      <c r="G67" s="80"/>
    </row>
  </sheetData>
  <conditionalFormatting sqref="A1:AL1">
    <cfRule type="notContainsBlanks" dxfId="0" priority="1">
      <formula>LEN(TRIM(A1))&gt;0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4" max="4" width="18.38"/>
  </cols>
  <sheetData>
    <row r="1" ht="30.0" customHeight="1">
      <c r="A1" s="225" t="s">
        <v>0</v>
      </c>
      <c r="B1" s="225" t="s">
        <v>1</v>
      </c>
      <c r="C1" s="225" t="s">
        <v>728</v>
      </c>
      <c r="D1" s="225" t="s">
        <v>729</v>
      </c>
    </row>
    <row r="2">
      <c r="A2" s="44" t="s">
        <v>730</v>
      </c>
      <c r="B2" s="44" t="s">
        <v>731</v>
      </c>
      <c r="C2" s="44" t="s">
        <v>29</v>
      </c>
      <c r="D2" s="44" t="s">
        <v>732</v>
      </c>
    </row>
    <row r="3">
      <c r="A3" s="44" t="s">
        <v>733</v>
      </c>
      <c r="B3" s="44" t="s">
        <v>734</v>
      </c>
      <c r="C3" s="44" t="s">
        <v>29</v>
      </c>
      <c r="D3" s="44" t="s">
        <v>732</v>
      </c>
    </row>
    <row r="4">
      <c r="A4" s="44" t="s">
        <v>735</v>
      </c>
      <c r="B4" s="44" t="s">
        <v>736</v>
      </c>
      <c r="C4" s="44" t="s">
        <v>29</v>
      </c>
      <c r="D4" s="44" t="s">
        <v>732</v>
      </c>
    </row>
    <row r="5">
      <c r="A5" s="44" t="s">
        <v>737</v>
      </c>
      <c r="B5" s="44" t="s">
        <v>738</v>
      </c>
      <c r="C5" s="44" t="s">
        <v>29</v>
      </c>
      <c r="D5" s="44" t="s">
        <v>739</v>
      </c>
    </row>
    <row r="6">
      <c r="A6" s="44" t="s">
        <v>740</v>
      </c>
      <c r="B6" s="44" t="s">
        <v>741</v>
      </c>
      <c r="C6" s="44" t="s">
        <v>29</v>
      </c>
      <c r="D6" s="44" t="s">
        <v>739</v>
      </c>
    </row>
    <row r="7">
      <c r="A7" s="44" t="s">
        <v>742</v>
      </c>
      <c r="B7" s="44" t="s">
        <v>743</v>
      </c>
      <c r="C7" s="44" t="s">
        <v>29</v>
      </c>
      <c r="D7" s="44" t="s">
        <v>732</v>
      </c>
    </row>
    <row r="8">
      <c r="A8" s="44" t="s">
        <v>744</v>
      </c>
      <c r="B8" s="44" t="s">
        <v>745</v>
      </c>
      <c r="C8" s="44" t="s">
        <v>29</v>
      </c>
      <c r="D8" s="44" t="s">
        <v>732</v>
      </c>
    </row>
    <row r="9">
      <c r="A9" s="44" t="s">
        <v>746</v>
      </c>
      <c r="B9" s="44" t="s">
        <v>747</v>
      </c>
      <c r="C9" s="44" t="s">
        <v>29</v>
      </c>
      <c r="D9" s="44" t="s">
        <v>739</v>
      </c>
    </row>
    <row r="10">
      <c r="A10" s="44" t="s">
        <v>748</v>
      </c>
      <c r="B10" s="44" t="s">
        <v>749</v>
      </c>
      <c r="C10" s="44" t="s">
        <v>29</v>
      </c>
      <c r="D10" s="44" t="s">
        <v>739</v>
      </c>
    </row>
    <row r="11">
      <c r="A11" s="44" t="s">
        <v>750</v>
      </c>
      <c r="B11" s="44" t="s">
        <v>751</v>
      </c>
      <c r="C11" s="44" t="s">
        <v>29</v>
      </c>
      <c r="D11" s="44" t="s">
        <v>739</v>
      </c>
    </row>
    <row r="12">
      <c r="A12" s="44" t="s">
        <v>752</v>
      </c>
      <c r="B12" s="44" t="s">
        <v>753</v>
      </c>
      <c r="C12" s="44" t="s">
        <v>29</v>
      </c>
      <c r="D12" s="44" t="s">
        <v>739</v>
      </c>
    </row>
    <row r="13">
      <c r="A13" s="44" t="s">
        <v>754</v>
      </c>
      <c r="B13" s="44" t="s">
        <v>755</v>
      </c>
      <c r="C13" s="44" t="s">
        <v>29</v>
      </c>
      <c r="D13" s="44" t="s">
        <v>739</v>
      </c>
    </row>
    <row r="14">
      <c r="A14" s="44" t="s">
        <v>756</v>
      </c>
      <c r="B14" s="44" t="s">
        <v>757</v>
      </c>
      <c r="C14" s="44" t="s">
        <v>29</v>
      </c>
      <c r="D14" s="44" t="s">
        <v>739</v>
      </c>
    </row>
    <row r="15">
      <c r="A15" s="44" t="s">
        <v>758</v>
      </c>
      <c r="B15" s="44" t="s">
        <v>759</v>
      </c>
      <c r="C15" s="44" t="s">
        <v>29</v>
      </c>
      <c r="D15" s="44" t="s">
        <v>739</v>
      </c>
    </row>
    <row r="16">
      <c r="A16" s="44" t="s">
        <v>760</v>
      </c>
      <c r="B16" s="44" t="s">
        <v>761</v>
      </c>
      <c r="C16" s="44" t="s">
        <v>29</v>
      </c>
      <c r="D16" s="44" t="s">
        <v>739</v>
      </c>
    </row>
    <row r="17">
      <c r="A17" s="44" t="s">
        <v>762</v>
      </c>
      <c r="B17" s="44" t="s">
        <v>762</v>
      </c>
      <c r="C17" s="44" t="s">
        <v>29</v>
      </c>
      <c r="D17" s="44" t="s">
        <v>739</v>
      </c>
    </row>
    <row r="18">
      <c r="A18" s="44" t="s">
        <v>763</v>
      </c>
      <c r="B18" s="44" t="s">
        <v>764</v>
      </c>
      <c r="C18" s="44" t="s">
        <v>29</v>
      </c>
      <c r="D18" s="44" t="s">
        <v>739</v>
      </c>
    </row>
    <row r="19">
      <c r="A19" s="44" t="s">
        <v>765</v>
      </c>
      <c r="B19" s="44" t="s">
        <v>765</v>
      </c>
      <c r="C19" s="44" t="s">
        <v>29</v>
      </c>
      <c r="D19" s="44" t="s">
        <v>739</v>
      </c>
    </row>
    <row r="20">
      <c r="A20" s="44" t="s">
        <v>766</v>
      </c>
      <c r="B20" s="44" t="s">
        <v>766</v>
      </c>
      <c r="C20" s="44" t="s">
        <v>29</v>
      </c>
      <c r="D20" s="44" t="s">
        <v>739</v>
      </c>
    </row>
    <row r="21">
      <c r="A21" s="44" t="s">
        <v>767</v>
      </c>
      <c r="B21" s="44" t="s">
        <v>768</v>
      </c>
      <c r="C21" s="44" t="s">
        <v>29</v>
      </c>
      <c r="D21" s="44" t="s">
        <v>739</v>
      </c>
    </row>
    <row r="22">
      <c r="A22" s="44" t="s">
        <v>769</v>
      </c>
      <c r="B22" s="44" t="s">
        <v>770</v>
      </c>
      <c r="C22" s="44" t="s">
        <v>29</v>
      </c>
      <c r="D22" s="44" t="s">
        <v>739</v>
      </c>
    </row>
    <row r="23">
      <c r="A23" s="44" t="s">
        <v>691</v>
      </c>
      <c r="B23" s="44" t="s">
        <v>596</v>
      </c>
      <c r="C23" s="44" t="s">
        <v>29</v>
      </c>
      <c r="D23" s="44" t="s">
        <v>739</v>
      </c>
    </row>
    <row r="24">
      <c r="A24" s="44" t="s">
        <v>771</v>
      </c>
      <c r="B24" s="44" t="s">
        <v>772</v>
      </c>
      <c r="C24" s="44" t="s">
        <v>29</v>
      </c>
      <c r="D24" s="44" t="s">
        <v>732</v>
      </c>
    </row>
    <row r="25">
      <c r="A25" s="44" t="s">
        <v>773</v>
      </c>
      <c r="B25" s="44" t="s">
        <v>774</v>
      </c>
      <c r="C25" s="44" t="s">
        <v>29</v>
      </c>
      <c r="D25" s="44" t="s">
        <v>732</v>
      </c>
    </row>
    <row r="26">
      <c r="A26" s="44" t="s">
        <v>775</v>
      </c>
      <c r="B26" s="44" t="s">
        <v>776</v>
      </c>
      <c r="C26" s="44" t="s">
        <v>29</v>
      </c>
      <c r="D26" s="44" t="s">
        <v>732</v>
      </c>
    </row>
    <row r="27">
      <c r="A27" s="44" t="s">
        <v>777</v>
      </c>
      <c r="B27" s="44" t="s">
        <v>778</v>
      </c>
      <c r="C27" s="44" t="s">
        <v>29</v>
      </c>
      <c r="D27" s="44" t="s">
        <v>732</v>
      </c>
    </row>
    <row r="28">
      <c r="A28" s="44" t="s">
        <v>779</v>
      </c>
      <c r="B28" s="44" t="s">
        <v>780</v>
      </c>
      <c r="C28" s="44" t="s">
        <v>29</v>
      </c>
      <c r="D28" s="44" t="s">
        <v>739</v>
      </c>
    </row>
    <row r="29">
      <c r="A29" s="44" t="s">
        <v>781</v>
      </c>
      <c r="B29" s="44" t="s">
        <v>782</v>
      </c>
      <c r="C29" s="44" t="s">
        <v>29</v>
      </c>
      <c r="D29" s="44" t="s">
        <v>739</v>
      </c>
    </row>
    <row r="30">
      <c r="A30" s="44" t="s">
        <v>783</v>
      </c>
      <c r="B30" s="44" t="s">
        <v>784</v>
      </c>
      <c r="C30" s="44" t="s">
        <v>29</v>
      </c>
      <c r="D30" s="44" t="s">
        <v>739</v>
      </c>
    </row>
    <row r="31">
      <c r="A31" s="44" t="s">
        <v>785</v>
      </c>
      <c r="B31" s="44" t="s">
        <v>786</v>
      </c>
      <c r="C31" s="44" t="s">
        <v>29</v>
      </c>
      <c r="D31" s="44" t="s">
        <v>739</v>
      </c>
    </row>
    <row r="32">
      <c r="A32" s="44" t="s">
        <v>787</v>
      </c>
      <c r="B32" s="44" t="s">
        <v>788</v>
      </c>
      <c r="C32" s="44" t="s">
        <v>29</v>
      </c>
      <c r="D32" s="44" t="s">
        <v>739</v>
      </c>
    </row>
    <row r="33">
      <c r="A33" s="44" t="s">
        <v>789</v>
      </c>
      <c r="B33" s="44" t="s">
        <v>790</v>
      </c>
      <c r="C33" s="44" t="s">
        <v>29</v>
      </c>
      <c r="D33" s="44" t="s">
        <v>739</v>
      </c>
    </row>
    <row r="34">
      <c r="A34" s="44" t="s">
        <v>791</v>
      </c>
      <c r="B34" s="44" t="s">
        <v>792</v>
      </c>
      <c r="C34" s="44" t="s">
        <v>29</v>
      </c>
      <c r="D34" s="44" t="s">
        <v>739</v>
      </c>
    </row>
    <row r="35">
      <c r="D35" s="144"/>
    </row>
    <row r="36">
      <c r="D36" s="144"/>
    </row>
    <row r="37">
      <c r="D37" s="144"/>
    </row>
    <row r="38">
      <c r="D38" s="144"/>
    </row>
    <row r="39">
      <c r="D39" s="144"/>
    </row>
    <row r="40">
      <c r="D40" s="144"/>
    </row>
    <row r="41">
      <c r="D41" s="144"/>
    </row>
    <row r="42">
      <c r="D42" s="144"/>
    </row>
    <row r="43">
      <c r="D43" s="144"/>
    </row>
    <row r="44">
      <c r="D44" s="144"/>
    </row>
    <row r="45">
      <c r="D45" s="144"/>
    </row>
    <row r="46">
      <c r="D46" s="144"/>
    </row>
    <row r="47">
      <c r="D47" s="144"/>
    </row>
    <row r="48">
      <c r="D48" s="144"/>
    </row>
    <row r="49">
      <c r="D49" s="144"/>
    </row>
    <row r="50">
      <c r="D50" s="144"/>
    </row>
    <row r="51">
      <c r="D51" s="144"/>
    </row>
    <row r="52">
      <c r="D52" s="144"/>
    </row>
    <row r="53">
      <c r="D53" s="144"/>
    </row>
  </sheetData>
  <dataValidations>
    <dataValidation type="list" allowBlank="1" sqref="D2:D53">
      <formula1>"No-contact,Not-want-to-play"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20.63"/>
    <col customWidth="1" min="4" max="4" width="21.5"/>
  </cols>
  <sheetData>
    <row r="1" ht="24.0" customHeight="1">
      <c r="A1" s="226" t="s">
        <v>713</v>
      </c>
      <c r="B1" s="226" t="s">
        <v>793</v>
      </c>
      <c r="C1" s="226" t="s">
        <v>794</v>
      </c>
      <c r="D1" s="226" t="s">
        <v>795</v>
      </c>
      <c r="E1" s="226" t="s">
        <v>796</v>
      </c>
      <c r="F1" s="226" t="s">
        <v>797</v>
      </c>
      <c r="G1" s="226" t="s">
        <v>798</v>
      </c>
      <c r="H1" s="226" t="s">
        <v>11</v>
      </c>
      <c r="I1" s="226" t="s">
        <v>799</v>
      </c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</row>
    <row r="2">
      <c r="A2" s="44">
        <v>1.0</v>
      </c>
      <c r="B2" s="44" t="s">
        <v>111</v>
      </c>
      <c r="C2" s="228">
        <v>52.4430919864113</v>
      </c>
      <c r="D2" s="229">
        <v>16.9073024569437</v>
      </c>
      <c r="F2" s="44" t="s">
        <v>800</v>
      </c>
      <c r="G2" s="44" t="s">
        <v>801</v>
      </c>
      <c r="H2" s="44" t="s">
        <v>11</v>
      </c>
    </row>
    <row r="3">
      <c r="A3" s="44">
        <v>2.0</v>
      </c>
      <c r="B3" s="44" t="s">
        <v>802</v>
      </c>
      <c r="C3" s="228">
        <v>51.7016220992227</v>
      </c>
      <c r="D3" s="229">
        <v>19.6607656174712</v>
      </c>
      <c r="E3" s="44" t="s">
        <v>803</v>
      </c>
      <c r="F3" s="44" t="s">
        <v>804</v>
      </c>
      <c r="G3" s="44" t="s">
        <v>805</v>
      </c>
      <c r="H3" s="44" t="s">
        <v>11</v>
      </c>
    </row>
    <row r="4">
      <c r="A4" s="44">
        <v>3.0</v>
      </c>
      <c r="B4" s="44" t="s">
        <v>91</v>
      </c>
      <c r="C4" s="230">
        <v>50.2365197220539</v>
      </c>
      <c r="D4" s="231">
        <v>19.0278021259266</v>
      </c>
      <c r="E4" s="44" t="s">
        <v>806</v>
      </c>
      <c r="F4" s="44" t="s">
        <v>807</v>
      </c>
      <c r="G4" s="44" t="s">
        <v>808</v>
      </c>
      <c r="H4" s="44" t="s">
        <v>11</v>
      </c>
      <c r="I4" s="44">
        <v>1.0</v>
      </c>
    </row>
    <row r="5">
      <c r="A5" s="44">
        <v>4.0</v>
      </c>
      <c r="B5" s="44" t="s">
        <v>106</v>
      </c>
      <c r="C5" s="228">
        <v>54.7176019708497</v>
      </c>
      <c r="D5" s="229">
        <v>18.4180158885124</v>
      </c>
      <c r="E5" s="44" t="s">
        <v>809</v>
      </c>
      <c r="F5" s="44" t="s">
        <v>810</v>
      </c>
      <c r="G5" s="44" t="s">
        <v>811</v>
      </c>
      <c r="H5" s="44" t="s">
        <v>11</v>
      </c>
    </row>
    <row r="6">
      <c r="A6" s="44">
        <v>5.0</v>
      </c>
      <c r="B6" s="44" t="s">
        <v>110</v>
      </c>
      <c r="C6" s="228">
        <v>52.0330449160128</v>
      </c>
      <c r="D6" s="231">
        <v>23.13278992243</v>
      </c>
      <c r="E6" s="44" t="s">
        <v>812</v>
      </c>
      <c r="F6" s="44" t="s">
        <v>813</v>
      </c>
      <c r="G6" s="44" t="s">
        <v>814</v>
      </c>
      <c r="H6" s="44" t="s">
        <v>11</v>
      </c>
    </row>
    <row r="7">
      <c r="A7" s="44">
        <v>6.0</v>
      </c>
      <c r="B7" s="44" t="s">
        <v>22</v>
      </c>
      <c r="C7" s="228">
        <v>51.9400476941955</v>
      </c>
      <c r="D7" s="231">
        <v>15.5086799029019</v>
      </c>
      <c r="E7" s="44" t="s">
        <v>815</v>
      </c>
      <c r="F7" s="44" t="s">
        <v>816</v>
      </c>
      <c r="G7" s="44" t="s">
        <v>817</v>
      </c>
      <c r="H7" s="44" t="s">
        <v>11</v>
      </c>
    </row>
    <row r="8">
      <c r="A8" s="44">
        <v>7.0</v>
      </c>
      <c r="B8" s="44" t="s">
        <v>818</v>
      </c>
      <c r="C8" s="228">
        <v>52.2899079862043</v>
      </c>
      <c r="D8" s="231">
        <v>21.1149267191431</v>
      </c>
      <c r="E8" s="44" t="s">
        <v>819</v>
      </c>
      <c r="F8" s="44" t="s">
        <v>820</v>
      </c>
      <c r="G8" s="44" t="s">
        <v>821</v>
      </c>
      <c r="H8" s="44" t="s">
        <v>11</v>
      </c>
    </row>
    <row r="9">
      <c r="A9" s="44">
        <v>8.0</v>
      </c>
      <c r="B9" s="44" t="s">
        <v>822</v>
      </c>
      <c r="C9" s="232">
        <v>52.2804769531736</v>
      </c>
      <c r="D9" s="233">
        <v>21.1207613963115</v>
      </c>
      <c r="E9" s="44" t="s">
        <v>823</v>
      </c>
      <c r="F9" s="44" t="s">
        <v>824</v>
      </c>
      <c r="G9" s="44" t="s">
        <v>821</v>
      </c>
      <c r="H9" s="44" t="s">
        <v>11</v>
      </c>
    </row>
    <row r="10">
      <c r="A10" s="44">
        <v>9.0</v>
      </c>
      <c r="B10" s="44" t="s">
        <v>33</v>
      </c>
      <c r="C10" s="228">
        <v>52.1996953937762</v>
      </c>
      <c r="D10" s="231">
        <v>21.0100290544003</v>
      </c>
      <c r="F10" s="44" t="s">
        <v>825</v>
      </c>
      <c r="G10" s="44" t="s">
        <v>826</v>
      </c>
      <c r="H10" s="44" t="s">
        <v>11</v>
      </c>
    </row>
    <row r="11">
      <c r="A11" s="44">
        <v>10.0</v>
      </c>
      <c r="B11" s="44" t="s">
        <v>122</v>
      </c>
      <c r="C11" s="228">
        <v>50.2676937857899</v>
      </c>
      <c r="D11" s="231">
        <v>18.9389840142515</v>
      </c>
      <c r="E11" s="44" t="s">
        <v>827</v>
      </c>
      <c r="F11" s="44" t="s">
        <v>825</v>
      </c>
      <c r="G11" s="44" t="s">
        <v>828</v>
      </c>
      <c r="H11" s="44" t="s">
        <v>11</v>
      </c>
    </row>
    <row r="12">
      <c r="A12" s="44">
        <v>11.0</v>
      </c>
      <c r="B12" s="44" t="s">
        <v>108</v>
      </c>
      <c r="C12" s="228">
        <v>50.2726874278241</v>
      </c>
      <c r="D12" s="231">
        <v>18.9323750190049</v>
      </c>
      <c r="F12" s="44" t="s">
        <v>829</v>
      </c>
      <c r="G12" s="44" t="s">
        <v>828</v>
      </c>
      <c r="H12" s="44" t="s">
        <v>11</v>
      </c>
    </row>
    <row r="13">
      <c r="A13" s="44">
        <v>12.0</v>
      </c>
      <c r="B13" s="44" t="s">
        <v>30</v>
      </c>
      <c r="C13" s="228">
        <v>52.7526410678129</v>
      </c>
      <c r="D13" s="231">
        <v>16.9852835090225</v>
      </c>
      <c r="E13" s="44" t="s">
        <v>830</v>
      </c>
      <c r="F13" s="44" t="s">
        <v>831</v>
      </c>
      <c r="G13" s="44" t="s">
        <v>832</v>
      </c>
      <c r="H13" s="44" t="s">
        <v>833</v>
      </c>
    </row>
    <row r="14">
      <c r="A14" s="44">
        <v>13.0</v>
      </c>
      <c r="B14" s="44" t="s">
        <v>38</v>
      </c>
      <c r="C14" s="230">
        <v>52.1772364057286</v>
      </c>
      <c r="D14" s="231">
        <v>20.8500057247595</v>
      </c>
      <c r="E14" s="44" t="s">
        <v>834</v>
      </c>
      <c r="F14" s="44" t="s">
        <v>835</v>
      </c>
      <c r="G14" s="44" t="s">
        <v>836</v>
      </c>
      <c r="H14" s="44" t="s">
        <v>11</v>
      </c>
    </row>
    <row r="15">
      <c r="A15" s="44">
        <v>14.0</v>
      </c>
      <c r="B15" s="44" t="s">
        <v>61</v>
      </c>
      <c r="C15" s="230">
        <v>49.784873112909</v>
      </c>
      <c r="D15" s="231">
        <v>22.7819976713172</v>
      </c>
      <c r="F15" s="44" t="s">
        <v>825</v>
      </c>
      <c r="G15" s="44" t="s">
        <v>837</v>
      </c>
      <c r="H15" s="44" t="s">
        <v>11</v>
      </c>
    </row>
    <row r="16">
      <c r="A16" s="44">
        <v>15.0</v>
      </c>
      <c r="B16" s="44" t="s">
        <v>89</v>
      </c>
      <c r="C16" s="230">
        <v>50.1697211321711</v>
      </c>
      <c r="D16" s="231">
        <v>18.8900246679602</v>
      </c>
      <c r="E16" s="44" t="s">
        <v>838</v>
      </c>
      <c r="F16" s="44" t="s">
        <v>839</v>
      </c>
      <c r="G16" s="44" t="s">
        <v>840</v>
      </c>
      <c r="H16" s="44" t="s">
        <v>833</v>
      </c>
    </row>
    <row r="17">
      <c r="A17" s="44">
        <v>16.0</v>
      </c>
      <c r="B17" s="44" t="s">
        <v>97</v>
      </c>
      <c r="C17" s="230">
        <v>51.4075020551819</v>
      </c>
      <c r="D17" s="231">
        <v>16.1700281978801</v>
      </c>
      <c r="E17" s="44" t="s">
        <v>841</v>
      </c>
      <c r="F17" s="44" t="s">
        <v>842</v>
      </c>
      <c r="G17" s="44" t="s">
        <v>843</v>
      </c>
      <c r="H17" s="44" t="s">
        <v>11</v>
      </c>
    </row>
    <row r="18">
      <c r="A18" s="44">
        <v>17.0</v>
      </c>
      <c r="B18" s="44" t="s">
        <v>844</v>
      </c>
      <c r="C18" s="230">
        <v>49.6855306445134</v>
      </c>
      <c r="D18" s="231">
        <v>19.2155103469343</v>
      </c>
      <c r="E18" s="44" t="s">
        <v>845</v>
      </c>
      <c r="F18" s="44" t="s">
        <v>846</v>
      </c>
      <c r="G18" s="44" t="s">
        <v>847</v>
      </c>
      <c r="H18" s="44" t="s">
        <v>833</v>
      </c>
    </row>
    <row r="19">
      <c r="A19" s="44">
        <v>18.0</v>
      </c>
      <c r="B19" s="44" t="s">
        <v>848</v>
      </c>
      <c r="C19" s="230">
        <v>51.6942927060739</v>
      </c>
      <c r="D19" s="231">
        <v>19.404573011376</v>
      </c>
      <c r="E19" s="44" t="s">
        <v>849</v>
      </c>
      <c r="F19" s="44" t="s">
        <v>810</v>
      </c>
      <c r="G19" s="44" t="s">
        <v>805</v>
      </c>
      <c r="H19" s="44" t="s">
        <v>11</v>
      </c>
    </row>
    <row r="20">
      <c r="A20" s="44">
        <v>19.0</v>
      </c>
      <c r="B20" s="44" t="s">
        <v>773</v>
      </c>
      <c r="C20" s="228">
        <v>53.0329624128525</v>
      </c>
      <c r="D20" s="231">
        <v>18.6197860469251</v>
      </c>
      <c r="F20" s="44" t="s">
        <v>804</v>
      </c>
      <c r="G20" s="44" t="s">
        <v>850</v>
      </c>
      <c r="H20" s="44" t="s">
        <v>833</v>
      </c>
    </row>
    <row r="21">
      <c r="A21" s="44">
        <v>20.0</v>
      </c>
      <c r="B21" s="44" t="s">
        <v>744</v>
      </c>
      <c r="C21" s="230">
        <v>54.0858416115293</v>
      </c>
      <c r="D21" s="231">
        <v>21.3723979863197</v>
      </c>
      <c r="F21" s="44" t="s">
        <v>851</v>
      </c>
      <c r="G21" s="44" t="s">
        <v>852</v>
      </c>
      <c r="H21" s="44" t="s">
        <v>833</v>
      </c>
    </row>
    <row r="22">
      <c r="A22" s="44">
        <v>21.0</v>
      </c>
      <c r="B22" s="44" t="s">
        <v>733</v>
      </c>
      <c r="C22" s="230">
        <v>53.7795774554592</v>
      </c>
      <c r="D22" s="231">
        <v>20.5164505379379</v>
      </c>
      <c r="F22" s="44" t="s">
        <v>853</v>
      </c>
      <c r="G22" s="44" t="s">
        <v>854</v>
      </c>
      <c r="H22" s="44" t="s">
        <v>833</v>
      </c>
    </row>
    <row r="23">
      <c r="A23" s="44">
        <v>22.0</v>
      </c>
      <c r="B23" s="44" t="s">
        <v>735</v>
      </c>
      <c r="C23" s="230">
        <v>49.5961604278348</v>
      </c>
      <c r="D23" s="231">
        <v>20.6908341417168</v>
      </c>
      <c r="F23" s="44" t="s">
        <v>855</v>
      </c>
      <c r="G23" s="44" t="s">
        <v>856</v>
      </c>
      <c r="H23" s="44" t="s">
        <v>833</v>
      </c>
    </row>
    <row r="24">
      <c r="A24" s="44">
        <v>23.0</v>
      </c>
      <c r="B24" s="44" t="s">
        <v>754</v>
      </c>
      <c r="C24" s="230">
        <v>50.2995814004881</v>
      </c>
      <c r="D24" s="231">
        <v>21.4621701485198</v>
      </c>
      <c r="F24" s="44" t="s">
        <v>825</v>
      </c>
      <c r="G24" s="44" t="s">
        <v>857</v>
      </c>
      <c r="H24" s="44" t="s">
        <v>833</v>
      </c>
    </row>
    <row r="25">
      <c r="A25" s="44">
        <v>24.0</v>
      </c>
      <c r="B25" s="44" t="s">
        <v>644</v>
      </c>
      <c r="C25" s="230">
        <v>52.236477478566</v>
      </c>
      <c r="D25" s="231">
        <v>21.0710597087215</v>
      </c>
      <c r="F25" s="44" t="s">
        <v>810</v>
      </c>
      <c r="G25" s="44" t="s">
        <v>826</v>
      </c>
      <c r="H25" s="44" t="s">
        <v>833</v>
      </c>
    </row>
    <row r="26">
      <c r="A26" s="44">
        <v>25.0</v>
      </c>
      <c r="B26" s="44" t="s">
        <v>35</v>
      </c>
      <c r="C26" s="44">
        <v>37.5301142524432</v>
      </c>
      <c r="D26" s="231">
        <v>23.3222789532362</v>
      </c>
      <c r="F26" s="44" t="s">
        <v>858</v>
      </c>
      <c r="G26" s="44" t="s">
        <v>858</v>
      </c>
      <c r="H26" s="44" t="s">
        <v>833</v>
      </c>
    </row>
    <row r="27">
      <c r="A27" s="44">
        <v>26.0</v>
      </c>
      <c r="B27" s="44" t="s">
        <v>659</v>
      </c>
      <c r="C27" s="230">
        <v>52.186835</v>
      </c>
      <c r="D27" s="234">
        <v>5.398424</v>
      </c>
      <c r="F27" s="44" t="s">
        <v>859</v>
      </c>
      <c r="G27" s="44" t="s">
        <v>860</v>
      </c>
      <c r="H27" s="44" t="s">
        <v>11</v>
      </c>
    </row>
    <row r="28">
      <c r="A28" s="44">
        <v>27.0</v>
      </c>
      <c r="B28" s="44" t="s">
        <v>121</v>
      </c>
      <c r="C28" s="230">
        <v>39.241223649728</v>
      </c>
      <c r="D28" s="231">
        <v>-9.10590724421979</v>
      </c>
      <c r="F28" s="44" t="s">
        <v>858</v>
      </c>
      <c r="G28" s="44" t="s">
        <v>858</v>
      </c>
      <c r="H28" s="44" t="s">
        <v>11</v>
      </c>
    </row>
    <row r="29">
      <c r="A29" s="44">
        <v>28.0</v>
      </c>
      <c r="B29" s="44" t="s">
        <v>694</v>
      </c>
      <c r="C29" s="230">
        <v>51.7340186849083</v>
      </c>
      <c r="D29" s="231">
        <v>19.4672044635419</v>
      </c>
      <c r="F29" s="44" t="s">
        <v>861</v>
      </c>
      <c r="G29" s="44" t="s">
        <v>805</v>
      </c>
      <c r="H29" s="44" t="s">
        <v>833</v>
      </c>
    </row>
    <row r="30">
      <c r="A30" s="44">
        <v>29.0</v>
      </c>
      <c r="B30" s="44" t="s">
        <v>862</v>
      </c>
      <c r="C30" s="230">
        <v>50.1264783031503</v>
      </c>
      <c r="D30" s="231">
        <v>18.9933941354771</v>
      </c>
      <c r="F30" s="44" t="s">
        <v>863</v>
      </c>
      <c r="G30" s="44" t="s">
        <v>864</v>
      </c>
      <c r="H30" s="44" t="s">
        <v>833</v>
      </c>
    </row>
    <row r="31">
      <c r="A31" s="44">
        <v>30.0</v>
      </c>
      <c r="B31" s="44" t="s">
        <v>865</v>
      </c>
      <c r="C31" s="230">
        <v>50.15</v>
      </c>
      <c r="D31" s="231">
        <v>19.0</v>
      </c>
      <c r="F31" s="44" t="s">
        <v>842</v>
      </c>
      <c r="G31" s="44" t="s">
        <v>864</v>
      </c>
      <c r="H31" s="44" t="s">
        <v>833</v>
      </c>
    </row>
    <row r="32">
      <c r="A32" s="44">
        <v>31.0</v>
      </c>
      <c r="B32" s="44" t="s">
        <v>652</v>
      </c>
      <c r="C32" s="230">
        <v>52.4516724659048</v>
      </c>
      <c r="D32" s="231">
        <v>16.9104237751349</v>
      </c>
      <c r="F32" s="44" t="s">
        <v>866</v>
      </c>
      <c r="G32" s="44" t="s">
        <v>801</v>
      </c>
      <c r="H32" s="44" t="s">
        <v>11</v>
      </c>
    </row>
    <row r="33">
      <c r="A33" s="44">
        <v>32.0</v>
      </c>
      <c r="B33" s="44" t="s">
        <v>692</v>
      </c>
      <c r="C33" s="230">
        <v>50.5071753586016</v>
      </c>
      <c r="D33" s="231">
        <v>16.7299929716055</v>
      </c>
      <c r="F33" s="44" t="s">
        <v>825</v>
      </c>
      <c r="G33" s="44" t="s">
        <v>867</v>
      </c>
      <c r="H33" s="44" t="s">
        <v>833</v>
      </c>
    </row>
    <row r="34">
      <c r="A34" s="44">
        <v>33.0</v>
      </c>
      <c r="B34" s="44" t="s">
        <v>700</v>
      </c>
      <c r="C34" s="230">
        <v>50.296037903057</v>
      </c>
      <c r="D34" s="231">
        <v>18.930621697617</v>
      </c>
      <c r="F34" s="44" t="s">
        <v>700</v>
      </c>
      <c r="G34" s="44" t="s">
        <v>828</v>
      </c>
      <c r="H34" s="44" t="s">
        <v>833</v>
      </c>
    </row>
    <row r="35">
      <c r="A35" s="44">
        <v>34.0</v>
      </c>
      <c r="B35" s="44" t="s">
        <v>307</v>
      </c>
      <c r="C35" s="230">
        <v>50.2957036407189</v>
      </c>
      <c r="D35" s="231">
        <v>18.9321193449268</v>
      </c>
      <c r="F35" s="44" t="s">
        <v>858</v>
      </c>
      <c r="G35" s="44" t="s">
        <v>828</v>
      </c>
      <c r="H35" s="44" t="s">
        <v>833</v>
      </c>
    </row>
    <row r="36">
      <c r="A36" s="44">
        <v>35.0</v>
      </c>
      <c r="B36" s="44" t="s">
        <v>868</v>
      </c>
      <c r="C36" s="230">
        <v>54.4074110159905</v>
      </c>
      <c r="D36" s="231">
        <v>18.5891293101092</v>
      </c>
      <c r="E36" s="44" t="s">
        <v>869</v>
      </c>
      <c r="F36" s="44" t="s">
        <v>870</v>
      </c>
      <c r="G36" s="44" t="s">
        <v>871</v>
      </c>
      <c r="H36" s="44" t="s">
        <v>833</v>
      </c>
    </row>
    <row r="37">
      <c r="A37" s="44">
        <v>36.0</v>
      </c>
      <c r="B37" s="44" t="s">
        <v>701</v>
      </c>
      <c r="C37" s="230">
        <v>50.2430007404056</v>
      </c>
      <c r="D37" s="231">
        <v>18.9852063072898</v>
      </c>
      <c r="F37" s="44" t="s">
        <v>858</v>
      </c>
      <c r="G37" s="44" t="s">
        <v>808</v>
      </c>
      <c r="H37" s="44" t="s">
        <v>833</v>
      </c>
    </row>
    <row r="38">
      <c r="A38" s="44">
        <v>37.0</v>
      </c>
      <c r="B38" s="44" t="s">
        <v>691</v>
      </c>
      <c r="C38" s="230">
        <v>54.462288879024</v>
      </c>
      <c r="D38" s="231">
        <v>17.024188544338</v>
      </c>
      <c r="F38" s="44" t="s">
        <v>872</v>
      </c>
      <c r="G38" s="44" t="s">
        <v>873</v>
      </c>
      <c r="H38" s="44" t="s">
        <v>833</v>
      </c>
    </row>
    <row r="39">
      <c r="A39" s="44">
        <v>38.0</v>
      </c>
      <c r="B39" s="44" t="s">
        <v>690</v>
      </c>
      <c r="C39" s="230">
        <v>49.6266191231575</v>
      </c>
      <c r="D39" s="231">
        <v>20.7446025579819</v>
      </c>
      <c r="F39" s="44" t="s">
        <v>839</v>
      </c>
      <c r="G39" s="44" t="s">
        <v>856</v>
      </c>
      <c r="H39" s="44" t="s">
        <v>833</v>
      </c>
    </row>
    <row r="40">
      <c r="A40" s="44">
        <v>39.0</v>
      </c>
      <c r="B40" s="44" t="s">
        <v>662</v>
      </c>
      <c r="C40" s="230">
        <v>50.0979272737143</v>
      </c>
      <c r="D40" s="231">
        <v>18.4957034048932</v>
      </c>
      <c r="F40" s="44" t="s">
        <v>866</v>
      </c>
      <c r="G40" s="44" t="s">
        <v>874</v>
      </c>
      <c r="H40" s="44" t="s">
        <v>833</v>
      </c>
    </row>
    <row r="41">
      <c r="A41" s="44">
        <v>40.0</v>
      </c>
      <c r="B41" s="44" t="s">
        <v>875</v>
      </c>
      <c r="C41" s="230">
        <v>53.4451599459519</v>
      </c>
      <c r="D41" s="231">
        <v>14.4955325385249</v>
      </c>
      <c r="F41" s="44" t="s">
        <v>876</v>
      </c>
      <c r="G41" s="44" t="s">
        <v>877</v>
      </c>
      <c r="H41" s="44" t="s">
        <v>833</v>
      </c>
    </row>
    <row r="42">
      <c r="A42" s="44">
        <v>41.0</v>
      </c>
      <c r="B42" s="44" t="s">
        <v>878</v>
      </c>
      <c r="C42" s="230">
        <v>51.369399776564</v>
      </c>
      <c r="D42" s="231">
        <v>19.8267637445998</v>
      </c>
      <c r="F42" s="44" t="s">
        <v>879</v>
      </c>
      <c r="G42" s="44" t="s">
        <v>880</v>
      </c>
      <c r="H42" s="44" t="s">
        <v>833</v>
      </c>
    </row>
    <row r="43">
      <c r="A43" s="44">
        <v>42.0</v>
      </c>
      <c r="B43" s="44" t="s">
        <v>881</v>
      </c>
      <c r="C43" s="230">
        <v>50.0769461816451</v>
      </c>
      <c r="D43" s="231">
        <v>18.6003462056054</v>
      </c>
      <c r="F43" s="44" t="s">
        <v>855</v>
      </c>
      <c r="G43" s="44" t="s">
        <v>874</v>
      </c>
      <c r="H43" s="44" t="s">
        <v>833</v>
      </c>
    </row>
    <row r="44">
      <c r="A44" s="44">
        <v>43.0</v>
      </c>
      <c r="B44" s="44" t="s">
        <v>695</v>
      </c>
      <c r="C44" s="230">
        <v>52.131827808889</v>
      </c>
      <c r="D44" s="231">
        <v>21.0663635687756</v>
      </c>
      <c r="F44" s="44" t="s">
        <v>813</v>
      </c>
      <c r="G44" s="44" t="s">
        <v>826</v>
      </c>
      <c r="H44" s="44" t="s">
        <v>833</v>
      </c>
    </row>
    <row r="45">
      <c r="A45" s="44">
        <v>44.0</v>
      </c>
      <c r="B45" s="44" t="s">
        <v>882</v>
      </c>
      <c r="C45" s="230">
        <v>50.1083971546474</v>
      </c>
      <c r="D45" s="231">
        <v>18.4973273954381</v>
      </c>
      <c r="F45" s="44" t="s">
        <v>879</v>
      </c>
      <c r="G45" s="44" t="s">
        <v>874</v>
      </c>
      <c r="H45" s="44" t="s">
        <v>833</v>
      </c>
    </row>
    <row r="46">
      <c r="A46" s="44">
        <v>45.0</v>
      </c>
      <c r="B46" s="44" t="s">
        <v>883</v>
      </c>
      <c r="C46" s="230">
        <v>51.6587546846642</v>
      </c>
      <c r="D46" s="231">
        <v>19.3405326783732</v>
      </c>
      <c r="F46" s="44" t="s">
        <v>884</v>
      </c>
      <c r="G46" s="44" t="s">
        <v>885</v>
      </c>
      <c r="H46" s="44" t="s">
        <v>833</v>
      </c>
    </row>
    <row r="47">
      <c r="A47" s="44">
        <v>46.0</v>
      </c>
      <c r="B47" s="44" t="s">
        <v>730</v>
      </c>
      <c r="C47" s="230">
        <v>53.7982228373125</v>
      </c>
      <c r="D47" s="231">
        <v>20.4962709657687</v>
      </c>
      <c r="F47" s="44" t="s">
        <v>886</v>
      </c>
      <c r="G47" s="44" t="s">
        <v>854</v>
      </c>
      <c r="H47" s="44" t="s">
        <v>833</v>
      </c>
    </row>
    <row r="48">
      <c r="C48" s="235"/>
      <c r="D48" s="236"/>
      <c r="H48" s="144"/>
    </row>
    <row r="49">
      <c r="C49" s="235"/>
      <c r="D49" s="236"/>
      <c r="H49" s="144"/>
    </row>
    <row r="50">
      <c r="C50" s="235"/>
      <c r="D50" s="236"/>
      <c r="H50" s="144"/>
    </row>
    <row r="51">
      <c r="C51" s="235"/>
      <c r="D51" s="236"/>
      <c r="H51" s="144"/>
    </row>
    <row r="52">
      <c r="C52" s="235"/>
      <c r="D52" s="236"/>
      <c r="H52" s="144"/>
    </row>
    <row r="53">
      <c r="C53" s="235"/>
      <c r="D53" s="236"/>
      <c r="H53" s="144"/>
    </row>
    <row r="54">
      <c r="C54" s="235"/>
      <c r="D54" s="236"/>
      <c r="H54" s="144"/>
    </row>
    <row r="55">
      <c r="C55" s="235"/>
      <c r="D55" s="236"/>
      <c r="H55" s="144"/>
    </row>
    <row r="56">
      <c r="C56" s="235"/>
      <c r="D56" s="236"/>
      <c r="H56" s="144"/>
    </row>
    <row r="57">
      <c r="C57" s="235"/>
      <c r="D57" s="236"/>
      <c r="H57" s="144"/>
    </row>
    <row r="58">
      <c r="C58" s="235"/>
      <c r="D58" s="236"/>
      <c r="H58" s="144"/>
    </row>
    <row r="59">
      <c r="C59" s="235"/>
      <c r="D59" s="236"/>
      <c r="H59" s="144"/>
    </row>
    <row r="60">
      <c r="C60" s="235"/>
      <c r="D60" s="236"/>
      <c r="H60" s="144"/>
    </row>
    <row r="61">
      <c r="C61" s="235"/>
      <c r="D61" s="236"/>
      <c r="H61" s="144"/>
    </row>
    <row r="62">
      <c r="C62" s="235"/>
      <c r="D62" s="236"/>
      <c r="H62" s="144"/>
    </row>
    <row r="63">
      <c r="C63" s="235"/>
      <c r="D63" s="236"/>
      <c r="H63" s="144"/>
    </row>
    <row r="64">
      <c r="C64" s="235"/>
      <c r="D64" s="236"/>
      <c r="H64" s="144"/>
    </row>
    <row r="65">
      <c r="C65" s="235"/>
      <c r="D65" s="236"/>
      <c r="H65" s="144"/>
    </row>
    <row r="66">
      <c r="C66" s="235"/>
      <c r="D66" s="236"/>
      <c r="H66" s="144"/>
    </row>
    <row r="67">
      <c r="C67" s="235"/>
      <c r="D67" s="236"/>
      <c r="H67" s="144"/>
    </row>
    <row r="68">
      <c r="C68" s="235"/>
      <c r="D68" s="236"/>
      <c r="H68" s="144"/>
    </row>
    <row r="69">
      <c r="C69" s="235"/>
      <c r="D69" s="236"/>
      <c r="H69" s="144"/>
    </row>
    <row r="70">
      <c r="C70" s="235"/>
      <c r="D70" s="236"/>
      <c r="H70" s="144"/>
    </row>
    <row r="71">
      <c r="C71" s="235"/>
      <c r="D71" s="236"/>
      <c r="H71" s="144"/>
    </row>
    <row r="72">
      <c r="C72" s="235"/>
      <c r="D72" s="236"/>
      <c r="H72" s="144"/>
    </row>
    <row r="73">
      <c r="C73" s="235"/>
      <c r="D73" s="236"/>
      <c r="H73" s="144"/>
    </row>
    <row r="74">
      <c r="C74" s="235"/>
      <c r="D74" s="236"/>
      <c r="H74" s="144"/>
    </row>
    <row r="75">
      <c r="C75" s="235"/>
      <c r="D75" s="236"/>
      <c r="H75" s="144"/>
    </row>
    <row r="76">
      <c r="C76" s="235"/>
      <c r="D76" s="236"/>
      <c r="H76" s="144"/>
    </row>
    <row r="77">
      <c r="C77" s="235"/>
      <c r="D77" s="236"/>
      <c r="H77" s="144"/>
    </row>
    <row r="78">
      <c r="C78" s="235"/>
      <c r="D78" s="236"/>
      <c r="H78" s="144"/>
    </row>
    <row r="79">
      <c r="C79" s="235"/>
      <c r="D79" s="236"/>
      <c r="H79" s="144"/>
    </row>
    <row r="80">
      <c r="C80" s="235"/>
      <c r="D80" s="236"/>
      <c r="H80" s="144"/>
    </row>
    <row r="81">
      <c r="C81" s="235"/>
      <c r="D81" s="236"/>
      <c r="H81" s="144"/>
    </row>
    <row r="82">
      <c r="C82" s="235"/>
      <c r="D82" s="236"/>
      <c r="H82" s="144"/>
    </row>
    <row r="83">
      <c r="C83" s="235"/>
      <c r="D83" s="236"/>
      <c r="H83" s="144"/>
    </row>
    <row r="84">
      <c r="C84" s="235"/>
      <c r="D84" s="236"/>
      <c r="H84" s="144"/>
    </row>
    <row r="85">
      <c r="C85" s="235"/>
      <c r="D85" s="236"/>
      <c r="H85" s="144"/>
    </row>
    <row r="86">
      <c r="C86" s="235"/>
      <c r="D86" s="236"/>
      <c r="H86" s="144"/>
    </row>
    <row r="87">
      <c r="C87" s="235"/>
      <c r="D87" s="236"/>
      <c r="H87" s="144"/>
    </row>
    <row r="88">
      <c r="C88" s="235"/>
      <c r="D88" s="236"/>
      <c r="H88" s="144"/>
    </row>
    <row r="89">
      <c r="C89" s="235"/>
      <c r="D89" s="236"/>
      <c r="H89" s="144"/>
    </row>
    <row r="90">
      <c r="C90" s="235"/>
      <c r="D90" s="236"/>
      <c r="H90" s="144"/>
    </row>
    <row r="91">
      <c r="C91" s="235"/>
      <c r="D91" s="236"/>
      <c r="H91" s="144"/>
    </row>
    <row r="92">
      <c r="C92" s="235"/>
      <c r="D92" s="236"/>
      <c r="H92" s="144"/>
    </row>
    <row r="93">
      <c r="C93" s="235"/>
      <c r="D93" s="236"/>
      <c r="H93" s="144"/>
    </row>
    <row r="94">
      <c r="C94" s="235"/>
      <c r="D94" s="236"/>
      <c r="H94" s="144"/>
    </row>
    <row r="95">
      <c r="C95" s="235"/>
      <c r="D95" s="236"/>
      <c r="H95" s="144"/>
    </row>
    <row r="96">
      <c r="C96" s="235"/>
      <c r="D96" s="236"/>
      <c r="H96" s="144"/>
    </row>
    <row r="97">
      <c r="C97" s="235"/>
      <c r="D97" s="236"/>
      <c r="H97" s="144"/>
    </row>
    <row r="98">
      <c r="C98" s="235"/>
      <c r="D98" s="236"/>
      <c r="H98" s="144"/>
    </row>
    <row r="99">
      <c r="C99" s="235"/>
      <c r="D99" s="236"/>
      <c r="H99" s="144"/>
    </row>
    <row r="100">
      <c r="C100" s="235"/>
      <c r="D100" s="236"/>
      <c r="H100" s="144"/>
    </row>
    <row r="101">
      <c r="C101" s="235"/>
      <c r="D101" s="236"/>
      <c r="H101" s="144"/>
    </row>
    <row r="102">
      <c r="C102" s="235"/>
      <c r="D102" s="236"/>
      <c r="H102" s="144"/>
    </row>
    <row r="103">
      <c r="C103" s="235"/>
      <c r="D103" s="236"/>
      <c r="H103" s="144"/>
    </row>
    <row r="104">
      <c r="C104" s="235"/>
      <c r="D104" s="236"/>
      <c r="H104" s="144"/>
    </row>
    <row r="105">
      <c r="C105" s="235"/>
      <c r="D105" s="236"/>
      <c r="H105" s="144"/>
    </row>
    <row r="106">
      <c r="C106" s="235"/>
      <c r="D106" s="236"/>
      <c r="H106" s="144"/>
    </row>
    <row r="107">
      <c r="C107" s="235"/>
      <c r="D107" s="236"/>
      <c r="H107" s="144"/>
    </row>
    <row r="108">
      <c r="C108" s="235"/>
      <c r="D108" s="236"/>
      <c r="H108" s="144"/>
    </row>
    <row r="109">
      <c r="C109" s="235"/>
      <c r="D109" s="236"/>
      <c r="H109" s="144"/>
    </row>
    <row r="110">
      <c r="C110" s="235"/>
      <c r="D110" s="236"/>
      <c r="H110" s="144"/>
    </row>
    <row r="111">
      <c r="C111" s="235"/>
      <c r="D111" s="236"/>
      <c r="H111" s="144"/>
    </row>
    <row r="112">
      <c r="C112" s="235"/>
      <c r="D112" s="236"/>
      <c r="H112" s="144"/>
    </row>
    <row r="113">
      <c r="C113" s="235"/>
      <c r="D113" s="236"/>
      <c r="H113" s="144"/>
    </row>
    <row r="114">
      <c r="C114" s="235"/>
      <c r="D114" s="236"/>
      <c r="H114" s="144"/>
    </row>
    <row r="115">
      <c r="C115" s="235"/>
      <c r="D115" s="236"/>
      <c r="H115" s="144"/>
    </row>
    <row r="116">
      <c r="C116" s="235"/>
      <c r="D116" s="236"/>
      <c r="H116" s="144"/>
    </row>
    <row r="117">
      <c r="C117" s="235"/>
      <c r="D117" s="236"/>
      <c r="H117" s="144"/>
    </row>
    <row r="118">
      <c r="C118" s="235"/>
      <c r="D118" s="236"/>
      <c r="H118" s="144"/>
    </row>
    <row r="119">
      <c r="C119" s="235"/>
      <c r="D119" s="236"/>
      <c r="H119" s="144"/>
    </row>
    <row r="120">
      <c r="C120" s="235"/>
      <c r="D120" s="236"/>
      <c r="H120" s="144"/>
    </row>
    <row r="121">
      <c r="C121" s="235"/>
      <c r="D121" s="236"/>
      <c r="H121" s="144"/>
    </row>
    <row r="122">
      <c r="C122" s="235"/>
      <c r="D122" s="236"/>
      <c r="H122" s="144"/>
    </row>
    <row r="123">
      <c r="C123" s="235"/>
      <c r="D123" s="236"/>
      <c r="H123" s="144"/>
    </row>
    <row r="124">
      <c r="C124" s="235"/>
      <c r="D124" s="236"/>
      <c r="H124" s="144"/>
    </row>
    <row r="125">
      <c r="C125" s="235"/>
      <c r="D125" s="236"/>
      <c r="H125" s="144"/>
    </row>
    <row r="126">
      <c r="C126" s="235"/>
      <c r="D126" s="236"/>
      <c r="H126" s="144"/>
    </row>
    <row r="127">
      <c r="C127" s="235"/>
      <c r="D127" s="236"/>
      <c r="H127" s="144"/>
    </row>
    <row r="128">
      <c r="C128" s="235"/>
      <c r="D128" s="236"/>
      <c r="H128" s="144"/>
    </row>
    <row r="129">
      <c r="C129" s="235"/>
      <c r="D129" s="236"/>
      <c r="H129" s="144"/>
    </row>
    <row r="130">
      <c r="C130" s="235"/>
      <c r="D130" s="236"/>
      <c r="H130" s="144"/>
    </row>
    <row r="131">
      <c r="C131" s="235"/>
      <c r="D131" s="236"/>
      <c r="H131" s="144"/>
    </row>
    <row r="132">
      <c r="C132" s="235"/>
      <c r="D132" s="236"/>
      <c r="H132" s="144"/>
    </row>
    <row r="133">
      <c r="C133" s="235"/>
      <c r="D133" s="236"/>
      <c r="H133" s="144"/>
    </row>
    <row r="134">
      <c r="C134" s="235"/>
      <c r="D134" s="236"/>
      <c r="H134" s="144"/>
    </row>
    <row r="135">
      <c r="C135" s="235"/>
      <c r="D135" s="236"/>
      <c r="H135" s="144"/>
    </row>
    <row r="136">
      <c r="C136" s="235"/>
      <c r="D136" s="236"/>
      <c r="H136" s="144"/>
    </row>
    <row r="137">
      <c r="C137" s="235"/>
      <c r="D137" s="236"/>
      <c r="H137" s="144"/>
    </row>
    <row r="138">
      <c r="C138" s="235"/>
      <c r="D138" s="236"/>
      <c r="H138" s="144"/>
    </row>
    <row r="139">
      <c r="C139" s="235"/>
      <c r="D139" s="236"/>
      <c r="H139" s="144"/>
    </row>
    <row r="140">
      <c r="C140" s="235"/>
      <c r="D140" s="236"/>
      <c r="H140" s="144"/>
    </row>
    <row r="141">
      <c r="C141" s="235"/>
      <c r="D141" s="236"/>
      <c r="H141" s="144"/>
    </row>
    <row r="142">
      <c r="C142" s="235"/>
      <c r="D142" s="236"/>
      <c r="H142" s="144"/>
    </row>
    <row r="143">
      <c r="C143" s="235"/>
      <c r="D143" s="236"/>
      <c r="H143" s="144"/>
    </row>
    <row r="144">
      <c r="C144" s="235"/>
      <c r="D144" s="236"/>
      <c r="H144" s="144"/>
    </row>
    <row r="145">
      <c r="C145" s="235"/>
      <c r="D145" s="236"/>
      <c r="H145" s="144"/>
    </row>
    <row r="146">
      <c r="C146" s="235"/>
      <c r="D146" s="236"/>
      <c r="H146" s="144"/>
    </row>
    <row r="147">
      <c r="C147" s="235"/>
      <c r="D147" s="236"/>
      <c r="H147" s="144"/>
    </row>
    <row r="148">
      <c r="C148" s="235"/>
      <c r="D148" s="236"/>
      <c r="H148" s="144"/>
    </row>
    <row r="149">
      <c r="C149" s="235"/>
      <c r="D149" s="236"/>
      <c r="H149" s="144"/>
    </row>
    <row r="150">
      <c r="C150" s="235"/>
      <c r="D150" s="236"/>
      <c r="H150" s="144"/>
    </row>
    <row r="151">
      <c r="C151" s="235"/>
      <c r="D151" s="236"/>
      <c r="H151" s="144"/>
    </row>
    <row r="152">
      <c r="C152" s="235"/>
      <c r="D152" s="236"/>
      <c r="H152" s="144"/>
    </row>
    <row r="153">
      <c r="C153" s="235"/>
      <c r="D153" s="236"/>
      <c r="H153" s="144"/>
    </row>
    <row r="154">
      <c r="C154" s="235"/>
      <c r="D154" s="236"/>
      <c r="H154" s="144"/>
    </row>
    <row r="155">
      <c r="C155" s="235"/>
      <c r="D155" s="236"/>
      <c r="H155" s="144"/>
    </row>
    <row r="156">
      <c r="C156" s="235"/>
      <c r="D156" s="236"/>
      <c r="H156" s="144"/>
    </row>
    <row r="157">
      <c r="C157" s="235"/>
      <c r="D157" s="236"/>
      <c r="H157" s="144"/>
    </row>
    <row r="158">
      <c r="C158" s="235"/>
      <c r="D158" s="236"/>
      <c r="H158" s="144"/>
    </row>
    <row r="159">
      <c r="C159" s="235"/>
      <c r="D159" s="236"/>
      <c r="H159" s="144"/>
    </row>
    <row r="160">
      <c r="C160" s="235"/>
      <c r="D160" s="236"/>
      <c r="H160" s="144"/>
    </row>
    <row r="161">
      <c r="C161" s="235"/>
      <c r="D161" s="236"/>
      <c r="H161" s="144"/>
    </row>
    <row r="162">
      <c r="C162" s="235"/>
      <c r="D162" s="236"/>
      <c r="H162" s="144"/>
    </row>
    <row r="163">
      <c r="C163" s="235"/>
      <c r="D163" s="236"/>
      <c r="H163" s="144"/>
    </row>
    <row r="164">
      <c r="C164" s="235"/>
      <c r="D164" s="236"/>
      <c r="H164" s="144"/>
    </row>
    <row r="165">
      <c r="C165" s="235"/>
      <c r="D165" s="236"/>
      <c r="H165" s="144"/>
    </row>
    <row r="166">
      <c r="C166" s="235"/>
      <c r="D166" s="236"/>
      <c r="H166" s="144"/>
    </row>
    <row r="167">
      <c r="C167" s="235"/>
      <c r="D167" s="236"/>
      <c r="H167" s="144"/>
    </row>
    <row r="168">
      <c r="C168" s="235"/>
      <c r="D168" s="236"/>
      <c r="H168" s="144"/>
    </row>
    <row r="169">
      <c r="C169" s="235"/>
      <c r="D169" s="236"/>
      <c r="H169" s="144"/>
    </row>
    <row r="170">
      <c r="C170" s="235"/>
      <c r="D170" s="236"/>
      <c r="H170" s="144"/>
    </row>
    <row r="171">
      <c r="C171" s="235"/>
      <c r="D171" s="236"/>
      <c r="H171" s="144"/>
    </row>
    <row r="172">
      <c r="C172" s="235"/>
      <c r="D172" s="236"/>
      <c r="H172" s="144"/>
    </row>
    <row r="173">
      <c r="C173" s="235"/>
      <c r="D173" s="236"/>
      <c r="H173" s="144"/>
    </row>
    <row r="174">
      <c r="C174" s="235"/>
      <c r="D174" s="236"/>
      <c r="H174" s="144"/>
    </row>
    <row r="175">
      <c r="C175" s="235"/>
      <c r="D175" s="236"/>
      <c r="H175" s="144"/>
    </row>
    <row r="176">
      <c r="C176" s="235"/>
      <c r="D176" s="236"/>
      <c r="H176" s="144"/>
    </row>
    <row r="177">
      <c r="C177" s="235"/>
      <c r="D177" s="236"/>
      <c r="H177" s="144"/>
    </row>
    <row r="178">
      <c r="C178" s="235"/>
      <c r="D178" s="236"/>
      <c r="H178" s="144"/>
    </row>
    <row r="179">
      <c r="C179" s="235"/>
      <c r="D179" s="236"/>
      <c r="H179" s="144"/>
    </row>
    <row r="180">
      <c r="C180" s="235"/>
      <c r="D180" s="236"/>
      <c r="H180" s="144"/>
    </row>
    <row r="181">
      <c r="C181" s="235"/>
      <c r="D181" s="236"/>
      <c r="H181" s="144"/>
    </row>
    <row r="182">
      <c r="C182" s="235"/>
      <c r="D182" s="236"/>
      <c r="H182" s="144"/>
    </row>
    <row r="183">
      <c r="C183" s="235"/>
      <c r="D183" s="236"/>
      <c r="H183" s="144"/>
    </row>
    <row r="184">
      <c r="C184" s="235"/>
      <c r="D184" s="236"/>
      <c r="H184" s="144"/>
    </row>
    <row r="185">
      <c r="C185" s="235"/>
      <c r="D185" s="236"/>
      <c r="H185" s="144"/>
    </row>
    <row r="186">
      <c r="C186" s="235"/>
      <c r="D186" s="236"/>
      <c r="H186" s="144"/>
    </row>
    <row r="187">
      <c r="C187" s="235"/>
      <c r="D187" s="236"/>
      <c r="H187" s="144"/>
    </row>
    <row r="188">
      <c r="C188" s="235"/>
      <c r="D188" s="236"/>
      <c r="H188" s="144"/>
    </row>
    <row r="189">
      <c r="C189" s="235"/>
      <c r="D189" s="236"/>
      <c r="H189" s="144"/>
    </row>
    <row r="190">
      <c r="C190" s="235"/>
      <c r="D190" s="236"/>
      <c r="H190" s="144"/>
    </row>
    <row r="191">
      <c r="C191" s="235"/>
      <c r="D191" s="236"/>
      <c r="H191" s="144"/>
    </row>
    <row r="192">
      <c r="C192" s="235"/>
      <c r="D192" s="236"/>
      <c r="H192" s="144"/>
    </row>
    <row r="193">
      <c r="C193" s="235"/>
      <c r="D193" s="236"/>
      <c r="H193" s="144"/>
    </row>
    <row r="194">
      <c r="C194" s="235"/>
      <c r="D194" s="236"/>
      <c r="H194" s="144"/>
    </row>
    <row r="195">
      <c r="C195" s="235"/>
      <c r="D195" s="236"/>
      <c r="H195" s="144"/>
    </row>
    <row r="196">
      <c r="C196" s="235"/>
      <c r="D196" s="236"/>
      <c r="H196" s="144"/>
    </row>
    <row r="197">
      <c r="C197" s="235"/>
      <c r="D197" s="236"/>
      <c r="H197" s="144"/>
    </row>
    <row r="198">
      <c r="C198" s="235"/>
      <c r="D198" s="236"/>
      <c r="H198" s="144"/>
    </row>
    <row r="199">
      <c r="C199" s="235"/>
      <c r="D199" s="236"/>
      <c r="H199" s="144"/>
    </row>
    <row r="200">
      <c r="C200" s="235"/>
      <c r="D200" s="236"/>
      <c r="H200" s="144"/>
    </row>
    <row r="201">
      <c r="C201" s="235"/>
      <c r="D201" s="236"/>
      <c r="H201" s="144"/>
    </row>
    <row r="202">
      <c r="C202" s="235"/>
      <c r="D202" s="236"/>
      <c r="H202" s="144"/>
    </row>
    <row r="203">
      <c r="C203" s="235"/>
      <c r="D203" s="236"/>
      <c r="H203" s="144"/>
    </row>
    <row r="204">
      <c r="C204" s="235"/>
      <c r="D204" s="236"/>
      <c r="H204" s="144"/>
    </row>
    <row r="205">
      <c r="C205" s="235"/>
      <c r="D205" s="236"/>
      <c r="H205" s="144"/>
    </row>
    <row r="206">
      <c r="C206" s="235"/>
      <c r="D206" s="236"/>
      <c r="H206" s="144"/>
    </row>
    <row r="207">
      <c r="C207" s="235"/>
      <c r="D207" s="236"/>
      <c r="H207" s="144"/>
    </row>
    <row r="208">
      <c r="C208" s="235"/>
      <c r="D208" s="236"/>
      <c r="H208" s="144"/>
    </row>
    <row r="209">
      <c r="C209" s="235"/>
      <c r="D209" s="236"/>
      <c r="H209" s="144"/>
    </row>
    <row r="210">
      <c r="C210" s="235"/>
      <c r="D210" s="236"/>
      <c r="H210" s="144"/>
    </row>
    <row r="211">
      <c r="C211" s="235"/>
      <c r="D211" s="236"/>
      <c r="H211" s="144"/>
    </row>
    <row r="212">
      <c r="C212" s="235"/>
      <c r="D212" s="236"/>
      <c r="H212" s="144"/>
    </row>
    <row r="213">
      <c r="C213" s="235"/>
      <c r="D213" s="236"/>
      <c r="H213" s="144"/>
    </row>
    <row r="214">
      <c r="C214" s="235"/>
      <c r="D214" s="236"/>
      <c r="H214" s="144"/>
    </row>
    <row r="215">
      <c r="C215" s="235"/>
      <c r="D215" s="236"/>
      <c r="H215" s="144"/>
    </row>
    <row r="216">
      <c r="C216" s="235"/>
      <c r="D216" s="236"/>
      <c r="H216" s="144"/>
    </row>
    <row r="217">
      <c r="C217" s="235"/>
      <c r="D217" s="236"/>
      <c r="H217" s="144"/>
    </row>
    <row r="218">
      <c r="C218" s="235"/>
      <c r="D218" s="236"/>
      <c r="H218" s="144"/>
    </row>
    <row r="219">
      <c r="C219" s="235"/>
      <c r="D219" s="236"/>
      <c r="H219" s="144"/>
    </row>
    <row r="220">
      <c r="C220" s="235"/>
      <c r="D220" s="236"/>
      <c r="H220" s="144"/>
    </row>
    <row r="221">
      <c r="C221" s="235"/>
      <c r="D221" s="236"/>
      <c r="H221" s="144"/>
    </row>
    <row r="222">
      <c r="C222" s="235"/>
      <c r="D222" s="236"/>
      <c r="H222" s="144"/>
    </row>
    <row r="223">
      <c r="C223" s="235"/>
      <c r="D223" s="236"/>
      <c r="H223" s="144"/>
    </row>
    <row r="224">
      <c r="C224" s="235"/>
      <c r="D224" s="236"/>
      <c r="H224" s="144"/>
    </row>
    <row r="225">
      <c r="C225" s="235"/>
      <c r="D225" s="236"/>
      <c r="H225" s="144"/>
    </row>
    <row r="226">
      <c r="C226" s="235"/>
      <c r="D226" s="236"/>
      <c r="H226" s="144"/>
    </row>
    <row r="227">
      <c r="C227" s="235"/>
      <c r="D227" s="236"/>
      <c r="H227" s="144"/>
    </row>
    <row r="228">
      <c r="C228" s="235"/>
      <c r="D228" s="236"/>
      <c r="H228" s="144"/>
    </row>
    <row r="229">
      <c r="C229" s="235"/>
      <c r="D229" s="236"/>
      <c r="H229" s="144"/>
    </row>
    <row r="230">
      <c r="C230" s="235"/>
      <c r="D230" s="236"/>
      <c r="H230" s="144"/>
    </row>
    <row r="231">
      <c r="C231" s="235"/>
      <c r="D231" s="236"/>
      <c r="H231" s="144"/>
    </row>
    <row r="232">
      <c r="C232" s="235"/>
      <c r="D232" s="236"/>
      <c r="H232" s="144"/>
    </row>
    <row r="233">
      <c r="C233" s="235"/>
      <c r="D233" s="236"/>
      <c r="H233" s="144"/>
    </row>
    <row r="234">
      <c r="C234" s="235"/>
      <c r="D234" s="236"/>
      <c r="H234" s="144"/>
    </row>
    <row r="235">
      <c r="C235" s="235"/>
      <c r="D235" s="236"/>
      <c r="H235" s="144"/>
    </row>
    <row r="236">
      <c r="C236" s="235"/>
      <c r="D236" s="236"/>
      <c r="H236" s="144"/>
    </row>
    <row r="237">
      <c r="C237" s="235"/>
      <c r="D237" s="236"/>
      <c r="H237" s="144"/>
    </row>
    <row r="238">
      <c r="C238" s="235"/>
      <c r="D238" s="236"/>
      <c r="H238" s="144"/>
    </row>
    <row r="239">
      <c r="C239" s="235"/>
      <c r="D239" s="236"/>
      <c r="H239" s="144"/>
    </row>
    <row r="240">
      <c r="C240" s="235"/>
      <c r="D240" s="236"/>
      <c r="H240" s="144"/>
    </row>
    <row r="241">
      <c r="C241" s="235"/>
      <c r="D241" s="236"/>
      <c r="H241" s="144"/>
    </row>
    <row r="242">
      <c r="C242" s="235"/>
      <c r="D242" s="236"/>
      <c r="H242" s="144"/>
    </row>
    <row r="243">
      <c r="C243" s="235"/>
      <c r="D243" s="236"/>
      <c r="H243" s="144"/>
    </row>
    <row r="244">
      <c r="C244" s="235"/>
      <c r="D244" s="236"/>
      <c r="H244" s="144"/>
    </row>
    <row r="245">
      <c r="C245" s="235"/>
      <c r="D245" s="236"/>
      <c r="H245" s="144"/>
    </row>
    <row r="246">
      <c r="C246" s="235"/>
      <c r="D246" s="236"/>
      <c r="H246" s="144"/>
    </row>
    <row r="247">
      <c r="C247" s="235"/>
      <c r="D247" s="236"/>
      <c r="H247" s="144"/>
    </row>
    <row r="248">
      <c r="C248" s="235"/>
      <c r="D248" s="236"/>
      <c r="H248" s="144"/>
    </row>
    <row r="249">
      <c r="C249" s="235"/>
      <c r="D249" s="236"/>
      <c r="H249" s="144"/>
    </row>
    <row r="250">
      <c r="C250" s="235"/>
      <c r="D250" s="236"/>
      <c r="H250" s="144"/>
    </row>
    <row r="251">
      <c r="C251" s="235"/>
      <c r="D251" s="236"/>
      <c r="H251" s="144"/>
    </row>
    <row r="252">
      <c r="C252" s="235"/>
      <c r="D252" s="236"/>
      <c r="H252" s="144"/>
    </row>
    <row r="253">
      <c r="C253" s="235"/>
      <c r="D253" s="236"/>
      <c r="H253" s="144"/>
    </row>
    <row r="254">
      <c r="C254" s="235"/>
      <c r="D254" s="236"/>
      <c r="H254" s="144"/>
    </row>
    <row r="255">
      <c r="C255" s="235"/>
      <c r="D255" s="236"/>
      <c r="H255" s="144"/>
    </row>
    <row r="256">
      <c r="C256" s="235"/>
      <c r="D256" s="236"/>
      <c r="H256" s="144"/>
    </row>
    <row r="257">
      <c r="C257" s="235"/>
      <c r="D257" s="236"/>
      <c r="H257" s="144"/>
    </row>
    <row r="258">
      <c r="C258" s="235"/>
      <c r="D258" s="236"/>
      <c r="H258" s="144"/>
    </row>
    <row r="259">
      <c r="C259" s="235"/>
      <c r="D259" s="236"/>
      <c r="H259" s="144"/>
    </row>
    <row r="260">
      <c r="C260" s="235"/>
      <c r="D260" s="236"/>
      <c r="H260" s="144"/>
    </row>
    <row r="261">
      <c r="C261" s="235"/>
      <c r="D261" s="236"/>
      <c r="H261" s="144"/>
    </row>
    <row r="262">
      <c r="C262" s="235"/>
      <c r="D262" s="236"/>
      <c r="H262" s="144"/>
    </row>
    <row r="263">
      <c r="C263" s="235"/>
      <c r="D263" s="236"/>
      <c r="H263" s="144"/>
    </row>
    <row r="264">
      <c r="C264" s="235"/>
      <c r="D264" s="236"/>
      <c r="H264" s="144"/>
    </row>
    <row r="265">
      <c r="C265" s="235"/>
      <c r="D265" s="236"/>
      <c r="H265" s="144"/>
    </row>
    <row r="266">
      <c r="C266" s="235"/>
      <c r="D266" s="236"/>
      <c r="H266" s="144"/>
    </row>
    <row r="267">
      <c r="C267" s="235"/>
      <c r="D267" s="236"/>
      <c r="H267" s="144"/>
    </row>
    <row r="268">
      <c r="C268" s="235"/>
      <c r="D268" s="236"/>
      <c r="H268" s="144"/>
    </row>
    <row r="269">
      <c r="C269" s="235"/>
      <c r="D269" s="236"/>
      <c r="H269" s="144"/>
    </row>
    <row r="270">
      <c r="C270" s="235"/>
      <c r="D270" s="236"/>
      <c r="H270" s="144"/>
    </row>
    <row r="271">
      <c r="C271" s="235"/>
      <c r="D271" s="236"/>
      <c r="H271" s="144"/>
    </row>
    <row r="272">
      <c r="C272" s="235"/>
      <c r="D272" s="236"/>
      <c r="H272" s="144"/>
    </row>
    <row r="273">
      <c r="C273" s="235"/>
      <c r="D273" s="236"/>
      <c r="H273" s="144"/>
    </row>
    <row r="274">
      <c r="C274" s="235"/>
      <c r="D274" s="236"/>
      <c r="H274" s="144"/>
    </row>
    <row r="275">
      <c r="C275" s="235"/>
      <c r="D275" s="236"/>
      <c r="H275" s="144"/>
    </row>
    <row r="276">
      <c r="C276" s="235"/>
      <c r="D276" s="236"/>
      <c r="H276" s="144"/>
    </row>
    <row r="277">
      <c r="C277" s="235"/>
      <c r="D277" s="236"/>
      <c r="H277" s="144"/>
    </row>
    <row r="278">
      <c r="C278" s="235"/>
      <c r="D278" s="236"/>
      <c r="H278" s="144"/>
    </row>
    <row r="279">
      <c r="C279" s="235"/>
      <c r="D279" s="236"/>
      <c r="H279" s="144"/>
    </row>
    <row r="280">
      <c r="C280" s="235"/>
      <c r="D280" s="236"/>
      <c r="H280" s="144"/>
    </row>
    <row r="281">
      <c r="C281" s="235"/>
      <c r="D281" s="236"/>
      <c r="H281" s="144"/>
    </row>
    <row r="282">
      <c r="C282" s="235"/>
      <c r="D282" s="236"/>
      <c r="H282" s="144"/>
    </row>
    <row r="283">
      <c r="C283" s="235"/>
      <c r="D283" s="236"/>
      <c r="H283" s="144"/>
    </row>
    <row r="284">
      <c r="C284" s="235"/>
      <c r="D284" s="236"/>
      <c r="H284" s="144"/>
    </row>
    <row r="285">
      <c r="C285" s="235"/>
      <c r="D285" s="236"/>
      <c r="H285" s="144"/>
    </row>
    <row r="286">
      <c r="C286" s="235"/>
      <c r="D286" s="236"/>
      <c r="H286" s="144"/>
    </row>
    <row r="287">
      <c r="C287" s="235"/>
      <c r="D287" s="236"/>
      <c r="H287" s="144"/>
    </row>
    <row r="288">
      <c r="C288" s="235"/>
      <c r="D288" s="236"/>
      <c r="H288" s="144"/>
    </row>
    <row r="289">
      <c r="C289" s="235"/>
      <c r="D289" s="236"/>
      <c r="H289" s="144"/>
    </row>
    <row r="290">
      <c r="C290" s="235"/>
      <c r="D290" s="236"/>
      <c r="H290" s="144"/>
    </row>
    <row r="291">
      <c r="C291" s="235"/>
      <c r="D291" s="236"/>
      <c r="H291" s="144"/>
    </row>
    <row r="292">
      <c r="C292" s="235"/>
      <c r="D292" s="236"/>
      <c r="H292" s="144"/>
    </row>
    <row r="293">
      <c r="C293" s="235"/>
      <c r="D293" s="236"/>
      <c r="H293" s="144"/>
    </row>
    <row r="294">
      <c r="C294" s="235"/>
      <c r="D294" s="236"/>
      <c r="H294" s="144"/>
    </row>
    <row r="295">
      <c r="C295" s="235"/>
      <c r="D295" s="236"/>
      <c r="H295" s="144"/>
    </row>
    <row r="296">
      <c r="C296" s="235"/>
      <c r="D296" s="236"/>
      <c r="H296" s="144"/>
    </row>
    <row r="297">
      <c r="C297" s="235"/>
      <c r="D297" s="236"/>
      <c r="H297" s="144"/>
    </row>
    <row r="298">
      <c r="C298" s="235"/>
      <c r="D298" s="236"/>
      <c r="H298" s="144"/>
    </row>
    <row r="299">
      <c r="C299" s="235"/>
      <c r="D299" s="236"/>
      <c r="H299" s="144"/>
    </row>
    <row r="300">
      <c r="C300" s="235"/>
      <c r="D300" s="236"/>
      <c r="H300" s="144"/>
    </row>
    <row r="301">
      <c r="C301" s="235"/>
      <c r="D301" s="236"/>
      <c r="H301" s="144"/>
    </row>
    <row r="302">
      <c r="C302" s="235"/>
      <c r="D302" s="236"/>
      <c r="H302" s="144"/>
    </row>
    <row r="303">
      <c r="C303" s="235"/>
      <c r="D303" s="236"/>
      <c r="H303" s="144"/>
    </row>
    <row r="304">
      <c r="C304" s="235"/>
      <c r="D304" s="236"/>
      <c r="H304" s="144"/>
    </row>
    <row r="305">
      <c r="C305" s="235"/>
      <c r="D305" s="236"/>
      <c r="H305" s="144"/>
    </row>
    <row r="306">
      <c r="C306" s="235"/>
      <c r="D306" s="236"/>
      <c r="H306" s="144"/>
    </row>
    <row r="307">
      <c r="C307" s="235"/>
      <c r="D307" s="236"/>
      <c r="H307" s="144"/>
    </row>
    <row r="308">
      <c r="C308" s="235"/>
      <c r="D308" s="236"/>
      <c r="H308" s="144"/>
    </row>
    <row r="309">
      <c r="C309" s="235"/>
      <c r="D309" s="236"/>
      <c r="H309" s="144"/>
    </row>
    <row r="310">
      <c r="C310" s="235"/>
      <c r="D310" s="236"/>
      <c r="H310" s="144"/>
    </row>
    <row r="311">
      <c r="C311" s="235"/>
      <c r="D311" s="236"/>
      <c r="H311" s="144"/>
    </row>
    <row r="312">
      <c r="C312" s="235"/>
      <c r="D312" s="236"/>
      <c r="H312" s="144"/>
    </row>
    <row r="313">
      <c r="C313" s="235"/>
      <c r="D313" s="236"/>
      <c r="H313" s="144"/>
    </row>
    <row r="314">
      <c r="C314" s="235"/>
      <c r="D314" s="236"/>
      <c r="H314" s="144"/>
    </row>
    <row r="315">
      <c r="C315" s="235"/>
      <c r="D315" s="236"/>
      <c r="H315" s="144"/>
    </row>
    <row r="316">
      <c r="C316" s="235"/>
      <c r="D316" s="236"/>
      <c r="H316" s="144"/>
    </row>
    <row r="317">
      <c r="C317" s="235"/>
      <c r="D317" s="236"/>
      <c r="H317" s="144"/>
    </row>
    <row r="318">
      <c r="C318" s="235"/>
      <c r="D318" s="236"/>
      <c r="H318" s="144"/>
    </row>
    <row r="319">
      <c r="C319" s="235"/>
      <c r="D319" s="236"/>
      <c r="H319" s="144"/>
    </row>
    <row r="320">
      <c r="C320" s="235"/>
      <c r="D320" s="236"/>
      <c r="H320" s="144"/>
    </row>
    <row r="321">
      <c r="C321" s="235"/>
      <c r="D321" s="236"/>
      <c r="H321" s="144"/>
    </row>
    <row r="322">
      <c r="C322" s="235"/>
      <c r="D322" s="236"/>
      <c r="H322" s="144"/>
    </row>
    <row r="323">
      <c r="C323" s="235"/>
      <c r="D323" s="236"/>
      <c r="H323" s="144"/>
    </row>
    <row r="324">
      <c r="C324" s="235"/>
      <c r="D324" s="236"/>
      <c r="H324" s="144"/>
    </row>
    <row r="325">
      <c r="C325" s="235"/>
      <c r="D325" s="236"/>
      <c r="H325" s="144"/>
    </row>
    <row r="326">
      <c r="C326" s="235"/>
      <c r="D326" s="236"/>
      <c r="H326" s="144"/>
    </row>
    <row r="327">
      <c r="C327" s="235"/>
      <c r="D327" s="236"/>
      <c r="H327" s="144"/>
    </row>
    <row r="328">
      <c r="C328" s="235"/>
      <c r="D328" s="236"/>
      <c r="H328" s="144"/>
    </row>
    <row r="329">
      <c r="C329" s="235"/>
      <c r="D329" s="236"/>
      <c r="H329" s="144"/>
    </row>
    <row r="330">
      <c r="C330" s="235"/>
      <c r="D330" s="236"/>
      <c r="H330" s="144"/>
    </row>
    <row r="331">
      <c r="C331" s="235"/>
      <c r="D331" s="236"/>
      <c r="H331" s="144"/>
    </row>
    <row r="332">
      <c r="C332" s="235"/>
      <c r="D332" s="236"/>
      <c r="H332" s="144"/>
    </row>
    <row r="333">
      <c r="C333" s="235"/>
      <c r="D333" s="236"/>
      <c r="H333" s="144"/>
    </row>
    <row r="334">
      <c r="C334" s="235"/>
      <c r="D334" s="236"/>
      <c r="H334" s="144"/>
    </row>
    <row r="335">
      <c r="C335" s="235"/>
      <c r="D335" s="236"/>
      <c r="H335" s="144"/>
    </row>
    <row r="336">
      <c r="C336" s="235"/>
      <c r="D336" s="236"/>
      <c r="H336" s="144"/>
    </row>
    <row r="337">
      <c r="C337" s="235"/>
      <c r="D337" s="236"/>
      <c r="H337" s="144"/>
    </row>
    <row r="338">
      <c r="C338" s="235"/>
      <c r="D338" s="236"/>
      <c r="H338" s="144"/>
    </row>
    <row r="339">
      <c r="C339" s="235"/>
      <c r="D339" s="236"/>
      <c r="H339" s="144"/>
    </row>
    <row r="340">
      <c r="C340" s="235"/>
      <c r="D340" s="236"/>
      <c r="H340" s="144"/>
    </row>
    <row r="341">
      <c r="C341" s="235"/>
      <c r="D341" s="236"/>
      <c r="H341" s="144"/>
    </row>
    <row r="342">
      <c r="C342" s="235"/>
      <c r="D342" s="236"/>
      <c r="H342" s="144"/>
    </row>
    <row r="343">
      <c r="C343" s="235"/>
      <c r="D343" s="236"/>
      <c r="H343" s="144"/>
    </row>
    <row r="344">
      <c r="C344" s="235"/>
      <c r="D344" s="236"/>
      <c r="H344" s="144"/>
    </row>
    <row r="345">
      <c r="C345" s="235"/>
      <c r="D345" s="236"/>
      <c r="H345" s="144"/>
    </row>
    <row r="346">
      <c r="C346" s="235"/>
      <c r="D346" s="236"/>
      <c r="H346" s="144"/>
    </row>
    <row r="347">
      <c r="C347" s="235"/>
      <c r="D347" s="236"/>
      <c r="H347" s="144"/>
    </row>
    <row r="348">
      <c r="C348" s="235"/>
      <c r="D348" s="236"/>
      <c r="H348" s="144"/>
    </row>
    <row r="349">
      <c r="C349" s="235"/>
      <c r="D349" s="236"/>
      <c r="H349" s="144"/>
    </row>
    <row r="350">
      <c r="C350" s="235"/>
      <c r="D350" s="236"/>
      <c r="H350" s="144"/>
    </row>
    <row r="351">
      <c r="C351" s="235"/>
      <c r="D351" s="236"/>
      <c r="H351" s="144"/>
    </row>
    <row r="352">
      <c r="C352" s="235"/>
      <c r="D352" s="236"/>
      <c r="H352" s="144"/>
    </row>
    <row r="353">
      <c r="C353" s="235"/>
      <c r="D353" s="236"/>
      <c r="H353" s="144"/>
    </row>
    <row r="354">
      <c r="C354" s="235"/>
      <c r="D354" s="236"/>
      <c r="H354" s="144"/>
    </row>
    <row r="355">
      <c r="C355" s="235"/>
      <c r="D355" s="236"/>
      <c r="H355" s="144"/>
    </row>
    <row r="356">
      <c r="C356" s="235"/>
      <c r="D356" s="236"/>
      <c r="H356" s="144"/>
    </row>
    <row r="357">
      <c r="C357" s="235"/>
      <c r="D357" s="236"/>
      <c r="H357" s="144"/>
    </row>
    <row r="358">
      <c r="C358" s="235"/>
      <c r="D358" s="236"/>
      <c r="H358" s="144"/>
    </row>
    <row r="359">
      <c r="C359" s="235"/>
      <c r="D359" s="236"/>
      <c r="H359" s="144"/>
    </row>
    <row r="360">
      <c r="C360" s="235"/>
      <c r="D360" s="236"/>
      <c r="H360" s="144"/>
    </row>
    <row r="361">
      <c r="C361" s="235"/>
      <c r="D361" s="236"/>
      <c r="H361" s="144"/>
    </row>
    <row r="362">
      <c r="C362" s="235"/>
      <c r="D362" s="236"/>
      <c r="H362" s="144"/>
    </row>
    <row r="363">
      <c r="C363" s="235"/>
      <c r="D363" s="236"/>
      <c r="H363" s="144"/>
    </row>
    <row r="364">
      <c r="C364" s="235"/>
      <c r="D364" s="236"/>
      <c r="H364" s="144"/>
    </row>
    <row r="365">
      <c r="C365" s="235"/>
      <c r="D365" s="236"/>
      <c r="H365" s="144"/>
    </row>
    <row r="366">
      <c r="C366" s="235"/>
      <c r="D366" s="236"/>
      <c r="H366" s="144"/>
    </row>
    <row r="367">
      <c r="C367" s="235"/>
      <c r="D367" s="236"/>
      <c r="H367" s="144"/>
    </row>
    <row r="368">
      <c r="C368" s="235"/>
      <c r="D368" s="236"/>
      <c r="H368" s="144"/>
    </row>
    <row r="369">
      <c r="C369" s="235"/>
      <c r="D369" s="236"/>
      <c r="H369" s="144"/>
    </row>
    <row r="370">
      <c r="C370" s="235"/>
      <c r="D370" s="236"/>
      <c r="H370" s="144"/>
    </row>
    <row r="371">
      <c r="C371" s="235"/>
      <c r="D371" s="236"/>
      <c r="H371" s="144"/>
    </row>
    <row r="372">
      <c r="C372" s="235"/>
      <c r="D372" s="236"/>
      <c r="H372" s="144"/>
    </row>
    <row r="373">
      <c r="C373" s="235"/>
      <c r="D373" s="236"/>
      <c r="H373" s="144"/>
    </row>
    <row r="374">
      <c r="C374" s="235"/>
      <c r="D374" s="236"/>
      <c r="H374" s="144"/>
    </row>
    <row r="375">
      <c r="C375" s="235"/>
      <c r="D375" s="236"/>
      <c r="H375" s="144"/>
    </row>
    <row r="376">
      <c r="C376" s="235"/>
      <c r="D376" s="236"/>
      <c r="H376" s="144"/>
    </row>
    <row r="377">
      <c r="C377" s="235"/>
      <c r="D377" s="236"/>
      <c r="H377" s="144"/>
    </row>
    <row r="378">
      <c r="C378" s="235"/>
      <c r="D378" s="236"/>
      <c r="H378" s="144"/>
    </row>
    <row r="379">
      <c r="C379" s="235"/>
      <c r="D379" s="236"/>
      <c r="H379" s="144"/>
    </row>
    <row r="380">
      <c r="C380" s="235"/>
      <c r="D380" s="236"/>
      <c r="H380" s="144"/>
    </row>
    <row r="381">
      <c r="C381" s="235"/>
      <c r="D381" s="236"/>
      <c r="H381" s="144"/>
    </row>
    <row r="382">
      <c r="C382" s="235"/>
      <c r="D382" s="236"/>
      <c r="H382" s="144"/>
    </row>
    <row r="383">
      <c r="C383" s="235"/>
      <c r="D383" s="236"/>
      <c r="H383" s="144"/>
    </row>
    <row r="384">
      <c r="C384" s="235"/>
      <c r="D384" s="236"/>
      <c r="H384" s="144"/>
    </row>
    <row r="385">
      <c r="C385" s="235"/>
      <c r="D385" s="236"/>
      <c r="H385" s="144"/>
    </row>
    <row r="386">
      <c r="C386" s="235"/>
      <c r="D386" s="236"/>
      <c r="H386" s="144"/>
    </row>
    <row r="387">
      <c r="C387" s="235"/>
      <c r="D387" s="236"/>
      <c r="H387" s="144"/>
    </row>
    <row r="388">
      <c r="C388" s="235"/>
      <c r="D388" s="236"/>
      <c r="H388" s="144"/>
    </row>
    <row r="389">
      <c r="C389" s="235"/>
      <c r="D389" s="236"/>
      <c r="H389" s="144"/>
    </row>
    <row r="390">
      <c r="C390" s="235"/>
      <c r="D390" s="236"/>
      <c r="H390" s="144"/>
    </row>
    <row r="391">
      <c r="C391" s="235"/>
      <c r="D391" s="236"/>
      <c r="H391" s="144"/>
    </row>
    <row r="392">
      <c r="C392" s="235"/>
      <c r="D392" s="236"/>
      <c r="H392" s="144"/>
    </row>
    <row r="393">
      <c r="C393" s="235"/>
      <c r="D393" s="236"/>
      <c r="H393" s="144"/>
    </row>
    <row r="394">
      <c r="C394" s="235"/>
      <c r="D394" s="236"/>
      <c r="H394" s="144"/>
    </row>
    <row r="395">
      <c r="C395" s="235"/>
      <c r="D395" s="236"/>
      <c r="H395" s="144"/>
    </row>
    <row r="396">
      <c r="C396" s="235"/>
      <c r="D396" s="236"/>
      <c r="H396" s="144"/>
    </row>
    <row r="397">
      <c r="C397" s="235"/>
      <c r="D397" s="236"/>
      <c r="H397" s="144"/>
    </row>
    <row r="398">
      <c r="C398" s="235"/>
      <c r="D398" s="236"/>
      <c r="H398" s="144"/>
    </row>
    <row r="399">
      <c r="C399" s="235"/>
      <c r="D399" s="236"/>
      <c r="H399" s="144"/>
    </row>
    <row r="400">
      <c r="C400" s="235"/>
      <c r="D400" s="236"/>
      <c r="H400" s="144"/>
    </row>
    <row r="401">
      <c r="C401" s="235"/>
      <c r="D401" s="236"/>
      <c r="H401" s="144"/>
    </row>
    <row r="402">
      <c r="C402" s="235"/>
      <c r="D402" s="236"/>
      <c r="H402" s="144"/>
    </row>
    <row r="403">
      <c r="C403" s="235"/>
      <c r="D403" s="236"/>
      <c r="H403" s="144"/>
    </row>
    <row r="404">
      <c r="C404" s="235"/>
      <c r="D404" s="236"/>
      <c r="H404" s="144"/>
    </row>
    <row r="405">
      <c r="C405" s="235"/>
      <c r="D405" s="236"/>
      <c r="H405" s="144"/>
    </row>
    <row r="406">
      <c r="C406" s="235"/>
      <c r="D406" s="236"/>
      <c r="H406" s="144"/>
    </row>
    <row r="407">
      <c r="C407" s="235"/>
      <c r="D407" s="236"/>
      <c r="H407" s="144"/>
    </row>
    <row r="408">
      <c r="C408" s="235"/>
      <c r="D408" s="236"/>
      <c r="H408" s="144"/>
    </row>
    <row r="409">
      <c r="C409" s="235"/>
      <c r="D409" s="236"/>
      <c r="H409" s="144"/>
    </row>
    <row r="410">
      <c r="C410" s="235"/>
      <c r="D410" s="236"/>
      <c r="H410" s="144"/>
    </row>
    <row r="411">
      <c r="C411" s="235"/>
      <c r="D411" s="236"/>
      <c r="H411" s="144"/>
    </row>
    <row r="412">
      <c r="C412" s="235"/>
      <c r="D412" s="236"/>
      <c r="H412" s="144"/>
    </row>
    <row r="413">
      <c r="C413" s="235"/>
      <c r="D413" s="236"/>
      <c r="H413" s="144"/>
    </row>
    <row r="414">
      <c r="C414" s="235"/>
      <c r="D414" s="236"/>
      <c r="H414" s="144"/>
    </row>
    <row r="415">
      <c r="C415" s="235"/>
      <c r="D415" s="236"/>
      <c r="H415" s="144"/>
    </row>
    <row r="416">
      <c r="C416" s="235"/>
      <c r="D416" s="236"/>
      <c r="H416" s="144"/>
    </row>
    <row r="417">
      <c r="C417" s="235"/>
      <c r="D417" s="236"/>
      <c r="H417" s="144"/>
    </row>
    <row r="418">
      <c r="C418" s="235"/>
      <c r="D418" s="236"/>
      <c r="H418" s="144"/>
    </row>
    <row r="419">
      <c r="C419" s="235"/>
      <c r="D419" s="236"/>
      <c r="H419" s="144"/>
    </row>
    <row r="420">
      <c r="C420" s="235"/>
      <c r="D420" s="236"/>
      <c r="H420" s="144"/>
    </row>
    <row r="421">
      <c r="C421" s="235"/>
      <c r="D421" s="236"/>
      <c r="H421" s="144"/>
    </row>
    <row r="422">
      <c r="C422" s="235"/>
      <c r="D422" s="236"/>
      <c r="H422" s="144"/>
    </row>
    <row r="423">
      <c r="C423" s="235"/>
      <c r="D423" s="236"/>
      <c r="H423" s="144"/>
    </row>
    <row r="424">
      <c r="C424" s="235"/>
      <c r="D424" s="236"/>
      <c r="H424" s="144"/>
    </row>
    <row r="425">
      <c r="C425" s="235"/>
      <c r="D425" s="236"/>
      <c r="H425" s="144"/>
    </row>
    <row r="426">
      <c r="C426" s="235"/>
      <c r="D426" s="236"/>
      <c r="H426" s="144"/>
    </row>
    <row r="427">
      <c r="C427" s="235"/>
      <c r="D427" s="236"/>
      <c r="H427" s="144"/>
    </row>
    <row r="428">
      <c r="C428" s="235"/>
      <c r="D428" s="236"/>
      <c r="H428" s="144"/>
    </row>
    <row r="429">
      <c r="C429" s="235"/>
      <c r="D429" s="236"/>
      <c r="H429" s="144"/>
    </row>
    <row r="430">
      <c r="C430" s="235"/>
      <c r="D430" s="236"/>
      <c r="H430" s="144"/>
    </row>
    <row r="431">
      <c r="C431" s="235"/>
      <c r="D431" s="236"/>
      <c r="H431" s="144"/>
    </row>
    <row r="432">
      <c r="C432" s="235"/>
      <c r="D432" s="236"/>
      <c r="H432" s="144"/>
    </row>
    <row r="433">
      <c r="C433" s="235"/>
      <c r="D433" s="236"/>
      <c r="H433" s="144"/>
    </row>
    <row r="434">
      <c r="C434" s="235"/>
      <c r="D434" s="236"/>
      <c r="H434" s="144"/>
    </row>
    <row r="435">
      <c r="C435" s="235"/>
      <c r="D435" s="236"/>
      <c r="H435" s="144"/>
    </row>
    <row r="436">
      <c r="C436" s="235"/>
      <c r="D436" s="236"/>
      <c r="H436" s="144"/>
    </row>
    <row r="437">
      <c r="C437" s="235"/>
      <c r="D437" s="236"/>
      <c r="H437" s="144"/>
    </row>
    <row r="438">
      <c r="C438" s="235"/>
      <c r="D438" s="236"/>
      <c r="H438" s="144"/>
    </row>
    <row r="439">
      <c r="C439" s="235"/>
      <c r="D439" s="236"/>
      <c r="H439" s="144"/>
    </row>
    <row r="440">
      <c r="C440" s="235"/>
      <c r="D440" s="236"/>
      <c r="H440" s="144"/>
    </row>
    <row r="441">
      <c r="C441" s="235"/>
      <c r="D441" s="236"/>
      <c r="H441" s="144"/>
    </row>
    <row r="442">
      <c r="C442" s="235"/>
      <c r="D442" s="236"/>
      <c r="H442" s="144"/>
    </row>
    <row r="443">
      <c r="C443" s="235"/>
      <c r="D443" s="236"/>
      <c r="H443" s="144"/>
    </row>
    <row r="444">
      <c r="C444" s="235"/>
      <c r="D444" s="236"/>
      <c r="H444" s="144"/>
    </row>
    <row r="445">
      <c r="C445" s="235"/>
      <c r="D445" s="236"/>
      <c r="H445" s="144"/>
    </row>
    <row r="446">
      <c r="C446" s="235"/>
      <c r="D446" s="236"/>
      <c r="H446" s="144"/>
    </row>
    <row r="447">
      <c r="C447" s="235"/>
      <c r="D447" s="236"/>
      <c r="H447" s="144"/>
    </row>
    <row r="448">
      <c r="C448" s="235"/>
      <c r="D448" s="236"/>
      <c r="H448" s="144"/>
    </row>
    <row r="449">
      <c r="C449" s="235"/>
      <c r="D449" s="236"/>
      <c r="H449" s="144"/>
    </row>
    <row r="450">
      <c r="C450" s="235"/>
      <c r="D450" s="236"/>
      <c r="H450" s="144"/>
    </row>
    <row r="451">
      <c r="C451" s="235"/>
      <c r="D451" s="236"/>
      <c r="H451" s="144"/>
    </row>
    <row r="452">
      <c r="C452" s="235"/>
      <c r="D452" s="236"/>
      <c r="H452" s="144"/>
    </row>
    <row r="453">
      <c r="C453" s="235"/>
      <c r="D453" s="236"/>
      <c r="H453" s="144"/>
    </row>
    <row r="454">
      <c r="C454" s="235"/>
      <c r="D454" s="236"/>
      <c r="H454" s="144"/>
    </row>
    <row r="455">
      <c r="C455" s="235"/>
      <c r="D455" s="236"/>
      <c r="H455" s="144"/>
    </row>
    <row r="456">
      <c r="C456" s="235"/>
      <c r="D456" s="236"/>
      <c r="H456" s="144"/>
    </row>
    <row r="457">
      <c r="C457" s="235"/>
      <c r="D457" s="236"/>
      <c r="H457" s="144"/>
    </row>
    <row r="458">
      <c r="C458" s="235"/>
      <c r="D458" s="236"/>
      <c r="H458" s="144"/>
    </row>
    <row r="459">
      <c r="C459" s="235"/>
      <c r="D459" s="236"/>
      <c r="H459" s="144"/>
    </row>
    <row r="460">
      <c r="C460" s="235"/>
      <c r="D460" s="236"/>
      <c r="H460" s="144"/>
    </row>
    <row r="461">
      <c r="C461" s="235"/>
      <c r="D461" s="236"/>
      <c r="H461" s="144"/>
    </row>
    <row r="462">
      <c r="C462" s="235"/>
      <c r="D462" s="236"/>
      <c r="H462" s="144"/>
    </row>
    <row r="463">
      <c r="C463" s="235"/>
      <c r="D463" s="236"/>
      <c r="H463" s="144"/>
    </row>
    <row r="464">
      <c r="C464" s="235"/>
      <c r="D464" s="236"/>
      <c r="H464" s="144"/>
    </row>
    <row r="465">
      <c r="C465" s="235"/>
      <c r="D465" s="236"/>
      <c r="H465" s="144"/>
    </row>
    <row r="466">
      <c r="C466" s="235"/>
      <c r="D466" s="236"/>
      <c r="H466" s="144"/>
    </row>
    <row r="467">
      <c r="C467" s="235"/>
      <c r="D467" s="236"/>
      <c r="H467" s="144"/>
    </row>
    <row r="468">
      <c r="C468" s="235"/>
      <c r="D468" s="236"/>
      <c r="H468" s="144"/>
    </row>
    <row r="469">
      <c r="C469" s="235"/>
      <c r="D469" s="236"/>
      <c r="H469" s="144"/>
    </row>
    <row r="470">
      <c r="C470" s="235"/>
      <c r="D470" s="236"/>
      <c r="H470" s="144"/>
    </row>
    <row r="471">
      <c r="C471" s="235"/>
      <c r="D471" s="236"/>
      <c r="H471" s="144"/>
    </row>
    <row r="472">
      <c r="C472" s="235"/>
      <c r="D472" s="236"/>
      <c r="H472" s="144"/>
    </row>
    <row r="473">
      <c r="C473" s="235"/>
      <c r="D473" s="236"/>
      <c r="H473" s="144"/>
    </row>
    <row r="474">
      <c r="C474" s="235"/>
      <c r="D474" s="236"/>
      <c r="H474" s="144"/>
    </row>
    <row r="475">
      <c r="C475" s="235"/>
      <c r="D475" s="236"/>
      <c r="H475" s="144"/>
    </row>
    <row r="476">
      <c r="C476" s="235"/>
      <c r="D476" s="236"/>
      <c r="H476" s="144"/>
    </row>
    <row r="477">
      <c r="C477" s="235"/>
      <c r="D477" s="236"/>
      <c r="H477" s="144"/>
    </row>
    <row r="478">
      <c r="C478" s="235"/>
      <c r="D478" s="236"/>
      <c r="H478" s="144"/>
    </row>
    <row r="479">
      <c r="C479" s="235"/>
      <c r="D479" s="236"/>
      <c r="H479" s="144"/>
    </row>
    <row r="480">
      <c r="C480" s="235"/>
      <c r="D480" s="236"/>
      <c r="H480" s="144"/>
    </row>
    <row r="481">
      <c r="C481" s="235"/>
      <c r="D481" s="236"/>
      <c r="H481" s="144"/>
    </row>
    <row r="482">
      <c r="C482" s="235"/>
      <c r="D482" s="236"/>
      <c r="H482" s="144"/>
    </row>
    <row r="483">
      <c r="C483" s="235"/>
      <c r="D483" s="236"/>
      <c r="H483" s="144"/>
    </row>
    <row r="484">
      <c r="C484" s="235"/>
      <c r="D484" s="236"/>
      <c r="H484" s="144"/>
    </row>
    <row r="485">
      <c r="C485" s="235"/>
      <c r="D485" s="236"/>
      <c r="H485" s="144"/>
    </row>
    <row r="486">
      <c r="C486" s="235"/>
      <c r="D486" s="236"/>
      <c r="H486" s="144"/>
    </row>
    <row r="487">
      <c r="C487" s="235"/>
      <c r="D487" s="236"/>
      <c r="H487" s="144"/>
    </row>
    <row r="488">
      <c r="C488" s="235"/>
      <c r="D488" s="236"/>
      <c r="H488" s="144"/>
    </row>
    <row r="489">
      <c r="C489" s="235"/>
      <c r="D489" s="236"/>
      <c r="H489" s="144"/>
    </row>
    <row r="490">
      <c r="C490" s="235"/>
      <c r="D490" s="236"/>
      <c r="H490" s="144"/>
    </row>
    <row r="491">
      <c r="C491" s="235"/>
      <c r="D491" s="236"/>
      <c r="H491" s="144"/>
    </row>
    <row r="492">
      <c r="C492" s="235"/>
      <c r="D492" s="236"/>
      <c r="H492" s="144"/>
    </row>
    <row r="493">
      <c r="C493" s="235"/>
      <c r="D493" s="236"/>
      <c r="H493" s="144"/>
    </row>
    <row r="494">
      <c r="C494" s="235"/>
      <c r="D494" s="236"/>
      <c r="H494" s="144"/>
    </row>
    <row r="495">
      <c r="C495" s="235"/>
      <c r="D495" s="236"/>
      <c r="H495" s="144"/>
    </row>
    <row r="496">
      <c r="C496" s="235"/>
      <c r="D496" s="236"/>
      <c r="H496" s="144"/>
    </row>
    <row r="497">
      <c r="C497" s="235"/>
      <c r="D497" s="236"/>
      <c r="H497" s="144"/>
    </row>
    <row r="498">
      <c r="C498" s="235"/>
      <c r="D498" s="236"/>
      <c r="H498" s="144"/>
    </row>
    <row r="499">
      <c r="C499" s="235"/>
      <c r="D499" s="236"/>
      <c r="H499" s="144"/>
    </row>
    <row r="500">
      <c r="C500" s="235"/>
      <c r="D500" s="236"/>
      <c r="H500" s="144"/>
    </row>
    <row r="501">
      <c r="C501" s="235"/>
      <c r="D501" s="236"/>
      <c r="H501" s="144"/>
    </row>
    <row r="502">
      <c r="C502" s="235"/>
      <c r="D502" s="236"/>
      <c r="H502" s="144"/>
    </row>
    <row r="503">
      <c r="C503" s="235"/>
      <c r="D503" s="236"/>
      <c r="H503" s="144"/>
    </row>
    <row r="504">
      <c r="C504" s="235"/>
      <c r="D504" s="236"/>
      <c r="H504" s="144"/>
    </row>
    <row r="505">
      <c r="C505" s="235"/>
      <c r="D505" s="236"/>
      <c r="H505" s="144"/>
    </row>
    <row r="506">
      <c r="C506" s="235"/>
      <c r="D506" s="236"/>
      <c r="H506" s="144"/>
    </row>
    <row r="507">
      <c r="C507" s="235"/>
      <c r="D507" s="236"/>
      <c r="H507" s="144"/>
    </row>
    <row r="508">
      <c r="C508" s="235"/>
      <c r="D508" s="236"/>
      <c r="H508" s="144"/>
    </row>
    <row r="509">
      <c r="C509" s="235"/>
      <c r="D509" s="236"/>
      <c r="H509" s="144"/>
    </row>
    <row r="510">
      <c r="C510" s="235"/>
      <c r="D510" s="236"/>
      <c r="H510" s="144"/>
    </row>
    <row r="511">
      <c r="C511" s="235"/>
      <c r="D511" s="236"/>
      <c r="H511" s="144"/>
    </row>
    <row r="512">
      <c r="C512" s="235"/>
      <c r="D512" s="236"/>
      <c r="H512" s="144"/>
    </row>
    <row r="513">
      <c r="C513" s="235"/>
      <c r="D513" s="236"/>
      <c r="H513" s="144"/>
    </row>
    <row r="514">
      <c r="C514" s="235"/>
      <c r="D514" s="236"/>
      <c r="H514" s="144"/>
    </row>
    <row r="515">
      <c r="C515" s="235"/>
      <c r="D515" s="236"/>
      <c r="H515" s="144"/>
    </row>
    <row r="516">
      <c r="C516" s="235"/>
      <c r="D516" s="236"/>
      <c r="H516" s="144"/>
    </row>
    <row r="517">
      <c r="C517" s="235"/>
      <c r="D517" s="236"/>
      <c r="H517" s="144"/>
    </row>
    <row r="518">
      <c r="C518" s="235"/>
      <c r="D518" s="236"/>
      <c r="H518" s="144"/>
    </row>
    <row r="519">
      <c r="C519" s="235"/>
      <c r="D519" s="236"/>
      <c r="H519" s="144"/>
    </row>
    <row r="520">
      <c r="C520" s="235"/>
      <c r="D520" s="236"/>
      <c r="H520" s="144"/>
    </row>
    <row r="521">
      <c r="C521" s="235"/>
      <c r="D521" s="236"/>
      <c r="H521" s="144"/>
    </row>
    <row r="522">
      <c r="C522" s="235"/>
      <c r="D522" s="236"/>
      <c r="H522" s="144"/>
    </row>
    <row r="523">
      <c r="C523" s="235"/>
      <c r="D523" s="236"/>
      <c r="H523" s="144"/>
    </row>
    <row r="524">
      <c r="C524" s="235"/>
      <c r="D524" s="236"/>
      <c r="H524" s="144"/>
    </row>
    <row r="525">
      <c r="C525" s="235"/>
      <c r="D525" s="236"/>
      <c r="H525" s="144"/>
    </row>
    <row r="526">
      <c r="C526" s="235"/>
      <c r="D526" s="236"/>
      <c r="H526" s="144"/>
    </row>
    <row r="527">
      <c r="C527" s="235"/>
      <c r="D527" s="236"/>
      <c r="H527" s="144"/>
    </row>
    <row r="528">
      <c r="C528" s="235"/>
      <c r="D528" s="236"/>
      <c r="H528" s="144"/>
    </row>
    <row r="529">
      <c r="C529" s="235"/>
      <c r="D529" s="236"/>
      <c r="H529" s="144"/>
    </row>
    <row r="530">
      <c r="C530" s="235"/>
      <c r="D530" s="236"/>
      <c r="H530" s="144"/>
    </row>
    <row r="531">
      <c r="C531" s="235"/>
      <c r="D531" s="236"/>
      <c r="H531" s="144"/>
    </row>
    <row r="532">
      <c r="C532" s="235"/>
      <c r="D532" s="236"/>
      <c r="H532" s="144"/>
    </row>
    <row r="533">
      <c r="C533" s="235"/>
      <c r="D533" s="236"/>
      <c r="H533" s="144"/>
    </row>
    <row r="534">
      <c r="C534" s="235"/>
      <c r="D534" s="236"/>
      <c r="H534" s="144"/>
    </row>
    <row r="535">
      <c r="C535" s="235"/>
      <c r="D535" s="236"/>
      <c r="H535" s="144"/>
    </row>
    <row r="536">
      <c r="C536" s="235"/>
      <c r="D536" s="236"/>
      <c r="H536" s="144"/>
    </row>
    <row r="537">
      <c r="C537" s="235"/>
      <c r="D537" s="236"/>
      <c r="H537" s="144"/>
    </row>
    <row r="538">
      <c r="C538" s="235"/>
      <c r="D538" s="236"/>
      <c r="H538" s="144"/>
    </row>
    <row r="539">
      <c r="C539" s="235"/>
      <c r="D539" s="236"/>
      <c r="H539" s="144"/>
    </row>
    <row r="540">
      <c r="C540" s="235"/>
      <c r="D540" s="236"/>
      <c r="H540" s="144"/>
    </row>
    <row r="541">
      <c r="C541" s="235"/>
      <c r="D541" s="236"/>
      <c r="H541" s="144"/>
    </row>
    <row r="542">
      <c r="C542" s="235"/>
      <c r="D542" s="236"/>
      <c r="H542" s="144"/>
    </row>
    <row r="543">
      <c r="C543" s="235"/>
      <c r="D543" s="236"/>
      <c r="H543" s="144"/>
    </row>
    <row r="544">
      <c r="C544" s="235"/>
      <c r="D544" s="236"/>
      <c r="H544" s="144"/>
    </row>
    <row r="545">
      <c r="C545" s="235"/>
      <c r="D545" s="236"/>
      <c r="H545" s="144"/>
    </row>
    <row r="546">
      <c r="C546" s="235"/>
      <c r="D546" s="236"/>
      <c r="H546" s="144"/>
    </row>
    <row r="547">
      <c r="C547" s="235"/>
      <c r="D547" s="236"/>
      <c r="H547" s="144"/>
    </row>
    <row r="548">
      <c r="C548" s="235"/>
      <c r="D548" s="236"/>
      <c r="H548" s="144"/>
    </row>
    <row r="549">
      <c r="C549" s="235"/>
      <c r="D549" s="236"/>
      <c r="H549" s="144"/>
    </row>
    <row r="550">
      <c r="C550" s="235"/>
      <c r="D550" s="236"/>
      <c r="H550" s="144"/>
    </row>
    <row r="551">
      <c r="C551" s="235"/>
      <c r="D551" s="236"/>
      <c r="H551" s="144"/>
    </row>
    <row r="552">
      <c r="C552" s="235"/>
      <c r="D552" s="236"/>
      <c r="H552" s="144"/>
    </row>
    <row r="553">
      <c r="C553" s="235"/>
      <c r="D553" s="236"/>
      <c r="H553" s="144"/>
    </row>
    <row r="554">
      <c r="C554" s="235"/>
      <c r="D554" s="236"/>
      <c r="H554" s="144"/>
    </row>
    <row r="555">
      <c r="C555" s="235"/>
      <c r="D555" s="236"/>
      <c r="H555" s="144"/>
    </row>
    <row r="556">
      <c r="C556" s="235"/>
      <c r="D556" s="236"/>
      <c r="H556" s="144"/>
    </row>
    <row r="557">
      <c r="C557" s="235"/>
      <c r="D557" s="236"/>
      <c r="H557" s="144"/>
    </row>
    <row r="558">
      <c r="C558" s="235"/>
      <c r="D558" s="236"/>
      <c r="H558" s="144"/>
    </row>
    <row r="559">
      <c r="C559" s="235"/>
      <c r="D559" s="236"/>
      <c r="H559" s="144"/>
    </row>
    <row r="560">
      <c r="C560" s="235"/>
      <c r="D560" s="236"/>
      <c r="H560" s="144"/>
    </row>
    <row r="561">
      <c r="C561" s="235"/>
      <c r="D561" s="236"/>
      <c r="H561" s="144"/>
    </row>
    <row r="562">
      <c r="C562" s="235"/>
      <c r="D562" s="236"/>
      <c r="H562" s="144"/>
    </row>
    <row r="563">
      <c r="C563" s="235"/>
      <c r="D563" s="236"/>
      <c r="H563" s="144"/>
    </row>
    <row r="564">
      <c r="C564" s="235"/>
      <c r="D564" s="236"/>
      <c r="H564" s="144"/>
    </row>
    <row r="565">
      <c r="C565" s="235"/>
      <c r="D565" s="236"/>
      <c r="H565" s="144"/>
    </row>
    <row r="566">
      <c r="C566" s="235"/>
      <c r="D566" s="236"/>
      <c r="H566" s="144"/>
    </row>
    <row r="567">
      <c r="C567" s="235"/>
      <c r="D567" s="236"/>
      <c r="H567" s="144"/>
    </row>
    <row r="568">
      <c r="C568" s="235"/>
      <c r="D568" s="236"/>
      <c r="H568" s="144"/>
    </row>
    <row r="569">
      <c r="C569" s="235"/>
      <c r="D569" s="236"/>
      <c r="H569" s="144"/>
    </row>
    <row r="570">
      <c r="C570" s="235"/>
      <c r="D570" s="236"/>
      <c r="H570" s="144"/>
    </row>
    <row r="571">
      <c r="C571" s="235"/>
      <c r="D571" s="236"/>
      <c r="H571" s="144"/>
    </row>
    <row r="572">
      <c r="C572" s="235"/>
      <c r="D572" s="236"/>
      <c r="H572" s="144"/>
    </row>
    <row r="573">
      <c r="C573" s="235"/>
      <c r="D573" s="236"/>
      <c r="H573" s="144"/>
    </row>
    <row r="574">
      <c r="C574" s="235"/>
      <c r="D574" s="236"/>
      <c r="H574" s="144"/>
    </row>
    <row r="575">
      <c r="C575" s="235"/>
      <c r="D575" s="236"/>
      <c r="H575" s="144"/>
    </row>
    <row r="576">
      <c r="C576" s="235"/>
      <c r="D576" s="236"/>
      <c r="H576" s="144"/>
    </row>
    <row r="577">
      <c r="C577" s="235"/>
      <c r="D577" s="236"/>
      <c r="H577" s="144"/>
    </row>
    <row r="578">
      <c r="C578" s="235"/>
      <c r="D578" s="236"/>
      <c r="H578" s="144"/>
    </row>
    <row r="579">
      <c r="C579" s="235"/>
      <c r="D579" s="236"/>
      <c r="H579" s="144"/>
    </row>
    <row r="580">
      <c r="C580" s="235"/>
      <c r="D580" s="236"/>
      <c r="H580" s="144"/>
    </row>
    <row r="581">
      <c r="C581" s="235"/>
      <c r="D581" s="236"/>
      <c r="H581" s="144"/>
    </row>
    <row r="582">
      <c r="C582" s="235"/>
      <c r="D582" s="236"/>
      <c r="H582" s="144"/>
    </row>
    <row r="583">
      <c r="C583" s="235"/>
      <c r="D583" s="236"/>
      <c r="H583" s="144"/>
    </row>
    <row r="584">
      <c r="C584" s="235"/>
      <c r="D584" s="236"/>
      <c r="H584" s="144"/>
    </row>
    <row r="585">
      <c r="C585" s="235"/>
      <c r="D585" s="236"/>
      <c r="H585" s="144"/>
    </row>
    <row r="586">
      <c r="C586" s="235"/>
      <c r="D586" s="236"/>
      <c r="H586" s="144"/>
    </row>
    <row r="587">
      <c r="C587" s="235"/>
      <c r="D587" s="236"/>
      <c r="H587" s="144"/>
    </row>
    <row r="588">
      <c r="C588" s="235"/>
      <c r="D588" s="236"/>
      <c r="H588" s="144"/>
    </row>
    <row r="589">
      <c r="C589" s="235"/>
      <c r="D589" s="236"/>
      <c r="H589" s="144"/>
    </row>
    <row r="590">
      <c r="C590" s="235"/>
      <c r="D590" s="236"/>
      <c r="H590" s="144"/>
    </row>
    <row r="591">
      <c r="C591" s="235"/>
      <c r="D591" s="236"/>
      <c r="H591" s="144"/>
    </row>
    <row r="592">
      <c r="C592" s="235"/>
      <c r="D592" s="236"/>
      <c r="H592" s="144"/>
    </row>
    <row r="593">
      <c r="C593" s="235"/>
      <c r="D593" s="236"/>
      <c r="H593" s="144"/>
    </row>
    <row r="594">
      <c r="C594" s="235"/>
      <c r="D594" s="236"/>
      <c r="H594" s="144"/>
    </row>
    <row r="595">
      <c r="C595" s="235"/>
      <c r="D595" s="236"/>
      <c r="H595" s="144"/>
    </row>
    <row r="596">
      <c r="C596" s="235"/>
      <c r="D596" s="236"/>
      <c r="H596" s="144"/>
    </row>
    <row r="597">
      <c r="C597" s="235"/>
      <c r="D597" s="236"/>
      <c r="H597" s="144"/>
    </row>
    <row r="598">
      <c r="C598" s="235"/>
      <c r="D598" s="236"/>
      <c r="H598" s="144"/>
    </row>
    <row r="599">
      <c r="C599" s="235"/>
      <c r="D599" s="236"/>
      <c r="H599" s="144"/>
    </row>
    <row r="600">
      <c r="C600" s="235"/>
      <c r="D600" s="236"/>
      <c r="H600" s="144"/>
    </row>
    <row r="601">
      <c r="C601" s="235"/>
      <c r="D601" s="236"/>
      <c r="H601" s="144"/>
    </row>
    <row r="602">
      <c r="C602" s="235"/>
      <c r="D602" s="236"/>
      <c r="H602" s="144"/>
    </row>
    <row r="603">
      <c r="C603" s="235"/>
      <c r="D603" s="236"/>
      <c r="H603" s="144"/>
    </row>
    <row r="604">
      <c r="C604" s="235"/>
      <c r="D604" s="236"/>
      <c r="H604" s="144"/>
    </row>
    <row r="605">
      <c r="C605" s="235"/>
      <c r="D605" s="236"/>
      <c r="H605" s="144"/>
    </row>
    <row r="606">
      <c r="C606" s="235"/>
      <c r="D606" s="236"/>
      <c r="H606" s="144"/>
    </row>
    <row r="607">
      <c r="C607" s="235"/>
      <c r="D607" s="236"/>
      <c r="H607" s="144"/>
    </row>
    <row r="608">
      <c r="C608" s="235"/>
      <c r="D608" s="236"/>
      <c r="H608" s="144"/>
    </row>
    <row r="609">
      <c r="C609" s="235"/>
      <c r="D609" s="236"/>
      <c r="H609" s="144"/>
    </row>
    <row r="610">
      <c r="C610" s="235"/>
      <c r="D610" s="236"/>
      <c r="H610" s="144"/>
    </row>
    <row r="611">
      <c r="C611" s="235"/>
      <c r="D611" s="236"/>
      <c r="H611" s="144"/>
    </row>
    <row r="612">
      <c r="C612" s="235"/>
      <c r="D612" s="236"/>
      <c r="H612" s="144"/>
    </row>
    <row r="613">
      <c r="C613" s="235"/>
      <c r="D613" s="236"/>
      <c r="H613" s="144"/>
    </row>
    <row r="614">
      <c r="C614" s="235"/>
      <c r="D614" s="236"/>
      <c r="H614" s="144"/>
    </row>
    <row r="615">
      <c r="C615" s="235"/>
      <c r="D615" s="236"/>
      <c r="H615" s="144"/>
    </row>
    <row r="616">
      <c r="C616" s="235"/>
      <c r="D616" s="236"/>
      <c r="H616" s="144"/>
    </row>
    <row r="617">
      <c r="C617" s="235"/>
      <c r="D617" s="236"/>
      <c r="H617" s="144"/>
    </row>
    <row r="618">
      <c r="C618" s="235"/>
      <c r="D618" s="236"/>
      <c r="H618" s="144"/>
    </row>
    <row r="619">
      <c r="C619" s="235"/>
      <c r="D619" s="236"/>
      <c r="H619" s="144"/>
    </row>
    <row r="620">
      <c r="C620" s="235"/>
      <c r="D620" s="236"/>
      <c r="H620" s="144"/>
    </row>
    <row r="621">
      <c r="C621" s="235"/>
      <c r="D621" s="236"/>
      <c r="H621" s="144"/>
    </row>
    <row r="622">
      <c r="C622" s="235"/>
      <c r="D622" s="236"/>
      <c r="H622" s="144"/>
    </row>
    <row r="623">
      <c r="C623" s="235"/>
      <c r="D623" s="236"/>
      <c r="H623" s="144"/>
    </row>
    <row r="624">
      <c r="C624" s="235"/>
      <c r="D624" s="236"/>
      <c r="H624" s="144"/>
    </row>
    <row r="625">
      <c r="C625" s="235"/>
      <c r="D625" s="236"/>
      <c r="H625" s="144"/>
    </row>
    <row r="626">
      <c r="C626" s="235"/>
      <c r="D626" s="236"/>
      <c r="H626" s="144"/>
    </row>
    <row r="627">
      <c r="C627" s="235"/>
      <c r="D627" s="236"/>
      <c r="H627" s="144"/>
    </row>
    <row r="628">
      <c r="C628" s="235"/>
      <c r="D628" s="236"/>
      <c r="H628" s="144"/>
    </row>
    <row r="629">
      <c r="C629" s="235"/>
      <c r="D629" s="236"/>
      <c r="H629" s="144"/>
    </row>
    <row r="630">
      <c r="C630" s="235"/>
      <c r="D630" s="236"/>
      <c r="H630" s="144"/>
    </row>
    <row r="631">
      <c r="C631" s="235"/>
      <c r="D631" s="236"/>
      <c r="H631" s="144"/>
    </row>
    <row r="632">
      <c r="C632" s="235"/>
      <c r="D632" s="236"/>
      <c r="H632" s="144"/>
    </row>
    <row r="633">
      <c r="C633" s="235"/>
      <c r="D633" s="236"/>
      <c r="H633" s="144"/>
    </row>
    <row r="634">
      <c r="C634" s="235"/>
      <c r="D634" s="236"/>
      <c r="H634" s="144"/>
    </row>
    <row r="635">
      <c r="C635" s="235"/>
      <c r="D635" s="236"/>
      <c r="H635" s="144"/>
    </row>
    <row r="636">
      <c r="C636" s="235"/>
      <c r="D636" s="236"/>
      <c r="H636" s="144"/>
    </row>
    <row r="637">
      <c r="C637" s="235"/>
      <c r="D637" s="236"/>
      <c r="H637" s="144"/>
    </row>
    <row r="638">
      <c r="C638" s="235"/>
      <c r="D638" s="236"/>
      <c r="H638" s="144"/>
    </row>
    <row r="639">
      <c r="C639" s="235"/>
      <c r="D639" s="236"/>
      <c r="H639" s="144"/>
    </row>
    <row r="640">
      <c r="C640" s="235"/>
      <c r="D640" s="236"/>
      <c r="H640" s="144"/>
    </row>
    <row r="641">
      <c r="C641" s="235"/>
      <c r="D641" s="236"/>
      <c r="H641" s="144"/>
    </row>
    <row r="642">
      <c r="C642" s="235"/>
      <c r="D642" s="236"/>
      <c r="H642" s="144"/>
    </row>
    <row r="643">
      <c r="C643" s="235"/>
      <c r="D643" s="236"/>
      <c r="H643" s="144"/>
    </row>
    <row r="644">
      <c r="C644" s="235"/>
      <c r="D644" s="236"/>
      <c r="H644" s="144"/>
    </row>
    <row r="645">
      <c r="C645" s="235"/>
      <c r="D645" s="236"/>
      <c r="H645" s="144"/>
    </row>
    <row r="646">
      <c r="C646" s="235"/>
      <c r="D646" s="236"/>
      <c r="H646" s="144"/>
    </row>
    <row r="647">
      <c r="C647" s="235"/>
      <c r="D647" s="236"/>
      <c r="H647" s="144"/>
    </row>
    <row r="648">
      <c r="C648" s="235"/>
      <c r="D648" s="236"/>
      <c r="H648" s="144"/>
    </row>
    <row r="649">
      <c r="C649" s="235"/>
      <c r="D649" s="236"/>
      <c r="H649" s="144"/>
    </row>
    <row r="650">
      <c r="C650" s="235"/>
      <c r="D650" s="236"/>
      <c r="H650" s="144"/>
    </row>
    <row r="651">
      <c r="C651" s="235"/>
      <c r="D651" s="236"/>
      <c r="H651" s="144"/>
    </row>
    <row r="652">
      <c r="C652" s="235"/>
      <c r="D652" s="236"/>
      <c r="H652" s="144"/>
    </row>
    <row r="653">
      <c r="C653" s="235"/>
      <c r="D653" s="236"/>
      <c r="H653" s="144"/>
    </row>
    <row r="654">
      <c r="C654" s="235"/>
      <c r="D654" s="236"/>
      <c r="H654" s="144"/>
    </row>
    <row r="655">
      <c r="C655" s="235"/>
      <c r="D655" s="236"/>
      <c r="H655" s="144"/>
    </row>
    <row r="656">
      <c r="C656" s="235"/>
      <c r="D656" s="236"/>
      <c r="H656" s="144"/>
    </row>
    <row r="657">
      <c r="C657" s="235"/>
      <c r="D657" s="236"/>
      <c r="H657" s="144"/>
    </row>
    <row r="658">
      <c r="C658" s="235"/>
      <c r="D658" s="236"/>
      <c r="H658" s="144"/>
    </row>
    <row r="659">
      <c r="C659" s="235"/>
      <c r="D659" s="236"/>
      <c r="H659" s="144"/>
    </row>
    <row r="660">
      <c r="C660" s="235"/>
      <c r="D660" s="236"/>
      <c r="H660" s="144"/>
    </row>
    <row r="661">
      <c r="C661" s="235"/>
      <c r="D661" s="236"/>
      <c r="H661" s="144"/>
    </row>
    <row r="662">
      <c r="C662" s="235"/>
      <c r="D662" s="236"/>
      <c r="H662" s="144"/>
    </row>
    <row r="663">
      <c r="C663" s="235"/>
      <c r="D663" s="236"/>
      <c r="H663" s="144"/>
    </row>
    <row r="664">
      <c r="C664" s="235"/>
      <c r="D664" s="236"/>
      <c r="H664" s="144"/>
    </row>
    <row r="665">
      <c r="C665" s="235"/>
      <c r="D665" s="236"/>
      <c r="H665" s="144"/>
    </row>
    <row r="666">
      <c r="C666" s="235"/>
      <c r="D666" s="236"/>
      <c r="H666" s="144"/>
    </row>
    <row r="667">
      <c r="C667" s="235"/>
      <c r="D667" s="236"/>
      <c r="H667" s="144"/>
    </row>
    <row r="668">
      <c r="C668" s="235"/>
      <c r="D668" s="236"/>
      <c r="H668" s="144"/>
    </row>
    <row r="669">
      <c r="C669" s="235"/>
      <c r="D669" s="236"/>
      <c r="H669" s="144"/>
    </row>
    <row r="670">
      <c r="C670" s="235"/>
      <c r="D670" s="236"/>
      <c r="H670" s="144"/>
    </row>
    <row r="671">
      <c r="C671" s="235"/>
      <c r="D671" s="236"/>
      <c r="H671" s="144"/>
    </row>
    <row r="672">
      <c r="C672" s="235"/>
      <c r="D672" s="236"/>
      <c r="H672" s="144"/>
    </row>
    <row r="673">
      <c r="C673" s="235"/>
      <c r="D673" s="236"/>
      <c r="H673" s="144"/>
    </row>
    <row r="674">
      <c r="C674" s="235"/>
      <c r="D674" s="236"/>
      <c r="H674" s="144"/>
    </row>
    <row r="675">
      <c r="C675" s="235"/>
      <c r="D675" s="236"/>
      <c r="H675" s="144"/>
    </row>
    <row r="676">
      <c r="C676" s="235"/>
      <c r="D676" s="236"/>
      <c r="H676" s="144"/>
    </row>
    <row r="677">
      <c r="C677" s="235"/>
      <c r="D677" s="236"/>
      <c r="H677" s="144"/>
    </row>
    <row r="678">
      <c r="C678" s="235"/>
      <c r="D678" s="236"/>
      <c r="H678" s="144"/>
    </row>
    <row r="679">
      <c r="C679" s="235"/>
      <c r="D679" s="236"/>
      <c r="H679" s="144"/>
    </row>
    <row r="680">
      <c r="C680" s="235"/>
      <c r="D680" s="236"/>
      <c r="H680" s="144"/>
    </row>
    <row r="681">
      <c r="C681" s="235"/>
      <c r="D681" s="236"/>
      <c r="H681" s="144"/>
    </row>
    <row r="682">
      <c r="C682" s="235"/>
      <c r="D682" s="236"/>
      <c r="H682" s="144"/>
    </row>
    <row r="683">
      <c r="C683" s="235"/>
      <c r="D683" s="236"/>
      <c r="H683" s="144"/>
    </row>
    <row r="684">
      <c r="C684" s="235"/>
      <c r="D684" s="236"/>
      <c r="H684" s="144"/>
    </row>
    <row r="685">
      <c r="C685" s="235"/>
      <c r="D685" s="236"/>
      <c r="H685" s="144"/>
    </row>
    <row r="686">
      <c r="C686" s="235"/>
      <c r="D686" s="236"/>
      <c r="H686" s="144"/>
    </row>
    <row r="687">
      <c r="C687" s="235"/>
      <c r="D687" s="236"/>
      <c r="H687" s="144"/>
    </row>
    <row r="688">
      <c r="C688" s="235"/>
      <c r="D688" s="236"/>
      <c r="H688" s="144"/>
    </row>
    <row r="689">
      <c r="C689" s="235"/>
      <c r="D689" s="236"/>
      <c r="H689" s="144"/>
    </row>
    <row r="690">
      <c r="C690" s="235"/>
      <c r="D690" s="236"/>
      <c r="H690" s="144"/>
    </row>
    <row r="691">
      <c r="C691" s="235"/>
      <c r="D691" s="236"/>
      <c r="H691" s="144"/>
    </row>
    <row r="692">
      <c r="C692" s="235"/>
      <c r="D692" s="236"/>
      <c r="H692" s="144"/>
    </row>
    <row r="693">
      <c r="C693" s="235"/>
      <c r="D693" s="236"/>
      <c r="H693" s="144"/>
    </row>
    <row r="694">
      <c r="C694" s="235"/>
      <c r="D694" s="236"/>
      <c r="H694" s="144"/>
    </row>
    <row r="695">
      <c r="C695" s="235"/>
      <c r="D695" s="236"/>
      <c r="H695" s="144"/>
    </row>
    <row r="696">
      <c r="C696" s="235"/>
      <c r="D696" s="236"/>
      <c r="H696" s="144"/>
    </row>
    <row r="697">
      <c r="C697" s="235"/>
      <c r="D697" s="236"/>
      <c r="H697" s="144"/>
    </row>
    <row r="698">
      <c r="C698" s="235"/>
      <c r="D698" s="236"/>
      <c r="H698" s="144"/>
    </row>
    <row r="699">
      <c r="C699" s="235"/>
      <c r="D699" s="236"/>
      <c r="H699" s="144"/>
    </row>
    <row r="700">
      <c r="C700" s="235"/>
      <c r="D700" s="236"/>
      <c r="H700" s="144"/>
    </row>
    <row r="701">
      <c r="C701" s="235"/>
      <c r="D701" s="236"/>
      <c r="H701" s="144"/>
    </row>
    <row r="702">
      <c r="C702" s="235"/>
      <c r="D702" s="236"/>
      <c r="H702" s="144"/>
    </row>
    <row r="703">
      <c r="C703" s="235"/>
      <c r="D703" s="236"/>
      <c r="H703" s="144"/>
    </row>
    <row r="704">
      <c r="C704" s="235"/>
      <c r="D704" s="236"/>
      <c r="H704" s="144"/>
    </row>
    <row r="705">
      <c r="C705" s="235"/>
      <c r="D705" s="236"/>
      <c r="H705" s="144"/>
    </row>
    <row r="706">
      <c r="C706" s="235"/>
      <c r="D706" s="236"/>
      <c r="H706" s="144"/>
    </row>
    <row r="707">
      <c r="C707" s="235"/>
      <c r="D707" s="236"/>
      <c r="H707" s="144"/>
    </row>
    <row r="708">
      <c r="C708" s="235"/>
      <c r="D708" s="236"/>
      <c r="H708" s="144"/>
    </row>
    <row r="709">
      <c r="C709" s="235"/>
      <c r="D709" s="236"/>
      <c r="H709" s="144"/>
    </row>
    <row r="710">
      <c r="C710" s="235"/>
      <c r="D710" s="236"/>
      <c r="H710" s="144"/>
    </row>
    <row r="711">
      <c r="C711" s="235"/>
      <c r="D711" s="236"/>
      <c r="H711" s="144"/>
    </row>
    <row r="712">
      <c r="C712" s="235"/>
      <c r="D712" s="236"/>
      <c r="H712" s="144"/>
    </row>
    <row r="713">
      <c r="C713" s="235"/>
      <c r="D713" s="236"/>
      <c r="H713" s="144"/>
    </row>
    <row r="714">
      <c r="C714" s="235"/>
      <c r="D714" s="236"/>
      <c r="H714" s="144"/>
    </row>
    <row r="715">
      <c r="C715" s="235"/>
      <c r="D715" s="236"/>
      <c r="H715" s="144"/>
    </row>
    <row r="716">
      <c r="C716" s="235"/>
      <c r="D716" s="236"/>
      <c r="H716" s="144"/>
    </row>
    <row r="717">
      <c r="C717" s="235"/>
      <c r="D717" s="236"/>
      <c r="H717" s="144"/>
    </row>
    <row r="718">
      <c r="C718" s="235"/>
      <c r="D718" s="236"/>
      <c r="H718" s="144"/>
    </row>
    <row r="719">
      <c r="C719" s="235"/>
      <c r="D719" s="236"/>
      <c r="H719" s="144"/>
    </row>
    <row r="720">
      <c r="C720" s="235"/>
      <c r="D720" s="236"/>
      <c r="H720" s="144"/>
    </row>
    <row r="721">
      <c r="C721" s="235"/>
      <c r="D721" s="236"/>
      <c r="H721" s="144"/>
    </row>
    <row r="722">
      <c r="C722" s="235"/>
      <c r="D722" s="236"/>
      <c r="H722" s="144"/>
    </row>
    <row r="723">
      <c r="C723" s="235"/>
      <c r="D723" s="236"/>
      <c r="H723" s="144"/>
    </row>
    <row r="724">
      <c r="C724" s="235"/>
      <c r="D724" s="236"/>
      <c r="H724" s="144"/>
    </row>
    <row r="725">
      <c r="C725" s="235"/>
      <c r="D725" s="236"/>
      <c r="H725" s="144"/>
    </row>
    <row r="726">
      <c r="C726" s="235"/>
      <c r="D726" s="236"/>
      <c r="H726" s="144"/>
    </row>
    <row r="727">
      <c r="C727" s="235"/>
      <c r="D727" s="236"/>
      <c r="H727" s="144"/>
    </row>
    <row r="728">
      <c r="C728" s="235"/>
      <c r="D728" s="236"/>
      <c r="H728" s="144"/>
    </row>
    <row r="729">
      <c r="C729" s="235"/>
      <c r="D729" s="236"/>
      <c r="H729" s="144"/>
    </row>
    <row r="730">
      <c r="C730" s="235"/>
      <c r="D730" s="236"/>
      <c r="H730" s="144"/>
    </row>
    <row r="731">
      <c r="C731" s="235"/>
      <c r="D731" s="236"/>
      <c r="H731" s="144"/>
    </row>
    <row r="732">
      <c r="C732" s="235"/>
      <c r="D732" s="236"/>
      <c r="H732" s="144"/>
    </row>
    <row r="733">
      <c r="C733" s="235"/>
      <c r="D733" s="236"/>
      <c r="H733" s="144"/>
    </row>
    <row r="734">
      <c r="C734" s="235"/>
      <c r="D734" s="236"/>
      <c r="H734" s="144"/>
    </row>
    <row r="735">
      <c r="C735" s="235"/>
      <c r="D735" s="236"/>
      <c r="H735" s="144"/>
    </row>
    <row r="736">
      <c r="C736" s="235"/>
      <c r="D736" s="236"/>
      <c r="H736" s="144"/>
    </row>
    <row r="737">
      <c r="C737" s="235"/>
      <c r="D737" s="236"/>
      <c r="H737" s="144"/>
    </row>
    <row r="738">
      <c r="C738" s="235"/>
      <c r="D738" s="236"/>
      <c r="H738" s="144"/>
    </row>
    <row r="739">
      <c r="C739" s="235"/>
      <c r="D739" s="236"/>
      <c r="H739" s="144"/>
    </row>
    <row r="740">
      <c r="C740" s="235"/>
      <c r="D740" s="236"/>
      <c r="H740" s="144"/>
    </row>
    <row r="741">
      <c r="C741" s="235"/>
      <c r="D741" s="236"/>
      <c r="H741" s="144"/>
    </row>
    <row r="742">
      <c r="C742" s="235"/>
      <c r="D742" s="236"/>
      <c r="H742" s="144"/>
    </row>
    <row r="743">
      <c r="C743" s="235"/>
      <c r="D743" s="236"/>
      <c r="H743" s="144"/>
    </row>
    <row r="744">
      <c r="C744" s="235"/>
      <c r="D744" s="236"/>
      <c r="H744" s="144"/>
    </row>
    <row r="745">
      <c r="C745" s="235"/>
      <c r="D745" s="236"/>
      <c r="H745" s="144"/>
    </row>
    <row r="746">
      <c r="C746" s="235"/>
      <c r="D746" s="236"/>
      <c r="H746" s="144"/>
    </row>
    <row r="747">
      <c r="C747" s="235"/>
      <c r="D747" s="236"/>
      <c r="H747" s="144"/>
    </row>
    <row r="748">
      <c r="C748" s="235"/>
      <c r="D748" s="236"/>
      <c r="H748" s="144"/>
    </row>
    <row r="749">
      <c r="C749" s="235"/>
      <c r="D749" s="236"/>
      <c r="H749" s="144"/>
    </row>
    <row r="750">
      <c r="C750" s="235"/>
      <c r="D750" s="236"/>
      <c r="H750" s="144"/>
    </row>
    <row r="751">
      <c r="C751" s="235"/>
      <c r="D751" s="236"/>
      <c r="H751" s="144"/>
    </row>
    <row r="752">
      <c r="C752" s="235"/>
      <c r="D752" s="236"/>
      <c r="H752" s="144"/>
    </row>
    <row r="753">
      <c r="C753" s="235"/>
      <c r="D753" s="236"/>
      <c r="H753" s="144"/>
    </row>
    <row r="754">
      <c r="C754" s="235"/>
      <c r="D754" s="236"/>
      <c r="H754" s="144"/>
    </row>
    <row r="755">
      <c r="C755" s="235"/>
      <c r="D755" s="236"/>
      <c r="H755" s="144"/>
    </row>
    <row r="756">
      <c r="C756" s="235"/>
      <c r="D756" s="236"/>
      <c r="H756" s="144"/>
    </row>
    <row r="757">
      <c r="C757" s="235"/>
      <c r="D757" s="236"/>
      <c r="H757" s="144"/>
    </row>
    <row r="758">
      <c r="C758" s="235"/>
      <c r="D758" s="236"/>
      <c r="H758" s="144"/>
    </row>
    <row r="759">
      <c r="C759" s="235"/>
      <c r="D759" s="236"/>
      <c r="H759" s="144"/>
    </row>
    <row r="760">
      <c r="C760" s="235"/>
      <c r="D760" s="236"/>
      <c r="H760" s="144"/>
    </row>
    <row r="761">
      <c r="C761" s="235"/>
      <c r="D761" s="236"/>
      <c r="H761" s="144"/>
    </row>
    <row r="762">
      <c r="C762" s="235"/>
      <c r="D762" s="236"/>
      <c r="H762" s="144"/>
    </row>
    <row r="763">
      <c r="C763" s="235"/>
      <c r="D763" s="236"/>
      <c r="H763" s="144"/>
    </row>
    <row r="764">
      <c r="C764" s="235"/>
      <c r="D764" s="236"/>
      <c r="H764" s="144"/>
    </row>
    <row r="765">
      <c r="C765" s="235"/>
      <c r="D765" s="236"/>
      <c r="H765" s="144"/>
    </row>
    <row r="766">
      <c r="C766" s="235"/>
      <c r="D766" s="236"/>
      <c r="H766" s="144"/>
    </row>
    <row r="767">
      <c r="C767" s="235"/>
      <c r="D767" s="236"/>
      <c r="H767" s="144"/>
    </row>
    <row r="768">
      <c r="C768" s="235"/>
      <c r="D768" s="236"/>
      <c r="H768" s="144"/>
    </row>
    <row r="769">
      <c r="C769" s="235"/>
      <c r="D769" s="236"/>
      <c r="H769" s="144"/>
    </row>
    <row r="770">
      <c r="C770" s="235"/>
      <c r="D770" s="236"/>
      <c r="H770" s="144"/>
    </row>
    <row r="771">
      <c r="C771" s="235"/>
      <c r="D771" s="236"/>
      <c r="H771" s="144"/>
    </row>
    <row r="772">
      <c r="C772" s="235"/>
      <c r="D772" s="236"/>
      <c r="H772" s="144"/>
    </row>
    <row r="773">
      <c r="C773" s="235"/>
      <c r="D773" s="236"/>
      <c r="H773" s="144"/>
    </row>
    <row r="774">
      <c r="C774" s="235"/>
      <c r="D774" s="236"/>
      <c r="H774" s="144"/>
    </row>
    <row r="775">
      <c r="C775" s="235"/>
      <c r="D775" s="236"/>
      <c r="H775" s="144"/>
    </row>
    <row r="776">
      <c r="C776" s="235"/>
      <c r="D776" s="236"/>
      <c r="H776" s="144"/>
    </row>
    <row r="777">
      <c r="C777" s="235"/>
      <c r="D777" s="236"/>
      <c r="H777" s="144"/>
    </row>
    <row r="778">
      <c r="C778" s="235"/>
      <c r="D778" s="236"/>
      <c r="H778" s="144"/>
    </row>
    <row r="779">
      <c r="C779" s="235"/>
      <c r="D779" s="236"/>
      <c r="H779" s="144"/>
    </row>
    <row r="780">
      <c r="C780" s="235"/>
      <c r="D780" s="236"/>
      <c r="H780" s="144"/>
    </row>
    <row r="781">
      <c r="C781" s="235"/>
      <c r="D781" s="236"/>
      <c r="H781" s="144"/>
    </row>
    <row r="782">
      <c r="C782" s="235"/>
      <c r="D782" s="236"/>
      <c r="H782" s="144"/>
    </row>
    <row r="783">
      <c r="C783" s="235"/>
      <c r="D783" s="236"/>
      <c r="H783" s="144"/>
    </row>
    <row r="784">
      <c r="C784" s="235"/>
      <c r="D784" s="236"/>
      <c r="H784" s="144"/>
    </row>
    <row r="785">
      <c r="C785" s="235"/>
      <c r="D785" s="236"/>
      <c r="H785" s="144"/>
    </row>
    <row r="786">
      <c r="C786" s="235"/>
      <c r="D786" s="236"/>
      <c r="H786" s="144"/>
    </row>
    <row r="787">
      <c r="C787" s="235"/>
      <c r="D787" s="236"/>
      <c r="H787" s="144"/>
    </row>
    <row r="788">
      <c r="C788" s="235"/>
      <c r="D788" s="236"/>
      <c r="H788" s="144"/>
    </row>
    <row r="789">
      <c r="C789" s="235"/>
      <c r="D789" s="236"/>
      <c r="H789" s="144"/>
    </row>
    <row r="790">
      <c r="C790" s="235"/>
      <c r="D790" s="236"/>
      <c r="H790" s="144"/>
    </row>
    <row r="791">
      <c r="C791" s="235"/>
      <c r="D791" s="236"/>
      <c r="H791" s="144"/>
    </row>
    <row r="792">
      <c r="C792" s="235"/>
      <c r="D792" s="236"/>
      <c r="H792" s="144"/>
    </row>
    <row r="793">
      <c r="C793" s="235"/>
      <c r="D793" s="236"/>
      <c r="H793" s="144"/>
    </row>
    <row r="794">
      <c r="C794" s="235"/>
      <c r="D794" s="236"/>
      <c r="H794" s="144"/>
    </row>
    <row r="795">
      <c r="C795" s="235"/>
      <c r="D795" s="236"/>
      <c r="H795" s="144"/>
    </row>
    <row r="796">
      <c r="C796" s="235"/>
      <c r="D796" s="236"/>
      <c r="H796" s="144"/>
    </row>
    <row r="797">
      <c r="C797" s="235"/>
      <c r="D797" s="236"/>
      <c r="H797" s="144"/>
    </row>
    <row r="798">
      <c r="C798" s="235"/>
      <c r="D798" s="236"/>
      <c r="H798" s="144"/>
    </row>
    <row r="799">
      <c r="C799" s="235"/>
      <c r="D799" s="236"/>
      <c r="H799" s="144"/>
    </row>
    <row r="800">
      <c r="C800" s="235"/>
      <c r="D800" s="236"/>
      <c r="H800" s="144"/>
    </row>
    <row r="801">
      <c r="C801" s="235"/>
      <c r="D801" s="236"/>
      <c r="H801" s="144"/>
    </row>
    <row r="802">
      <c r="C802" s="235"/>
      <c r="D802" s="236"/>
      <c r="H802" s="144"/>
    </row>
    <row r="803">
      <c r="C803" s="235"/>
      <c r="D803" s="236"/>
      <c r="H803" s="144"/>
    </row>
    <row r="804">
      <c r="C804" s="235"/>
      <c r="D804" s="236"/>
      <c r="H804" s="144"/>
    </row>
    <row r="805">
      <c r="C805" s="235"/>
      <c r="D805" s="236"/>
      <c r="H805" s="144"/>
    </row>
    <row r="806">
      <c r="C806" s="235"/>
      <c r="D806" s="236"/>
      <c r="H806" s="144"/>
    </row>
    <row r="807">
      <c r="C807" s="235"/>
      <c r="D807" s="236"/>
      <c r="H807" s="144"/>
    </row>
    <row r="808">
      <c r="C808" s="235"/>
      <c r="D808" s="236"/>
      <c r="H808" s="144"/>
    </row>
    <row r="809">
      <c r="C809" s="235"/>
      <c r="D809" s="236"/>
      <c r="H809" s="144"/>
    </row>
    <row r="810">
      <c r="C810" s="235"/>
      <c r="D810" s="236"/>
      <c r="H810" s="144"/>
    </row>
    <row r="811">
      <c r="C811" s="235"/>
      <c r="D811" s="236"/>
      <c r="H811" s="144"/>
    </row>
    <row r="812">
      <c r="C812" s="235"/>
      <c r="D812" s="236"/>
      <c r="H812" s="144"/>
    </row>
    <row r="813">
      <c r="C813" s="235"/>
      <c r="D813" s="236"/>
      <c r="H813" s="144"/>
    </row>
    <row r="814">
      <c r="C814" s="235"/>
      <c r="D814" s="236"/>
      <c r="H814" s="144"/>
    </row>
    <row r="815">
      <c r="C815" s="235"/>
      <c r="D815" s="236"/>
      <c r="H815" s="144"/>
    </row>
    <row r="816">
      <c r="C816" s="235"/>
      <c r="D816" s="236"/>
      <c r="H816" s="144"/>
    </row>
    <row r="817">
      <c r="C817" s="235"/>
      <c r="D817" s="236"/>
      <c r="H817" s="144"/>
    </row>
    <row r="818">
      <c r="C818" s="235"/>
      <c r="D818" s="236"/>
      <c r="H818" s="144"/>
    </row>
    <row r="819">
      <c r="C819" s="235"/>
      <c r="D819" s="236"/>
      <c r="H819" s="144"/>
    </row>
    <row r="820">
      <c r="C820" s="235"/>
      <c r="D820" s="236"/>
      <c r="H820" s="144"/>
    </row>
    <row r="821">
      <c r="C821" s="235"/>
      <c r="D821" s="236"/>
      <c r="H821" s="144"/>
    </row>
    <row r="822">
      <c r="C822" s="235"/>
      <c r="D822" s="236"/>
      <c r="H822" s="144"/>
    </row>
    <row r="823">
      <c r="C823" s="235"/>
      <c r="D823" s="236"/>
      <c r="H823" s="144"/>
    </row>
    <row r="824">
      <c r="C824" s="235"/>
      <c r="D824" s="236"/>
      <c r="H824" s="144"/>
    </row>
    <row r="825">
      <c r="C825" s="235"/>
      <c r="D825" s="236"/>
      <c r="H825" s="144"/>
    </row>
    <row r="826">
      <c r="C826" s="235"/>
      <c r="D826" s="236"/>
      <c r="H826" s="144"/>
    </row>
    <row r="827">
      <c r="C827" s="235"/>
      <c r="D827" s="236"/>
      <c r="H827" s="144"/>
    </row>
    <row r="828">
      <c r="C828" s="235"/>
      <c r="D828" s="236"/>
      <c r="H828" s="144"/>
    </row>
    <row r="829">
      <c r="C829" s="235"/>
      <c r="D829" s="236"/>
      <c r="H829" s="144"/>
    </row>
    <row r="830">
      <c r="C830" s="235"/>
      <c r="D830" s="236"/>
      <c r="H830" s="144"/>
    </row>
    <row r="831">
      <c r="C831" s="235"/>
      <c r="D831" s="236"/>
      <c r="H831" s="144"/>
    </row>
    <row r="832">
      <c r="C832" s="235"/>
      <c r="D832" s="236"/>
      <c r="H832" s="144"/>
    </row>
    <row r="833">
      <c r="C833" s="235"/>
      <c r="D833" s="236"/>
      <c r="H833" s="144"/>
    </row>
    <row r="834">
      <c r="C834" s="235"/>
      <c r="D834" s="236"/>
      <c r="H834" s="144"/>
    </row>
    <row r="835">
      <c r="C835" s="235"/>
      <c r="D835" s="236"/>
      <c r="H835" s="144"/>
    </row>
    <row r="836">
      <c r="C836" s="235"/>
      <c r="D836" s="236"/>
      <c r="H836" s="144"/>
    </row>
    <row r="837">
      <c r="C837" s="235"/>
      <c r="D837" s="236"/>
      <c r="H837" s="144"/>
    </row>
    <row r="838">
      <c r="C838" s="235"/>
      <c r="D838" s="236"/>
      <c r="H838" s="144"/>
    </row>
    <row r="839">
      <c r="C839" s="235"/>
      <c r="D839" s="236"/>
      <c r="H839" s="144"/>
    </row>
    <row r="840">
      <c r="C840" s="235"/>
      <c r="D840" s="236"/>
      <c r="H840" s="144"/>
    </row>
    <row r="841">
      <c r="C841" s="235"/>
      <c r="D841" s="236"/>
      <c r="H841" s="144"/>
    </row>
    <row r="842">
      <c r="C842" s="235"/>
      <c r="D842" s="236"/>
      <c r="H842" s="144"/>
    </row>
    <row r="843">
      <c r="C843" s="235"/>
      <c r="D843" s="236"/>
      <c r="H843" s="144"/>
    </row>
    <row r="844">
      <c r="C844" s="235"/>
      <c r="D844" s="236"/>
      <c r="H844" s="144"/>
    </row>
    <row r="845">
      <c r="C845" s="235"/>
      <c r="D845" s="236"/>
      <c r="H845" s="144"/>
    </row>
    <row r="846">
      <c r="C846" s="235"/>
      <c r="D846" s="236"/>
      <c r="H846" s="144"/>
    </row>
    <row r="847">
      <c r="C847" s="235"/>
      <c r="D847" s="236"/>
      <c r="H847" s="144"/>
    </row>
    <row r="848">
      <c r="C848" s="235"/>
      <c r="D848" s="236"/>
      <c r="H848" s="144"/>
    </row>
    <row r="849">
      <c r="C849" s="235"/>
      <c r="D849" s="236"/>
      <c r="H849" s="144"/>
    </row>
    <row r="850">
      <c r="C850" s="235"/>
      <c r="D850" s="236"/>
      <c r="H850" s="144"/>
    </row>
    <row r="851">
      <c r="C851" s="235"/>
      <c r="D851" s="236"/>
      <c r="H851" s="144"/>
    </row>
    <row r="852">
      <c r="C852" s="235"/>
      <c r="D852" s="236"/>
      <c r="H852" s="144"/>
    </row>
    <row r="853">
      <c r="C853" s="235"/>
      <c r="D853" s="236"/>
      <c r="H853" s="144"/>
    </row>
    <row r="854">
      <c r="C854" s="235"/>
      <c r="D854" s="236"/>
      <c r="H854" s="144"/>
    </row>
    <row r="855">
      <c r="C855" s="235"/>
      <c r="D855" s="236"/>
      <c r="H855" s="144"/>
    </row>
    <row r="856">
      <c r="C856" s="235"/>
      <c r="D856" s="236"/>
      <c r="H856" s="144"/>
    </row>
    <row r="857">
      <c r="C857" s="235"/>
      <c r="D857" s="236"/>
      <c r="H857" s="144"/>
    </row>
    <row r="858">
      <c r="C858" s="235"/>
      <c r="D858" s="236"/>
      <c r="H858" s="144"/>
    </row>
    <row r="859">
      <c r="C859" s="235"/>
      <c r="D859" s="236"/>
      <c r="H859" s="144"/>
    </row>
    <row r="860">
      <c r="C860" s="235"/>
      <c r="D860" s="236"/>
      <c r="H860" s="144"/>
    </row>
    <row r="861">
      <c r="C861" s="235"/>
      <c r="D861" s="236"/>
      <c r="H861" s="144"/>
    </row>
    <row r="862">
      <c r="C862" s="235"/>
      <c r="D862" s="236"/>
      <c r="H862" s="144"/>
    </row>
    <row r="863">
      <c r="C863" s="235"/>
      <c r="D863" s="236"/>
      <c r="H863" s="144"/>
    </row>
    <row r="864">
      <c r="C864" s="235"/>
      <c r="D864" s="236"/>
      <c r="H864" s="144"/>
    </row>
    <row r="865">
      <c r="C865" s="235"/>
      <c r="D865" s="236"/>
      <c r="H865" s="144"/>
    </row>
    <row r="866">
      <c r="C866" s="235"/>
      <c r="D866" s="236"/>
      <c r="H866" s="144"/>
    </row>
    <row r="867">
      <c r="C867" s="235"/>
      <c r="D867" s="236"/>
      <c r="H867" s="144"/>
    </row>
    <row r="868">
      <c r="C868" s="235"/>
      <c r="D868" s="236"/>
      <c r="H868" s="144"/>
    </row>
    <row r="869">
      <c r="C869" s="235"/>
      <c r="D869" s="236"/>
      <c r="H869" s="144"/>
    </row>
    <row r="870">
      <c r="C870" s="235"/>
      <c r="D870" s="236"/>
      <c r="H870" s="144"/>
    </row>
    <row r="871">
      <c r="C871" s="235"/>
      <c r="D871" s="236"/>
      <c r="H871" s="144"/>
    </row>
    <row r="872">
      <c r="C872" s="235"/>
      <c r="D872" s="236"/>
      <c r="H872" s="144"/>
    </row>
    <row r="873">
      <c r="C873" s="235"/>
      <c r="D873" s="236"/>
      <c r="H873" s="144"/>
    </row>
    <row r="874">
      <c r="C874" s="235"/>
      <c r="D874" s="236"/>
      <c r="H874" s="144"/>
    </row>
    <row r="875">
      <c r="C875" s="235"/>
      <c r="D875" s="236"/>
      <c r="H875" s="144"/>
    </row>
    <row r="876">
      <c r="C876" s="235"/>
      <c r="D876" s="236"/>
      <c r="H876" s="144"/>
    </row>
    <row r="877">
      <c r="C877" s="235"/>
      <c r="D877" s="236"/>
      <c r="H877" s="144"/>
    </row>
    <row r="878">
      <c r="C878" s="235"/>
      <c r="D878" s="236"/>
      <c r="H878" s="144"/>
    </row>
    <row r="879">
      <c r="C879" s="235"/>
      <c r="D879" s="236"/>
      <c r="H879" s="144"/>
    </row>
    <row r="880">
      <c r="C880" s="235"/>
      <c r="D880" s="236"/>
      <c r="H880" s="144"/>
    </row>
    <row r="881">
      <c r="C881" s="235"/>
      <c r="D881" s="236"/>
      <c r="H881" s="144"/>
    </row>
    <row r="882">
      <c r="C882" s="235"/>
      <c r="D882" s="236"/>
      <c r="H882" s="144"/>
    </row>
    <row r="883">
      <c r="C883" s="235"/>
      <c r="D883" s="236"/>
      <c r="H883" s="144"/>
    </row>
    <row r="884">
      <c r="C884" s="235"/>
      <c r="D884" s="236"/>
      <c r="H884" s="144"/>
    </row>
    <row r="885">
      <c r="C885" s="235"/>
      <c r="D885" s="236"/>
      <c r="H885" s="144"/>
    </row>
    <row r="886">
      <c r="C886" s="235"/>
      <c r="D886" s="236"/>
      <c r="H886" s="144"/>
    </row>
    <row r="887">
      <c r="C887" s="235"/>
      <c r="D887" s="236"/>
      <c r="H887" s="144"/>
    </row>
    <row r="888">
      <c r="C888" s="235"/>
      <c r="D888" s="236"/>
      <c r="H888" s="144"/>
    </row>
    <row r="889">
      <c r="C889" s="235"/>
      <c r="D889" s="236"/>
      <c r="H889" s="144"/>
    </row>
    <row r="890">
      <c r="C890" s="235"/>
      <c r="D890" s="236"/>
      <c r="H890" s="144"/>
    </row>
    <row r="891">
      <c r="C891" s="235"/>
      <c r="D891" s="236"/>
      <c r="H891" s="144"/>
    </row>
    <row r="892">
      <c r="C892" s="235"/>
      <c r="D892" s="236"/>
      <c r="H892" s="144"/>
    </row>
    <row r="893">
      <c r="C893" s="235"/>
      <c r="D893" s="236"/>
      <c r="H893" s="144"/>
    </row>
    <row r="894">
      <c r="C894" s="235"/>
      <c r="D894" s="236"/>
      <c r="H894" s="144"/>
    </row>
    <row r="895">
      <c r="C895" s="235"/>
      <c r="D895" s="236"/>
      <c r="H895" s="144"/>
    </row>
    <row r="896">
      <c r="C896" s="235"/>
      <c r="D896" s="236"/>
      <c r="H896" s="144"/>
    </row>
    <row r="897">
      <c r="C897" s="235"/>
      <c r="D897" s="236"/>
      <c r="H897" s="144"/>
    </row>
    <row r="898">
      <c r="C898" s="235"/>
      <c r="D898" s="236"/>
      <c r="H898" s="144"/>
    </row>
    <row r="899">
      <c r="C899" s="235"/>
      <c r="D899" s="236"/>
      <c r="H899" s="144"/>
    </row>
    <row r="900">
      <c r="C900" s="235"/>
      <c r="D900" s="236"/>
      <c r="H900" s="144"/>
    </row>
    <row r="901">
      <c r="C901" s="235"/>
      <c r="D901" s="236"/>
      <c r="H901" s="144"/>
    </row>
    <row r="902">
      <c r="C902" s="235"/>
      <c r="D902" s="236"/>
      <c r="H902" s="144"/>
    </row>
    <row r="903">
      <c r="C903" s="235"/>
      <c r="D903" s="236"/>
      <c r="H903" s="144"/>
    </row>
    <row r="904">
      <c r="C904" s="235"/>
      <c r="D904" s="236"/>
      <c r="H904" s="144"/>
    </row>
    <row r="905">
      <c r="C905" s="235"/>
      <c r="D905" s="236"/>
      <c r="H905" s="144"/>
    </row>
    <row r="906">
      <c r="C906" s="235"/>
      <c r="D906" s="236"/>
      <c r="H906" s="144"/>
    </row>
    <row r="907">
      <c r="C907" s="235"/>
      <c r="D907" s="236"/>
      <c r="H907" s="144"/>
    </row>
    <row r="908">
      <c r="C908" s="235"/>
      <c r="D908" s="236"/>
      <c r="H908" s="144"/>
    </row>
    <row r="909">
      <c r="C909" s="235"/>
      <c r="D909" s="236"/>
      <c r="H909" s="144"/>
    </row>
    <row r="910">
      <c r="C910" s="235"/>
      <c r="D910" s="236"/>
      <c r="H910" s="144"/>
    </row>
    <row r="911">
      <c r="C911" s="235"/>
      <c r="D911" s="236"/>
      <c r="H911" s="144"/>
    </row>
    <row r="912">
      <c r="C912" s="235"/>
      <c r="D912" s="236"/>
      <c r="H912" s="144"/>
    </row>
    <row r="913">
      <c r="C913" s="235"/>
      <c r="D913" s="236"/>
      <c r="H913" s="144"/>
    </row>
    <row r="914">
      <c r="C914" s="235"/>
      <c r="D914" s="236"/>
      <c r="H914" s="144"/>
    </row>
    <row r="915">
      <c r="C915" s="235"/>
      <c r="D915" s="236"/>
      <c r="H915" s="144"/>
    </row>
    <row r="916">
      <c r="C916" s="235"/>
      <c r="D916" s="236"/>
      <c r="H916" s="144"/>
    </row>
    <row r="917">
      <c r="C917" s="235"/>
      <c r="D917" s="236"/>
      <c r="H917" s="144"/>
    </row>
    <row r="918">
      <c r="C918" s="235"/>
      <c r="D918" s="236"/>
      <c r="H918" s="144"/>
    </row>
    <row r="919">
      <c r="C919" s="235"/>
      <c r="D919" s="236"/>
      <c r="H919" s="144"/>
    </row>
    <row r="920">
      <c r="C920" s="235"/>
      <c r="D920" s="236"/>
      <c r="H920" s="144"/>
    </row>
    <row r="921">
      <c r="C921" s="235"/>
      <c r="D921" s="236"/>
      <c r="H921" s="144"/>
    </row>
    <row r="922">
      <c r="C922" s="235"/>
      <c r="D922" s="236"/>
      <c r="H922" s="144"/>
    </row>
    <row r="923">
      <c r="C923" s="235"/>
      <c r="D923" s="236"/>
      <c r="H923" s="144"/>
    </row>
    <row r="924">
      <c r="C924" s="235"/>
      <c r="D924" s="236"/>
      <c r="H924" s="144"/>
    </row>
    <row r="925">
      <c r="C925" s="235"/>
      <c r="D925" s="236"/>
      <c r="H925" s="144"/>
    </row>
    <row r="926">
      <c r="C926" s="235"/>
      <c r="D926" s="236"/>
      <c r="H926" s="144"/>
    </row>
    <row r="927">
      <c r="C927" s="235"/>
      <c r="D927" s="236"/>
      <c r="H927" s="144"/>
    </row>
    <row r="928">
      <c r="C928" s="235"/>
      <c r="D928" s="236"/>
      <c r="H928" s="144"/>
    </row>
    <row r="929">
      <c r="C929" s="235"/>
      <c r="D929" s="236"/>
      <c r="H929" s="144"/>
    </row>
    <row r="930">
      <c r="C930" s="235"/>
      <c r="D930" s="236"/>
      <c r="H930" s="144"/>
    </row>
    <row r="931">
      <c r="C931" s="235"/>
      <c r="D931" s="236"/>
      <c r="H931" s="144"/>
    </row>
    <row r="932">
      <c r="C932" s="235"/>
      <c r="D932" s="236"/>
      <c r="H932" s="144"/>
    </row>
    <row r="933">
      <c r="C933" s="235"/>
      <c r="D933" s="236"/>
      <c r="H933" s="144"/>
    </row>
    <row r="934">
      <c r="C934" s="235"/>
      <c r="D934" s="236"/>
      <c r="H934" s="144"/>
    </row>
    <row r="935">
      <c r="C935" s="235"/>
      <c r="D935" s="236"/>
      <c r="H935" s="144"/>
    </row>
    <row r="936">
      <c r="C936" s="235"/>
      <c r="D936" s="236"/>
      <c r="H936" s="144"/>
    </row>
    <row r="937">
      <c r="C937" s="235"/>
      <c r="D937" s="236"/>
      <c r="H937" s="144"/>
    </row>
    <row r="938">
      <c r="C938" s="235"/>
      <c r="D938" s="236"/>
      <c r="H938" s="144"/>
    </row>
    <row r="939">
      <c r="C939" s="235"/>
      <c r="D939" s="236"/>
      <c r="H939" s="144"/>
    </row>
    <row r="940">
      <c r="C940" s="235"/>
      <c r="D940" s="236"/>
      <c r="H940" s="144"/>
    </row>
    <row r="941">
      <c r="C941" s="235"/>
      <c r="D941" s="236"/>
      <c r="H941" s="144"/>
    </row>
    <row r="942">
      <c r="C942" s="235"/>
      <c r="D942" s="236"/>
      <c r="H942" s="144"/>
    </row>
    <row r="943">
      <c r="C943" s="235"/>
      <c r="D943" s="236"/>
      <c r="H943" s="144"/>
    </row>
    <row r="944">
      <c r="C944" s="235"/>
      <c r="D944" s="236"/>
      <c r="H944" s="144"/>
    </row>
    <row r="945">
      <c r="C945" s="235"/>
      <c r="D945" s="236"/>
      <c r="H945" s="144"/>
    </row>
    <row r="946">
      <c r="C946" s="235"/>
      <c r="D946" s="236"/>
      <c r="H946" s="144"/>
    </row>
    <row r="947">
      <c r="C947" s="235"/>
      <c r="D947" s="236"/>
      <c r="H947" s="144"/>
    </row>
    <row r="948">
      <c r="C948" s="235"/>
      <c r="D948" s="236"/>
      <c r="H948" s="144"/>
    </row>
    <row r="949">
      <c r="C949" s="235"/>
      <c r="D949" s="236"/>
      <c r="H949" s="144"/>
    </row>
    <row r="950">
      <c r="C950" s="235"/>
      <c r="D950" s="236"/>
      <c r="H950" s="144"/>
    </row>
    <row r="951">
      <c r="C951" s="235"/>
      <c r="D951" s="236"/>
      <c r="H951" s="144"/>
    </row>
    <row r="952">
      <c r="C952" s="235"/>
      <c r="D952" s="236"/>
      <c r="H952" s="144"/>
    </row>
    <row r="953">
      <c r="C953" s="235"/>
      <c r="D953" s="236"/>
      <c r="H953" s="144"/>
    </row>
    <row r="954">
      <c r="C954" s="235"/>
      <c r="D954" s="236"/>
      <c r="H954" s="144"/>
    </row>
    <row r="955">
      <c r="C955" s="235"/>
      <c r="D955" s="236"/>
      <c r="H955" s="144"/>
    </row>
    <row r="956">
      <c r="C956" s="235"/>
      <c r="D956" s="236"/>
      <c r="H956" s="144"/>
    </row>
    <row r="957">
      <c r="C957" s="235"/>
      <c r="D957" s="236"/>
      <c r="H957" s="144"/>
    </row>
    <row r="958">
      <c r="C958" s="235"/>
      <c r="D958" s="236"/>
      <c r="H958" s="144"/>
    </row>
    <row r="959">
      <c r="C959" s="235"/>
      <c r="D959" s="236"/>
      <c r="H959" s="144"/>
    </row>
    <row r="960">
      <c r="C960" s="235"/>
      <c r="D960" s="236"/>
      <c r="H960" s="144"/>
    </row>
    <row r="961">
      <c r="C961" s="235"/>
      <c r="D961" s="236"/>
      <c r="H961" s="144"/>
    </row>
    <row r="962">
      <c r="C962" s="235"/>
      <c r="D962" s="236"/>
      <c r="H962" s="144"/>
    </row>
    <row r="963">
      <c r="C963" s="235"/>
      <c r="D963" s="236"/>
      <c r="H963" s="144"/>
    </row>
    <row r="964">
      <c r="C964" s="235"/>
      <c r="D964" s="236"/>
      <c r="H964" s="144"/>
    </row>
    <row r="965">
      <c r="C965" s="235"/>
      <c r="D965" s="236"/>
      <c r="H965" s="144"/>
    </row>
    <row r="966">
      <c r="C966" s="235"/>
      <c r="D966" s="236"/>
      <c r="H966" s="144"/>
    </row>
    <row r="967">
      <c r="C967" s="235"/>
      <c r="D967" s="236"/>
      <c r="H967" s="144"/>
    </row>
    <row r="968">
      <c r="C968" s="235"/>
      <c r="D968" s="236"/>
      <c r="H968" s="144"/>
    </row>
    <row r="969">
      <c r="C969" s="235"/>
      <c r="D969" s="236"/>
      <c r="H969" s="144"/>
    </row>
    <row r="970">
      <c r="C970" s="235"/>
      <c r="D970" s="236"/>
      <c r="H970" s="144"/>
    </row>
    <row r="971">
      <c r="C971" s="235"/>
      <c r="D971" s="236"/>
      <c r="H971" s="144"/>
    </row>
    <row r="972">
      <c r="C972" s="235"/>
      <c r="D972" s="236"/>
      <c r="H972" s="144"/>
    </row>
    <row r="973">
      <c r="C973" s="235"/>
      <c r="D973" s="236"/>
      <c r="H973" s="144"/>
    </row>
    <row r="974">
      <c r="C974" s="235"/>
      <c r="D974" s="236"/>
      <c r="H974" s="144"/>
    </row>
    <row r="975">
      <c r="C975" s="235"/>
      <c r="D975" s="236"/>
      <c r="H975" s="144"/>
    </row>
    <row r="976">
      <c r="C976" s="235"/>
      <c r="D976" s="236"/>
      <c r="H976" s="144"/>
    </row>
    <row r="977">
      <c r="C977" s="235"/>
      <c r="D977" s="236"/>
      <c r="H977" s="144"/>
    </row>
    <row r="978">
      <c r="C978" s="235"/>
      <c r="D978" s="236"/>
      <c r="H978" s="144"/>
    </row>
    <row r="979">
      <c r="C979" s="235"/>
      <c r="D979" s="236"/>
      <c r="H979" s="144"/>
    </row>
    <row r="980">
      <c r="C980" s="235"/>
      <c r="D980" s="236"/>
      <c r="H980" s="144"/>
    </row>
    <row r="981">
      <c r="C981" s="235"/>
      <c r="D981" s="236"/>
      <c r="H981" s="144"/>
    </row>
    <row r="982">
      <c r="C982" s="235"/>
      <c r="D982" s="236"/>
      <c r="H982" s="144"/>
    </row>
    <row r="983">
      <c r="C983" s="235"/>
      <c r="D983" s="236"/>
      <c r="H983" s="144"/>
    </row>
    <row r="984">
      <c r="C984" s="235"/>
      <c r="D984" s="236"/>
      <c r="H984" s="144"/>
    </row>
    <row r="985">
      <c r="C985" s="235"/>
      <c r="D985" s="236"/>
      <c r="H985" s="144"/>
    </row>
    <row r="986">
      <c r="C986" s="235"/>
      <c r="D986" s="236"/>
      <c r="H986" s="144"/>
    </row>
    <row r="987">
      <c r="C987" s="235"/>
      <c r="D987" s="236"/>
      <c r="H987" s="144"/>
    </row>
    <row r="988">
      <c r="C988" s="235"/>
      <c r="D988" s="236"/>
      <c r="H988" s="144"/>
    </row>
    <row r="989">
      <c r="C989" s="235"/>
      <c r="D989" s="236"/>
      <c r="H989" s="144"/>
    </row>
    <row r="990">
      <c r="C990" s="235"/>
      <c r="D990" s="236"/>
      <c r="H990" s="144"/>
    </row>
    <row r="991">
      <c r="C991" s="235"/>
      <c r="D991" s="236"/>
      <c r="H991" s="144"/>
    </row>
    <row r="992">
      <c r="C992" s="235"/>
      <c r="D992" s="236"/>
      <c r="H992" s="144"/>
    </row>
    <row r="993">
      <c r="C993" s="235"/>
      <c r="D993" s="236"/>
      <c r="H993" s="144"/>
    </row>
    <row r="994">
      <c r="C994" s="235"/>
      <c r="D994" s="236"/>
      <c r="H994" s="144"/>
    </row>
    <row r="995">
      <c r="C995" s="235"/>
      <c r="D995" s="236"/>
      <c r="H995" s="144"/>
    </row>
    <row r="996">
      <c r="C996" s="235"/>
      <c r="D996" s="236"/>
      <c r="H996" s="144"/>
    </row>
    <row r="997">
      <c r="C997" s="235"/>
      <c r="D997" s="236"/>
      <c r="H997" s="144"/>
    </row>
    <row r="998">
      <c r="C998" s="235"/>
      <c r="D998" s="236"/>
      <c r="H998" s="144"/>
    </row>
    <row r="999">
      <c r="C999" s="235"/>
      <c r="D999" s="236"/>
      <c r="H999" s="144"/>
    </row>
    <row r="1000">
      <c r="C1000" s="235"/>
      <c r="D1000" s="236"/>
      <c r="H1000" s="144"/>
    </row>
  </sheetData>
  <dataValidations>
    <dataValidation type="list" allowBlank="1" sqref="H1:H1000">
      <formula1>"active,inactive"</formula1>
    </dataValidation>
  </dataValidations>
  <drawing r:id="rId1"/>
</worksheet>
</file>